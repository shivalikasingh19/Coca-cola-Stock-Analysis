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oca-Cola Stock Price History" sheetId="1" r:id="rId1"/>
  </sheets>
  <definedNames>
    <definedName name="_xlnm._FilterDatabase" localSheetId="0" hidden="1">'Coca-Cola Stock Price History'!$B$5:$H$5</definedName>
  </definedNames>
  <calcPr calcId="124519"/>
</workbook>
</file>

<file path=xl/calcChain.xml><?xml version="1.0" encoding="utf-8"?>
<calcChain xmlns="http://schemas.openxmlformats.org/spreadsheetml/2006/main">
  <c r="K2537" i="1"/>
  <c r="S23" s="1"/>
  <c r="L2523"/>
  <c r="T9" s="1"/>
  <c r="L2524"/>
  <c r="T10" s="1"/>
  <c r="L2525"/>
  <c r="T11" s="1"/>
  <c r="L2526"/>
  <c r="T12" s="1"/>
  <c r="L2527"/>
  <c r="T13" s="1"/>
  <c r="L2528"/>
  <c r="T14" s="1"/>
  <c r="L2529"/>
  <c r="T15" s="1"/>
  <c r="L2530"/>
  <c r="T16" s="1"/>
  <c r="L2531"/>
  <c r="T17" s="1"/>
  <c r="L2532"/>
  <c r="T18" s="1"/>
  <c r="L2533"/>
  <c r="T19" s="1"/>
  <c r="L2534"/>
  <c r="T20" s="1"/>
  <c r="L2535"/>
  <c r="T21" s="1"/>
  <c r="L2536"/>
  <c r="T22" s="1"/>
  <c r="L2537"/>
  <c r="T23" s="1"/>
  <c r="K2535"/>
  <c r="S21" s="1"/>
  <c r="K2536"/>
  <c r="S22" s="1"/>
  <c r="K2523"/>
  <c r="K2524"/>
  <c r="K2525"/>
  <c r="M2525" s="1"/>
  <c r="U11" s="1"/>
  <c r="K2526"/>
  <c r="S12" s="1"/>
  <c r="K2527"/>
  <c r="K2528"/>
  <c r="K2529"/>
  <c r="S15" s="1"/>
  <c r="K2530"/>
  <c r="S16" s="1"/>
  <c r="K2531"/>
  <c r="K2532"/>
  <c r="K2533"/>
  <c r="M2533" s="1"/>
  <c r="U19" s="1"/>
  <c r="K2534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M86" s="1"/>
  <c r="K87"/>
  <c r="K88"/>
  <c r="K89"/>
  <c r="K90"/>
  <c r="M90" s="1"/>
  <c r="K91"/>
  <c r="K92"/>
  <c r="K93"/>
  <c r="K94"/>
  <c r="M94" s="1"/>
  <c r="K95"/>
  <c r="K96"/>
  <c r="K97"/>
  <c r="K98"/>
  <c r="M98" s="1"/>
  <c r="K99"/>
  <c r="K100"/>
  <c r="K101"/>
  <c r="K102"/>
  <c r="M102" s="1"/>
  <c r="K103"/>
  <c r="K104"/>
  <c r="K105"/>
  <c r="K106"/>
  <c r="M106" s="1"/>
  <c r="K107"/>
  <c r="K108"/>
  <c r="K109"/>
  <c r="K110"/>
  <c r="M110" s="1"/>
  <c r="K111"/>
  <c r="K112"/>
  <c r="K113"/>
  <c r="K114"/>
  <c r="M114" s="1"/>
  <c r="K115"/>
  <c r="K116"/>
  <c r="K117"/>
  <c r="K118"/>
  <c r="M118" s="1"/>
  <c r="K119"/>
  <c r="K120"/>
  <c r="K121"/>
  <c r="K122"/>
  <c r="M122" s="1"/>
  <c r="K123"/>
  <c r="K124"/>
  <c r="K125"/>
  <c r="K126"/>
  <c r="M126" s="1"/>
  <c r="K127"/>
  <c r="K128"/>
  <c r="K129"/>
  <c r="K130"/>
  <c r="M130" s="1"/>
  <c r="K131"/>
  <c r="K132"/>
  <c r="K133"/>
  <c r="K134"/>
  <c r="M134" s="1"/>
  <c r="K135"/>
  <c r="K136"/>
  <c r="K137"/>
  <c r="K138"/>
  <c r="M138" s="1"/>
  <c r="K139"/>
  <c r="K140"/>
  <c r="K141"/>
  <c r="K142"/>
  <c r="M142" s="1"/>
  <c r="K143"/>
  <c r="K144"/>
  <c r="K145"/>
  <c r="K146"/>
  <c r="M146" s="1"/>
  <c r="K147"/>
  <c r="K148"/>
  <c r="K149"/>
  <c r="K150"/>
  <c r="M150" s="1"/>
  <c r="K151"/>
  <c r="K152"/>
  <c r="K153"/>
  <c r="K154"/>
  <c r="M154" s="1"/>
  <c r="K155"/>
  <c r="K156"/>
  <c r="K157"/>
  <c r="K158"/>
  <c r="M158" s="1"/>
  <c r="K159"/>
  <c r="K160"/>
  <c r="K161"/>
  <c r="K162"/>
  <c r="M162" s="1"/>
  <c r="K163"/>
  <c r="K164"/>
  <c r="K165"/>
  <c r="K166"/>
  <c r="M166" s="1"/>
  <c r="K167"/>
  <c r="K168"/>
  <c r="K169"/>
  <c r="K170"/>
  <c r="M170" s="1"/>
  <c r="K171"/>
  <c r="K172"/>
  <c r="K173"/>
  <c r="K174"/>
  <c r="M174" s="1"/>
  <c r="K175"/>
  <c r="K176"/>
  <c r="K177"/>
  <c r="K178"/>
  <c r="M178" s="1"/>
  <c r="K179"/>
  <c r="K180"/>
  <c r="K181"/>
  <c r="K182"/>
  <c r="M182" s="1"/>
  <c r="K183"/>
  <c r="K184"/>
  <c r="K185"/>
  <c r="K186"/>
  <c r="M186" s="1"/>
  <c r="K187"/>
  <c r="K188"/>
  <c r="K189"/>
  <c r="K190"/>
  <c r="M190" s="1"/>
  <c r="K191"/>
  <c r="K192"/>
  <c r="K193"/>
  <c r="K194"/>
  <c r="M194" s="1"/>
  <c r="K195"/>
  <c r="K196"/>
  <c r="K197"/>
  <c r="K198"/>
  <c r="M198" s="1"/>
  <c r="K199"/>
  <c r="K200"/>
  <c r="K201"/>
  <c r="K202"/>
  <c r="M202" s="1"/>
  <c r="K203"/>
  <c r="K204"/>
  <c r="K205"/>
  <c r="K206"/>
  <c r="M206" s="1"/>
  <c r="K207"/>
  <c r="K208"/>
  <c r="K209"/>
  <c r="K210"/>
  <c r="M210" s="1"/>
  <c r="K211"/>
  <c r="K212"/>
  <c r="K213"/>
  <c r="K214"/>
  <c r="M214" s="1"/>
  <c r="K215"/>
  <c r="K216"/>
  <c r="K217"/>
  <c r="K218"/>
  <c r="M218" s="1"/>
  <c r="K219"/>
  <c r="K220"/>
  <c r="K221"/>
  <c r="K222"/>
  <c r="M222" s="1"/>
  <c r="K223"/>
  <c r="K224"/>
  <c r="K225"/>
  <c r="K226"/>
  <c r="M226" s="1"/>
  <c r="K227"/>
  <c r="K228"/>
  <c r="K229"/>
  <c r="K230"/>
  <c r="M230" s="1"/>
  <c r="K231"/>
  <c r="K232"/>
  <c r="K233"/>
  <c r="K234"/>
  <c r="M234" s="1"/>
  <c r="K235"/>
  <c r="K236"/>
  <c r="K237"/>
  <c r="K238"/>
  <c r="M238" s="1"/>
  <c r="K239"/>
  <c r="K240"/>
  <c r="K241"/>
  <c r="K242"/>
  <c r="M242" s="1"/>
  <c r="K243"/>
  <c r="K244"/>
  <c r="M244" s="1"/>
  <c r="K245"/>
  <c r="K246"/>
  <c r="M246" s="1"/>
  <c r="K247"/>
  <c r="K248"/>
  <c r="M248" s="1"/>
  <c r="K249"/>
  <c r="K250"/>
  <c r="M250" s="1"/>
  <c r="K251"/>
  <c r="K252"/>
  <c r="M252" s="1"/>
  <c r="K253"/>
  <c r="K254"/>
  <c r="M254" s="1"/>
  <c r="K255"/>
  <c r="K256"/>
  <c r="M256" s="1"/>
  <c r="K257"/>
  <c r="K258"/>
  <c r="M258" s="1"/>
  <c r="K259"/>
  <c r="K260"/>
  <c r="M260" s="1"/>
  <c r="K261"/>
  <c r="K262"/>
  <c r="M262" s="1"/>
  <c r="K263"/>
  <c r="K264"/>
  <c r="M264" s="1"/>
  <c r="K265"/>
  <c r="K266"/>
  <c r="M266" s="1"/>
  <c r="K267"/>
  <c r="K268"/>
  <c r="M268" s="1"/>
  <c r="K269"/>
  <c r="K270"/>
  <c r="M270" s="1"/>
  <c r="K271"/>
  <c r="K272"/>
  <c r="M272" s="1"/>
  <c r="K273"/>
  <c r="K274"/>
  <c r="M274" s="1"/>
  <c r="K275"/>
  <c r="K276"/>
  <c r="M276" s="1"/>
  <c r="K277"/>
  <c r="K278"/>
  <c r="M278" s="1"/>
  <c r="K279"/>
  <c r="K280"/>
  <c r="M280" s="1"/>
  <c r="K281"/>
  <c r="K282"/>
  <c r="M282" s="1"/>
  <c r="K283"/>
  <c r="K284"/>
  <c r="M284" s="1"/>
  <c r="K285"/>
  <c r="K286"/>
  <c r="M286" s="1"/>
  <c r="K287"/>
  <c r="K288"/>
  <c r="M288" s="1"/>
  <c r="K289"/>
  <c r="K290"/>
  <c r="M290" s="1"/>
  <c r="K291"/>
  <c r="K292"/>
  <c r="M292" s="1"/>
  <c r="K293"/>
  <c r="K294"/>
  <c r="M294" s="1"/>
  <c r="K295"/>
  <c r="K296"/>
  <c r="M296" s="1"/>
  <c r="K297"/>
  <c r="K298"/>
  <c r="M298" s="1"/>
  <c r="K299"/>
  <c r="K300"/>
  <c r="M300" s="1"/>
  <c r="K301"/>
  <c r="K302"/>
  <c r="M302" s="1"/>
  <c r="K303"/>
  <c r="K304"/>
  <c r="M304" s="1"/>
  <c r="K305"/>
  <c r="K306"/>
  <c r="M306" s="1"/>
  <c r="K307"/>
  <c r="K308"/>
  <c r="M308" s="1"/>
  <c r="K309"/>
  <c r="K310"/>
  <c r="M310" s="1"/>
  <c r="K311"/>
  <c r="K312"/>
  <c r="M312" s="1"/>
  <c r="K313"/>
  <c r="K314"/>
  <c r="M314" s="1"/>
  <c r="K315"/>
  <c r="K316"/>
  <c r="M316" s="1"/>
  <c r="K317"/>
  <c r="K318"/>
  <c r="M318" s="1"/>
  <c r="K319"/>
  <c r="K320"/>
  <c r="M320" s="1"/>
  <c r="K321"/>
  <c r="K322"/>
  <c r="M322" s="1"/>
  <c r="K323"/>
  <c r="K324"/>
  <c r="M324" s="1"/>
  <c r="K325"/>
  <c r="K326"/>
  <c r="M326" s="1"/>
  <c r="K327"/>
  <c r="K328"/>
  <c r="M328" s="1"/>
  <c r="K329"/>
  <c r="K330"/>
  <c r="M330" s="1"/>
  <c r="K331"/>
  <c r="K332"/>
  <c r="M332" s="1"/>
  <c r="K333"/>
  <c r="K334"/>
  <c r="M334" s="1"/>
  <c r="K335"/>
  <c r="K336"/>
  <c r="M336" s="1"/>
  <c r="K337"/>
  <c r="K338"/>
  <c r="M338" s="1"/>
  <c r="K339"/>
  <c r="K340"/>
  <c r="M340" s="1"/>
  <c r="K341"/>
  <c r="K342"/>
  <c r="M342" s="1"/>
  <c r="K343"/>
  <c r="K344"/>
  <c r="M344" s="1"/>
  <c r="K345"/>
  <c r="K346"/>
  <c r="M346" s="1"/>
  <c r="K347"/>
  <c r="K348"/>
  <c r="M348" s="1"/>
  <c r="K349"/>
  <c r="K350"/>
  <c r="M350" s="1"/>
  <c r="K351"/>
  <c r="K352"/>
  <c r="M352" s="1"/>
  <c r="K353"/>
  <c r="K354"/>
  <c r="M354" s="1"/>
  <c r="K355"/>
  <c r="K356"/>
  <c r="M356" s="1"/>
  <c r="K357"/>
  <c r="K358"/>
  <c r="M358" s="1"/>
  <c r="K359"/>
  <c r="K360"/>
  <c r="M360" s="1"/>
  <c r="K361"/>
  <c r="K362"/>
  <c r="M362" s="1"/>
  <c r="K363"/>
  <c r="K364"/>
  <c r="M364" s="1"/>
  <c r="K365"/>
  <c r="K366"/>
  <c r="M366" s="1"/>
  <c r="K367"/>
  <c r="K368"/>
  <c r="M368" s="1"/>
  <c r="K369"/>
  <c r="K370"/>
  <c r="M370" s="1"/>
  <c r="K371"/>
  <c r="K372"/>
  <c r="M372" s="1"/>
  <c r="K373"/>
  <c r="K374"/>
  <c r="M374" s="1"/>
  <c r="K375"/>
  <c r="K376"/>
  <c r="M376" s="1"/>
  <c r="K377"/>
  <c r="K378"/>
  <c r="M378" s="1"/>
  <c r="K379"/>
  <c r="K380"/>
  <c r="M380" s="1"/>
  <c r="K381"/>
  <c r="K382"/>
  <c r="M382" s="1"/>
  <c r="K383"/>
  <c r="K384"/>
  <c r="M384" s="1"/>
  <c r="K385"/>
  <c r="K386"/>
  <c r="M386" s="1"/>
  <c r="K387"/>
  <c r="K388"/>
  <c r="M388" s="1"/>
  <c r="K389"/>
  <c r="K390"/>
  <c r="M390" s="1"/>
  <c r="K391"/>
  <c r="K392"/>
  <c r="M392" s="1"/>
  <c r="K393"/>
  <c r="K394"/>
  <c r="M394" s="1"/>
  <c r="K395"/>
  <c r="K396"/>
  <c r="M396" s="1"/>
  <c r="K397"/>
  <c r="K398"/>
  <c r="M398" s="1"/>
  <c r="K399"/>
  <c r="K400"/>
  <c r="M400" s="1"/>
  <c r="K401"/>
  <c r="K402"/>
  <c r="M402" s="1"/>
  <c r="K403"/>
  <c r="K404"/>
  <c r="M404" s="1"/>
  <c r="K405"/>
  <c r="K406"/>
  <c r="M406" s="1"/>
  <c r="K407"/>
  <c r="K408"/>
  <c r="M408" s="1"/>
  <c r="K409"/>
  <c r="K410"/>
  <c r="M410" s="1"/>
  <c r="K411"/>
  <c r="K412"/>
  <c r="M412" s="1"/>
  <c r="K413"/>
  <c r="K414"/>
  <c r="M414" s="1"/>
  <c r="K415"/>
  <c r="K416"/>
  <c r="M416" s="1"/>
  <c r="K417"/>
  <c r="K418"/>
  <c r="M418" s="1"/>
  <c r="K419"/>
  <c r="K420"/>
  <c r="M420" s="1"/>
  <c r="K421"/>
  <c r="K422"/>
  <c r="M422" s="1"/>
  <c r="K423"/>
  <c r="K424"/>
  <c r="M424" s="1"/>
  <c r="K425"/>
  <c r="K426"/>
  <c r="M426" s="1"/>
  <c r="K427"/>
  <c r="K428"/>
  <c r="M428" s="1"/>
  <c r="K429"/>
  <c r="K430"/>
  <c r="M430" s="1"/>
  <c r="K431"/>
  <c r="K432"/>
  <c r="M432" s="1"/>
  <c r="K433"/>
  <c r="K434"/>
  <c r="M434" s="1"/>
  <c r="K435"/>
  <c r="K436"/>
  <c r="M436" s="1"/>
  <c r="K437"/>
  <c r="K438"/>
  <c r="M438" s="1"/>
  <c r="K439"/>
  <c r="K440"/>
  <c r="M440" s="1"/>
  <c r="K441"/>
  <c r="K442"/>
  <c r="M442" s="1"/>
  <c r="K443"/>
  <c r="K444"/>
  <c r="M444" s="1"/>
  <c r="K445"/>
  <c r="K446"/>
  <c r="M446" s="1"/>
  <c r="K447"/>
  <c r="K448"/>
  <c r="M448" s="1"/>
  <c r="K449"/>
  <c r="K450"/>
  <c r="M450" s="1"/>
  <c r="K451"/>
  <c r="K452"/>
  <c r="M452" s="1"/>
  <c r="K453"/>
  <c r="K454"/>
  <c r="M454" s="1"/>
  <c r="K455"/>
  <c r="K456"/>
  <c r="M456" s="1"/>
  <c r="K457"/>
  <c r="K458"/>
  <c r="M458" s="1"/>
  <c r="K459"/>
  <c r="K460"/>
  <c r="M460" s="1"/>
  <c r="K461"/>
  <c r="K462"/>
  <c r="M462" s="1"/>
  <c r="K463"/>
  <c r="K464"/>
  <c r="M464" s="1"/>
  <c r="K465"/>
  <c r="K466"/>
  <c r="M466" s="1"/>
  <c r="K467"/>
  <c r="K468"/>
  <c r="M468" s="1"/>
  <c r="K469"/>
  <c r="K470"/>
  <c r="M470" s="1"/>
  <c r="K471"/>
  <c r="K472"/>
  <c r="M472" s="1"/>
  <c r="K473"/>
  <c r="K474"/>
  <c r="M474" s="1"/>
  <c r="K475"/>
  <c r="K476"/>
  <c r="M476" s="1"/>
  <c r="K477"/>
  <c r="K478"/>
  <c r="M478" s="1"/>
  <c r="K479"/>
  <c r="K480"/>
  <c r="M480" s="1"/>
  <c r="K481"/>
  <c r="K482"/>
  <c r="M482" s="1"/>
  <c r="K483"/>
  <c r="K484"/>
  <c r="M484" s="1"/>
  <c r="K485"/>
  <c r="K486"/>
  <c r="M486" s="1"/>
  <c r="K487"/>
  <c r="K488"/>
  <c r="M488" s="1"/>
  <c r="K489"/>
  <c r="K490"/>
  <c r="M490" s="1"/>
  <c r="K491"/>
  <c r="K492"/>
  <c r="M492" s="1"/>
  <c r="K493"/>
  <c r="K494"/>
  <c r="M494" s="1"/>
  <c r="K495"/>
  <c r="K496"/>
  <c r="M496" s="1"/>
  <c r="K497"/>
  <c r="K498"/>
  <c r="M498" s="1"/>
  <c r="K499"/>
  <c r="K500"/>
  <c r="M500" s="1"/>
  <c r="K501"/>
  <c r="K502"/>
  <c r="M502" s="1"/>
  <c r="K503"/>
  <c r="K504"/>
  <c r="M504" s="1"/>
  <c r="K505"/>
  <c r="K506"/>
  <c r="M506" s="1"/>
  <c r="K507"/>
  <c r="K508"/>
  <c r="M508" s="1"/>
  <c r="K509"/>
  <c r="K510"/>
  <c r="M510" s="1"/>
  <c r="K511"/>
  <c r="K512"/>
  <c r="M512" s="1"/>
  <c r="K513"/>
  <c r="K514"/>
  <c r="M514" s="1"/>
  <c r="K515"/>
  <c r="K516"/>
  <c r="M516" s="1"/>
  <c r="K517"/>
  <c r="K518"/>
  <c r="M518" s="1"/>
  <c r="K519"/>
  <c r="K520"/>
  <c r="M520" s="1"/>
  <c r="K521"/>
  <c r="K522"/>
  <c r="M522" s="1"/>
  <c r="K523"/>
  <c r="K524"/>
  <c r="M524" s="1"/>
  <c r="K525"/>
  <c r="K526"/>
  <c r="M526" s="1"/>
  <c r="K527"/>
  <c r="K528"/>
  <c r="M528" s="1"/>
  <c r="K529"/>
  <c r="K530"/>
  <c r="M530" s="1"/>
  <c r="K531"/>
  <c r="K532"/>
  <c r="M532" s="1"/>
  <c r="K533"/>
  <c r="K534"/>
  <c r="M534" s="1"/>
  <c r="K535"/>
  <c r="K536"/>
  <c r="M536" s="1"/>
  <c r="K537"/>
  <c r="K538"/>
  <c r="M538" s="1"/>
  <c r="K539"/>
  <c r="K540"/>
  <c r="M540" s="1"/>
  <c r="K541"/>
  <c r="K542"/>
  <c r="M542" s="1"/>
  <c r="K543"/>
  <c r="K544"/>
  <c r="M544" s="1"/>
  <c r="K545"/>
  <c r="K546"/>
  <c r="M546" s="1"/>
  <c r="K547"/>
  <c r="K548"/>
  <c r="M548" s="1"/>
  <c r="K549"/>
  <c r="K550"/>
  <c r="M550" s="1"/>
  <c r="K551"/>
  <c r="K552"/>
  <c r="M552" s="1"/>
  <c r="K553"/>
  <c r="K554"/>
  <c r="M554" s="1"/>
  <c r="K555"/>
  <c r="K556"/>
  <c r="M556" s="1"/>
  <c r="K557"/>
  <c r="K558"/>
  <c r="M558" s="1"/>
  <c r="K559"/>
  <c r="K560"/>
  <c r="M560" s="1"/>
  <c r="K561"/>
  <c r="K562"/>
  <c r="M562" s="1"/>
  <c r="K563"/>
  <c r="K564"/>
  <c r="M564" s="1"/>
  <c r="K565"/>
  <c r="K566"/>
  <c r="M566" s="1"/>
  <c r="K567"/>
  <c r="K568"/>
  <c r="M568" s="1"/>
  <c r="K569"/>
  <c r="K570"/>
  <c r="M570" s="1"/>
  <c r="K571"/>
  <c r="K572"/>
  <c r="M572" s="1"/>
  <c r="K573"/>
  <c r="K574"/>
  <c r="M574" s="1"/>
  <c r="K575"/>
  <c r="K576"/>
  <c r="M576" s="1"/>
  <c r="K577"/>
  <c r="K578"/>
  <c r="M578" s="1"/>
  <c r="K579"/>
  <c r="K580"/>
  <c r="M580" s="1"/>
  <c r="K581"/>
  <c r="K582"/>
  <c r="M582" s="1"/>
  <c r="K583"/>
  <c r="K584"/>
  <c r="M584" s="1"/>
  <c r="K585"/>
  <c r="K586"/>
  <c r="M586" s="1"/>
  <c r="K587"/>
  <c r="K588"/>
  <c r="M588" s="1"/>
  <c r="K589"/>
  <c r="K590"/>
  <c r="M590" s="1"/>
  <c r="K591"/>
  <c r="K592"/>
  <c r="M592" s="1"/>
  <c r="K593"/>
  <c r="K594"/>
  <c r="M594" s="1"/>
  <c r="K595"/>
  <c r="K596"/>
  <c r="M596" s="1"/>
  <c r="K597"/>
  <c r="K598"/>
  <c r="M598" s="1"/>
  <c r="K599"/>
  <c r="K600"/>
  <c r="M600" s="1"/>
  <c r="K601"/>
  <c r="K602"/>
  <c r="M602" s="1"/>
  <c r="K603"/>
  <c r="K604"/>
  <c r="M604" s="1"/>
  <c r="K605"/>
  <c r="K606"/>
  <c r="M606" s="1"/>
  <c r="K607"/>
  <c r="K608"/>
  <c r="M608" s="1"/>
  <c r="K609"/>
  <c r="K610"/>
  <c r="M610" s="1"/>
  <c r="K611"/>
  <c r="K612"/>
  <c r="M612" s="1"/>
  <c r="K613"/>
  <c r="K614"/>
  <c r="M614" s="1"/>
  <c r="K615"/>
  <c r="K616"/>
  <c r="M616" s="1"/>
  <c r="K617"/>
  <c r="K618"/>
  <c r="M618" s="1"/>
  <c r="K619"/>
  <c r="K620"/>
  <c r="M620" s="1"/>
  <c r="K621"/>
  <c r="K622"/>
  <c r="M622" s="1"/>
  <c r="K623"/>
  <c r="K624"/>
  <c r="M624" s="1"/>
  <c r="K625"/>
  <c r="K626"/>
  <c r="M626" s="1"/>
  <c r="K627"/>
  <c r="K628"/>
  <c r="M628" s="1"/>
  <c r="K629"/>
  <c r="K630"/>
  <c r="M630" s="1"/>
  <c r="K631"/>
  <c r="K632"/>
  <c r="M632" s="1"/>
  <c r="K633"/>
  <c r="K634"/>
  <c r="M634" s="1"/>
  <c r="K635"/>
  <c r="K636"/>
  <c r="M636" s="1"/>
  <c r="K637"/>
  <c r="K638"/>
  <c r="M638" s="1"/>
  <c r="K639"/>
  <c r="K640"/>
  <c r="M640" s="1"/>
  <c r="K641"/>
  <c r="K642"/>
  <c r="M642" s="1"/>
  <c r="K643"/>
  <c r="K644"/>
  <c r="M644" s="1"/>
  <c r="K645"/>
  <c r="K646"/>
  <c r="M646" s="1"/>
  <c r="K647"/>
  <c r="K648"/>
  <c r="M648" s="1"/>
  <c r="K649"/>
  <c r="K650"/>
  <c r="M650" s="1"/>
  <c r="K651"/>
  <c r="K652"/>
  <c r="M652" s="1"/>
  <c r="K653"/>
  <c r="K654"/>
  <c r="M654" s="1"/>
  <c r="K655"/>
  <c r="K656"/>
  <c r="M656" s="1"/>
  <c r="K657"/>
  <c r="K658"/>
  <c r="M658" s="1"/>
  <c r="K659"/>
  <c r="K660"/>
  <c r="M660" s="1"/>
  <c r="K661"/>
  <c r="K662"/>
  <c r="M662" s="1"/>
  <c r="K663"/>
  <c r="K664"/>
  <c r="M664" s="1"/>
  <c r="K665"/>
  <c r="K666"/>
  <c r="M666" s="1"/>
  <c r="K667"/>
  <c r="K668"/>
  <c r="M668" s="1"/>
  <c r="K669"/>
  <c r="K670"/>
  <c r="M670" s="1"/>
  <c r="K671"/>
  <c r="K672"/>
  <c r="M672" s="1"/>
  <c r="K673"/>
  <c r="K674"/>
  <c r="M674" s="1"/>
  <c r="K675"/>
  <c r="K676"/>
  <c r="M676" s="1"/>
  <c r="K677"/>
  <c r="K678"/>
  <c r="M678" s="1"/>
  <c r="K679"/>
  <c r="K680"/>
  <c r="M680" s="1"/>
  <c r="K681"/>
  <c r="K682"/>
  <c r="M682" s="1"/>
  <c r="K683"/>
  <c r="K684"/>
  <c r="M684" s="1"/>
  <c r="K685"/>
  <c r="K686"/>
  <c r="M686" s="1"/>
  <c r="K687"/>
  <c r="K688"/>
  <c r="M688" s="1"/>
  <c r="K689"/>
  <c r="K690"/>
  <c r="M690" s="1"/>
  <c r="K691"/>
  <c r="K692"/>
  <c r="M692" s="1"/>
  <c r="K693"/>
  <c r="K694"/>
  <c r="M694" s="1"/>
  <c r="K695"/>
  <c r="K696"/>
  <c r="M696" s="1"/>
  <c r="K697"/>
  <c r="K698"/>
  <c r="M698" s="1"/>
  <c r="K699"/>
  <c r="K700"/>
  <c r="M700" s="1"/>
  <c r="K701"/>
  <c r="K702"/>
  <c r="M702" s="1"/>
  <c r="K703"/>
  <c r="K704"/>
  <c r="M704" s="1"/>
  <c r="K705"/>
  <c r="K706"/>
  <c r="M706" s="1"/>
  <c r="K707"/>
  <c r="K708"/>
  <c r="M708" s="1"/>
  <c r="K709"/>
  <c r="K710"/>
  <c r="M710" s="1"/>
  <c r="K711"/>
  <c r="K712"/>
  <c r="M712" s="1"/>
  <c r="K713"/>
  <c r="K714"/>
  <c r="M714" s="1"/>
  <c r="K715"/>
  <c r="K716"/>
  <c r="M716" s="1"/>
  <c r="K717"/>
  <c r="K718"/>
  <c r="M718" s="1"/>
  <c r="K719"/>
  <c r="K720"/>
  <c r="M720" s="1"/>
  <c r="K721"/>
  <c r="K722"/>
  <c r="M722" s="1"/>
  <c r="K723"/>
  <c r="K724"/>
  <c r="M724" s="1"/>
  <c r="K725"/>
  <c r="K726"/>
  <c r="M726" s="1"/>
  <c r="K727"/>
  <c r="K728"/>
  <c r="M728" s="1"/>
  <c r="K729"/>
  <c r="K730"/>
  <c r="M730" s="1"/>
  <c r="K731"/>
  <c r="K732"/>
  <c r="M732" s="1"/>
  <c r="K733"/>
  <c r="K734"/>
  <c r="M734" s="1"/>
  <c r="K735"/>
  <c r="K736"/>
  <c r="M736" s="1"/>
  <c r="K737"/>
  <c r="K738"/>
  <c r="M738" s="1"/>
  <c r="K739"/>
  <c r="K740"/>
  <c r="M740" s="1"/>
  <c r="K741"/>
  <c r="K742"/>
  <c r="M742" s="1"/>
  <c r="K743"/>
  <c r="K744"/>
  <c r="M744" s="1"/>
  <c r="K745"/>
  <c r="K746"/>
  <c r="M746" s="1"/>
  <c r="K747"/>
  <c r="K748"/>
  <c r="M748" s="1"/>
  <c r="K749"/>
  <c r="K750"/>
  <c r="M750" s="1"/>
  <c r="K751"/>
  <c r="K752"/>
  <c r="M752" s="1"/>
  <c r="K753"/>
  <c r="K754"/>
  <c r="M754" s="1"/>
  <c r="K755"/>
  <c r="K756"/>
  <c r="M756" s="1"/>
  <c r="K757"/>
  <c r="K758"/>
  <c r="M758" s="1"/>
  <c r="K759"/>
  <c r="K760"/>
  <c r="M760" s="1"/>
  <c r="K761"/>
  <c r="K762"/>
  <c r="M762" s="1"/>
  <c r="K763"/>
  <c r="K764"/>
  <c r="M764" s="1"/>
  <c r="K765"/>
  <c r="K766"/>
  <c r="M766" s="1"/>
  <c r="K767"/>
  <c r="K768"/>
  <c r="M768" s="1"/>
  <c r="K769"/>
  <c r="K770"/>
  <c r="M770" s="1"/>
  <c r="K771"/>
  <c r="K772"/>
  <c r="M772" s="1"/>
  <c r="K773"/>
  <c r="K774"/>
  <c r="M774" s="1"/>
  <c r="K775"/>
  <c r="K776"/>
  <c r="M776" s="1"/>
  <c r="K777"/>
  <c r="K778"/>
  <c r="M778" s="1"/>
  <c r="K779"/>
  <c r="K780"/>
  <c r="M780" s="1"/>
  <c r="K781"/>
  <c r="K782"/>
  <c r="M782" s="1"/>
  <c r="K783"/>
  <c r="K784"/>
  <c r="M784" s="1"/>
  <c r="K785"/>
  <c r="K786"/>
  <c r="M786" s="1"/>
  <c r="K787"/>
  <c r="K788"/>
  <c r="M788" s="1"/>
  <c r="K789"/>
  <c r="K790"/>
  <c r="M790" s="1"/>
  <c r="K791"/>
  <c r="K792"/>
  <c r="M792" s="1"/>
  <c r="K793"/>
  <c r="K794"/>
  <c r="M794" s="1"/>
  <c r="K795"/>
  <c r="K796"/>
  <c r="M796" s="1"/>
  <c r="K797"/>
  <c r="K798"/>
  <c r="M798" s="1"/>
  <c r="K799"/>
  <c r="K800"/>
  <c r="M800" s="1"/>
  <c r="K801"/>
  <c r="K802"/>
  <c r="M802" s="1"/>
  <c r="K803"/>
  <c r="K804"/>
  <c r="M804" s="1"/>
  <c r="K805"/>
  <c r="K806"/>
  <c r="M806" s="1"/>
  <c r="K807"/>
  <c r="K808"/>
  <c r="M808" s="1"/>
  <c r="K809"/>
  <c r="K810"/>
  <c r="M810" s="1"/>
  <c r="K811"/>
  <c r="K812"/>
  <c r="M812" s="1"/>
  <c r="K813"/>
  <c r="K814"/>
  <c r="M814" s="1"/>
  <c r="K815"/>
  <c r="K816"/>
  <c r="M816" s="1"/>
  <c r="K817"/>
  <c r="K818"/>
  <c r="M818" s="1"/>
  <c r="K819"/>
  <c r="K820"/>
  <c r="M820" s="1"/>
  <c r="K821"/>
  <c r="K822"/>
  <c r="M822" s="1"/>
  <c r="K823"/>
  <c r="K824"/>
  <c r="M824" s="1"/>
  <c r="K825"/>
  <c r="K826"/>
  <c r="M826" s="1"/>
  <c r="K827"/>
  <c r="K828"/>
  <c r="M828" s="1"/>
  <c r="K829"/>
  <c r="K830"/>
  <c r="M830" s="1"/>
  <c r="K831"/>
  <c r="K832"/>
  <c r="M832" s="1"/>
  <c r="K833"/>
  <c r="K834"/>
  <c r="M834" s="1"/>
  <c r="K835"/>
  <c r="K836"/>
  <c r="M836" s="1"/>
  <c r="K837"/>
  <c r="K838"/>
  <c r="M838" s="1"/>
  <c r="K839"/>
  <c r="K840"/>
  <c r="M840" s="1"/>
  <c r="K841"/>
  <c r="K842"/>
  <c r="M842" s="1"/>
  <c r="K843"/>
  <c r="K844"/>
  <c r="M844" s="1"/>
  <c r="K845"/>
  <c r="K846"/>
  <c r="M846" s="1"/>
  <c r="K847"/>
  <c r="K848"/>
  <c r="M848" s="1"/>
  <c r="K849"/>
  <c r="K850"/>
  <c r="M850" s="1"/>
  <c r="K851"/>
  <c r="K852"/>
  <c r="M852" s="1"/>
  <c r="K853"/>
  <c r="K854"/>
  <c r="M854" s="1"/>
  <c r="K855"/>
  <c r="K856"/>
  <c r="M856" s="1"/>
  <c r="K857"/>
  <c r="K858"/>
  <c r="M858" s="1"/>
  <c r="K859"/>
  <c r="K860"/>
  <c r="M860" s="1"/>
  <c r="K861"/>
  <c r="K862"/>
  <c r="M862" s="1"/>
  <c r="K863"/>
  <c r="K864"/>
  <c r="M864" s="1"/>
  <c r="K865"/>
  <c r="K866"/>
  <c r="M866" s="1"/>
  <c r="K867"/>
  <c r="K868"/>
  <c r="M868" s="1"/>
  <c r="K869"/>
  <c r="K870"/>
  <c r="M870" s="1"/>
  <c r="K871"/>
  <c r="K872"/>
  <c r="M872" s="1"/>
  <c r="K873"/>
  <c r="K874"/>
  <c r="M874" s="1"/>
  <c r="K875"/>
  <c r="K876"/>
  <c r="M876" s="1"/>
  <c r="K877"/>
  <c r="K878"/>
  <c r="M878" s="1"/>
  <c r="K879"/>
  <c r="K880"/>
  <c r="M880" s="1"/>
  <c r="K881"/>
  <c r="K882"/>
  <c r="M882" s="1"/>
  <c r="K883"/>
  <c r="K884"/>
  <c r="M884" s="1"/>
  <c r="K885"/>
  <c r="K886"/>
  <c r="M886" s="1"/>
  <c r="K887"/>
  <c r="K888"/>
  <c r="M888" s="1"/>
  <c r="K889"/>
  <c r="K890"/>
  <c r="M890" s="1"/>
  <c r="K891"/>
  <c r="K892"/>
  <c r="M892" s="1"/>
  <c r="K893"/>
  <c r="K894"/>
  <c r="M894" s="1"/>
  <c r="K895"/>
  <c r="K896"/>
  <c r="M896" s="1"/>
  <c r="K897"/>
  <c r="K898"/>
  <c r="M898" s="1"/>
  <c r="K899"/>
  <c r="K900"/>
  <c r="M900" s="1"/>
  <c r="K901"/>
  <c r="K902"/>
  <c r="M902" s="1"/>
  <c r="K903"/>
  <c r="K904"/>
  <c r="M904" s="1"/>
  <c r="K905"/>
  <c r="K906"/>
  <c r="M906" s="1"/>
  <c r="K907"/>
  <c r="K908"/>
  <c r="M908" s="1"/>
  <c r="K909"/>
  <c r="K910"/>
  <c r="M910" s="1"/>
  <c r="K911"/>
  <c r="K912"/>
  <c r="M912" s="1"/>
  <c r="K913"/>
  <c r="K914"/>
  <c r="M914" s="1"/>
  <c r="K915"/>
  <c r="K916"/>
  <c r="M916" s="1"/>
  <c r="K917"/>
  <c r="K918"/>
  <c r="M918" s="1"/>
  <c r="K919"/>
  <c r="K920"/>
  <c r="M920" s="1"/>
  <c r="K921"/>
  <c r="K922"/>
  <c r="M922" s="1"/>
  <c r="K923"/>
  <c r="K924"/>
  <c r="M924" s="1"/>
  <c r="K925"/>
  <c r="K926"/>
  <c r="M926" s="1"/>
  <c r="K927"/>
  <c r="K928"/>
  <c r="M928" s="1"/>
  <c r="K929"/>
  <c r="K930"/>
  <c r="M930" s="1"/>
  <c r="K931"/>
  <c r="K932"/>
  <c r="M932" s="1"/>
  <c r="K933"/>
  <c r="K934"/>
  <c r="M934" s="1"/>
  <c r="K935"/>
  <c r="K936"/>
  <c r="M936" s="1"/>
  <c r="K937"/>
  <c r="K938"/>
  <c r="M938" s="1"/>
  <c r="K939"/>
  <c r="K940"/>
  <c r="M940" s="1"/>
  <c r="K941"/>
  <c r="K942"/>
  <c r="M942" s="1"/>
  <c r="K943"/>
  <c r="K944"/>
  <c r="M944" s="1"/>
  <c r="K945"/>
  <c r="K946"/>
  <c r="M946" s="1"/>
  <c r="K947"/>
  <c r="K948"/>
  <c r="M948" s="1"/>
  <c r="K949"/>
  <c r="K950"/>
  <c r="M950" s="1"/>
  <c r="K951"/>
  <c r="K952"/>
  <c r="M952" s="1"/>
  <c r="K953"/>
  <c r="K954"/>
  <c r="M954" s="1"/>
  <c r="K955"/>
  <c r="K956"/>
  <c r="M956" s="1"/>
  <c r="K957"/>
  <c r="K958"/>
  <c r="M958" s="1"/>
  <c r="K959"/>
  <c r="K960"/>
  <c r="M960" s="1"/>
  <c r="K961"/>
  <c r="K962"/>
  <c r="M962" s="1"/>
  <c r="K963"/>
  <c r="K964"/>
  <c r="M964" s="1"/>
  <c r="K965"/>
  <c r="K966"/>
  <c r="M966" s="1"/>
  <c r="K967"/>
  <c r="K968"/>
  <c r="M968" s="1"/>
  <c r="K969"/>
  <c r="K970"/>
  <c r="M970" s="1"/>
  <c r="K971"/>
  <c r="K972"/>
  <c r="M972" s="1"/>
  <c r="K973"/>
  <c r="K974"/>
  <c r="M974" s="1"/>
  <c r="K975"/>
  <c r="K976"/>
  <c r="M976" s="1"/>
  <c r="K977"/>
  <c r="K978"/>
  <c r="M978" s="1"/>
  <c r="K979"/>
  <c r="K980"/>
  <c r="M980" s="1"/>
  <c r="K981"/>
  <c r="K982"/>
  <c r="M982" s="1"/>
  <c r="K983"/>
  <c r="K984"/>
  <c r="M984" s="1"/>
  <c r="K985"/>
  <c r="K986"/>
  <c r="M986" s="1"/>
  <c r="K987"/>
  <c r="K988"/>
  <c r="M988" s="1"/>
  <c r="K989"/>
  <c r="K990"/>
  <c r="M990" s="1"/>
  <c r="K991"/>
  <c r="K992"/>
  <c r="M992" s="1"/>
  <c r="K993"/>
  <c r="K994"/>
  <c r="M994" s="1"/>
  <c r="K995"/>
  <c r="K996"/>
  <c r="M996" s="1"/>
  <c r="K997"/>
  <c r="K998"/>
  <c r="M998" s="1"/>
  <c r="K999"/>
  <c r="K1000"/>
  <c r="M1000" s="1"/>
  <c r="K1001"/>
  <c r="K1002"/>
  <c r="M1002" s="1"/>
  <c r="K1003"/>
  <c r="K1004"/>
  <c r="M1004" s="1"/>
  <c r="K1005"/>
  <c r="K1006"/>
  <c r="M1006" s="1"/>
  <c r="K1007"/>
  <c r="K1008"/>
  <c r="M1008" s="1"/>
  <c r="K1009"/>
  <c r="K1010"/>
  <c r="M1010" s="1"/>
  <c r="K1011"/>
  <c r="K1012"/>
  <c r="M1012" s="1"/>
  <c r="K1013"/>
  <c r="K1014"/>
  <c r="M1014" s="1"/>
  <c r="K1015"/>
  <c r="K1016"/>
  <c r="M1016" s="1"/>
  <c r="K1017"/>
  <c r="K1018"/>
  <c r="M1018" s="1"/>
  <c r="K1019"/>
  <c r="K1020"/>
  <c r="M1020" s="1"/>
  <c r="K1021"/>
  <c r="K1022"/>
  <c r="M1022" s="1"/>
  <c r="K1023"/>
  <c r="K1024"/>
  <c r="M1024" s="1"/>
  <c r="K1025"/>
  <c r="K1026"/>
  <c r="M1026" s="1"/>
  <c r="K1027"/>
  <c r="K1028"/>
  <c r="M1028" s="1"/>
  <c r="K1029"/>
  <c r="K1030"/>
  <c r="M1030" s="1"/>
  <c r="K1031"/>
  <c r="K1032"/>
  <c r="M1032" s="1"/>
  <c r="K1033"/>
  <c r="K1034"/>
  <c r="M1034" s="1"/>
  <c r="K1035"/>
  <c r="K1036"/>
  <c r="M1036" s="1"/>
  <c r="K1037"/>
  <c r="K1038"/>
  <c r="M1038" s="1"/>
  <c r="K1039"/>
  <c r="K1040"/>
  <c r="M1040" s="1"/>
  <c r="K1041"/>
  <c r="K1042"/>
  <c r="M1042" s="1"/>
  <c r="K1043"/>
  <c r="K1044"/>
  <c r="M1044" s="1"/>
  <c r="K1045"/>
  <c r="K1046"/>
  <c r="M1046" s="1"/>
  <c r="K1047"/>
  <c r="K1048"/>
  <c r="M1048" s="1"/>
  <c r="K1049"/>
  <c r="K1050"/>
  <c r="M1050" s="1"/>
  <c r="K1051"/>
  <c r="K1052"/>
  <c r="M1052" s="1"/>
  <c r="K1053"/>
  <c r="K1054"/>
  <c r="M1054" s="1"/>
  <c r="K1055"/>
  <c r="K1056"/>
  <c r="M1056" s="1"/>
  <c r="K1057"/>
  <c r="K1058"/>
  <c r="M1058" s="1"/>
  <c r="K1059"/>
  <c r="K1060"/>
  <c r="M1060" s="1"/>
  <c r="K1061"/>
  <c r="K1062"/>
  <c r="M1062" s="1"/>
  <c r="K1063"/>
  <c r="K1064"/>
  <c r="M1064" s="1"/>
  <c r="K1065"/>
  <c r="K1066"/>
  <c r="M1066" s="1"/>
  <c r="K1067"/>
  <c r="K1068"/>
  <c r="M1068" s="1"/>
  <c r="K1069"/>
  <c r="K1070"/>
  <c r="M1070" s="1"/>
  <c r="K1071"/>
  <c r="K1072"/>
  <c r="M1072" s="1"/>
  <c r="K1073"/>
  <c r="K1074"/>
  <c r="M1074" s="1"/>
  <c r="K1075"/>
  <c r="K1076"/>
  <c r="M1076" s="1"/>
  <c r="K1077"/>
  <c r="K1078"/>
  <c r="M1078" s="1"/>
  <c r="K1079"/>
  <c r="K1080"/>
  <c r="M1080" s="1"/>
  <c r="K1081"/>
  <c r="K1082"/>
  <c r="M1082" s="1"/>
  <c r="K1083"/>
  <c r="K1084"/>
  <c r="M1084" s="1"/>
  <c r="K1085"/>
  <c r="K1086"/>
  <c r="M1086" s="1"/>
  <c r="K1087"/>
  <c r="K1088"/>
  <c r="M1088" s="1"/>
  <c r="K1089"/>
  <c r="K1090"/>
  <c r="M1090" s="1"/>
  <c r="K1091"/>
  <c r="K1092"/>
  <c r="M1092" s="1"/>
  <c r="K1093"/>
  <c r="K1094"/>
  <c r="M1094" s="1"/>
  <c r="K1095"/>
  <c r="K1096"/>
  <c r="M1096" s="1"/>
  <c r="K1097"/>
  <c r="K1098"/>
  <c r="M1098" s="1"/>
  <c r="K1099"/>
  <c r="K1100"/>
  <c r="M1100" s="1"/>
  <c r="K1101"/>
  <c r="K1102"/>
  <c r="M1102" s="1"/>
  <c r="K1103"/>
  <c r="K1104"/>
  <c r="M1104" s="1"/>
  <c r="K1105"/>
  <c r="K1106"/>
  <c r="M1106" s="1"/>
  <c r="K1107"/>
  <c r="K1108"/>
  <c r="M1108" s="1"/>
  <c r="K1109"/>
  <c r="K1110"/>
  <c r="M1110" s="1"/>
  <c r="K1111"/>
  <c r="K1112"/>
  <c r="M1112" s="1"/>
  <c r="K1113"/>
  <c r="K1114"/>
  <c r="M1114" s="1"/>
  <c r="K1115"/>
  <c r="K1116"/>
  <c r="M1116" s="1"/>
  <c r="K1117"/>
  <c r="K1118"/>
  <c r="M1118" s="1"/>
  <c r="K1119"/>
  <c r="K1120"/>
  <c r="M1120" s="1"/>
  <c r="K1121"/>
  <c r="K1122"/>
  <c r="M1122" s="1"/>
  <c r="K1123"/>
  <c r="K1124"/>
  <c r="M1124" s="1"/>
  <c r="K1125"/>
  <c r="K1126"/>
  <c r="M1126" s="1"/>
  <c r="K1127"/>
  <c r="K1128"/>
  <c r="M1128" s="1"/>
  <c r="K1129"/>
  <c r="K1130"/>
  <c r="M1130" s="1"/>
  <c r="K1131"/>
  <c r="K1132"/>
  <c r="M1132" s="1"/>
  <c r="K1133"/>
  <c r="K1134"/>
  <c r="M1134" s="1"/>
  <c r="K1135"/>
  <c r="K1136"/>
  <c r="M1136" s="1"/>
  <c r="K1137"/>
  <c r="K1138"/>
  <c r="M1138" s="1"/>
  <c r="K1139"/>
  <c r="K1140"/>
  <c r="M1140" s="1"/>
  <c r="K1141"/>
  <c r="K1142"/>
  <c r="M1142" s="1"/>
  <c r="K1143"/>
  <c r="K1144"/>
  <c r="M1144" s="1"/>
  <c r="K1145"/>
  <c r="K1146"/>
  <c r="M1146" s="1"/>
  <c r="K1147"/>
  <c r="K1148"/>
  <c r="M1148" s="1"/>
  <c r="K1149"/>
  <c r="K1150"/>
  <c r="M1150" s="1"/>
  <c r="K1151"/>
  <c r="K1152"/>
  <c r="M1152" s="1"/>
  <c r="K1153"/>
  <c r="K1154"/>
  <c r="M1154" s="1"/>
  <c r="K1155"/>
  <c r="K1156"/>
  <c r="M1156" s="1"/>
  <c r="K1157"/>
  <c r="K1158"/>
  <c r="M1158" s="1"/>
  <c r="K1159"/>
  <c r="K1160"/>
  <c r="M1160" s="1"/>
  <c r="K1161"/>
  <c r="K1162"/>
  <c r="M1162" s="1"/>
  <c r="K1163"/>
  <c r="K1164"/>
  <c r="M1164" s="1"/>
  <c r="K1165"/>
  <c r="K1166"/>
  <c r="M1166" s="1"/>
  <c r="K1167"/>
  <c r="K1168"/>
  <c r="M1168" s="1"/>
  <c r="K1169"/>
  <c r="K1170"/>
  <c r="M1170" s="1"/>
  <c r="K1171"/>
  <c r="K1172"/>
  <c r="M1172" s="1"/>
  <c r="K1173"/>
  <c r="K1174"/>
  <c r="M1174" s="1"/>
  <c r="K1175"/>
  <c r="K1176"/>
  <c r="M1176" s="1"/>
  <c r="K1177"/>
  <c r="K1178"/>
  <c r="M1178" s="1"/>
  <c r="K1179"/>
  <c r="K1180"/>
  <c r="M1180" s="1"/>
  <c r="K1181"/>
  <c r="K1182"/>
  <c r="M1182" s="1"/>
  <c r="K1183"/>
  <c r="K1184"/>
  <c r="M1184" s="1"/>
  <c r="K1185"/>
  <c r="K1186"/>
  <c r="M1186" s="1"/>
  <c r="K1187"/>
  <c r="K1188"/>
  <c r="M1188" s="1"/>
  <c r="K1189"/>
  <c r="K1190"/>
  <c r="M1190" s="1"/>
  <c r="K1191"/>
  <c r="K1192"/>
  <c r="M1192" s="1"/>
  <c r="K1193"/>
  <c r="K1194"/>
  <c r="M1194" s="1"/>
  <c r="K1195"/>
  <c r="K1196"/>
  <c r="M1196" s="1"/>
  <c r="K1197"/>
  <c r="K1198"/>
  <c r="M1198" s="1"/>
  <c r="K1199"/>
  <c r="K1200"/>
  <c r="M1200" s="1"/>
  <c r="K1201"/>
  <c r="K1202"/>
  <c r="M1202" s="1"/>
  <c r="K1203"/>
  <c r="K1204"/>
  <c r="M1204" s="1"/>
  <c r="K1205"/>
  <c r="K1206"/>
  <c r="M1206" s="1"/>
  <c r="K1207"/>
  <c r="K1208"/>
  <c r="M1208" s="1"/>
  <c r="K1209"/>
  <c r="K1210"/>
  <c r="M1210" s="1"/>
  <c r="K1211"/>
  <c r="K1212"/>
  <c r="M1212" s="1"/>
  <c r="K1213"/>
  <c r="K1214"/>
  <c r="M1214" s="1"/>
  <c r="K1215"/>
  <c r="K1216"/>
  <c r="M1216" s="1"/>
  <c r="K1217"/>
  <c r="K1218"/>
  <c r="M1218" s="1"/>
  <c r="K1219"/>
  <c r="K1220"/>
  <c r="M1220" s="1"/>
  <c r="K1221"/>
  <c r="K1222"/>
  <c r="M1222" s="1"/>
  <c r="K1223"/>
  <c r="K1224"/>
  <c r="M1224" s="1"/>
  <c r="K1225"/>
  <c r="K1226"/>
  <c r="M1226" s="1"/>
  <c r="K1227"/>
  <c r="K1228"/>
  <c r="M1228" s="1"/>
  <c r="K1229"/>
  <c r="K1230"/>
  <c r="M1230" s="1"/>
  <c r="K1231"/>
  <c r="K1232"/>
  <c r="M1232" s="1"/>
  <c r="K1233"/>
  <c r="K1234"/>
  <c r="M1234" s="1"/>
  <c r="K1235"/>
  <c r="K1236"/>
  <c r="M1236" s="1"/>
  <c r="K1237"/>
  <c r="K1238"/>
  <c r="M1238" s="1"/>
  <c r="K1239"/>
  <c r="K1240"/>
  <c r="M1240" s="1"/>
  <c r="K1241"/>
  <c r="K1242"/>
  <c r="M1242" s="1"/>
  <c r="K1243"/>
  <c r="K1244"/>
  <c r="M1244" s="1"/>
  <c r="K1245"/>
  <c r="K1246"/>
  <c r="M1246" s="1"/>
  <c r="K1247"/>
  <c r="K1248"/>
  <c r="M1248" s="1"/>
  <c r="K1249"/>
  <c r="K1250"/>
  <c r="M1250" s="1"/>
  <c r="K1251"/>
  <c r="K1252"/>
  <c r="M1252" s="1"/>
  <c r="K1253"/>
  <c r="K1254"/>
  <c r="M1254" s="1"/>
  <c r="K1255"/>
  <c r="K1256"/>
  <c r="M1256" s="1"/>
  <c r="K1257"/>
  <c r="K1258"/>
  <c r="M1258" s="1"/>
  <c r="K1259"/>
  <c r="K1260"/>
  <c r="M1260" s="1"/>
  <c r="K1261"/>
  <c r="K1262"/>
  <c r="M1262" s="1"/>
  <c r="K1263"/>
  <c r="K1264"/>
  <c r="M1264" s="1"/>
  <c r="K1265"/>
  <c r="K1266"/>
  <c r="M1266" s="1"/>
  <c r="K1267"/>
  <c r="K1268"/>
  <c r="M1268" s="1"/>
  <c r="K1269"/>
  <c r="K1270"/>
  <c r="M1270" s="1"/>
  <c r="K1271"/>
  <c r="K1272"/>
  <c r="M1272" s="1"/>
  <c r="K1273"/>
  <c r="K1274"/>
  <c r="M1274" s="1"/>
  <c r="K1275"/>
  <c r="K1276"/>
  <c r="M1276" s="1"/>
  <c r="K1277"/>
  <c r="K1278"/>
  <c r="M1278" s="1"/>
  <c r="K1279"/>
  <c r="K1280"/>
  <c r="M1280" s="1"/>
  <c r="K1281"/>
  <c r="K1282"/>
  <c r="M1282" s="1"/>
  <c r="K1283"/>
  <c r="K1284"/>
  <c r="M1284" s="1"/>
  <c r="K1285"/>
  <c r="K1286"/>
  <c r="M1286" s="1"/>
  <c r="K1287"/>
  <c r="K1288"/>
  <c r="M1288" s="1"/>
  <c r="K1289"/>
  <c r="K1290"/>
  <c r="M1290" s="1"/>
  <c r="K1291"/>
  <c r="K1292"/>
  <c r="M1292" s="1"/>
  <c r="K1293"/>
  <c r="K1294"/>
  <c r="M1294" s="1"/>
  <c r="K1295"/>
  <c r="K1296"/>
  <c r="M1296" s="1"/>
  <c r="K1297"/>
  <c r="K1298"/>
  <c r="M1298" s="1"/>
  <c r="K1299"/>
  <c r="K1300"/>
  <c r="M1300" s="1"/>
  <c r="K1301"/>
  <c r="K1302"/>
  <c r="M1302" s="1"/>
  <c r="K1303"/>
  <c r="K1304"/>
  <c r="M1304" s="1"/>
  <c r="K1305"/>
  <c r="K1306"/>
  <c r="M1306" s="1"/>
  <c r="K1307"/>
  <c r="K1308"/>
  <c r="M1308" s="1"/>
  <c r="K1309"/>
  <c r="K1310"/>
  <c r="M1310" s="1"/>
  <c r="K1311"/>
  <c r="K1312"/>
  <c r="M1312" s="1"/>
  <c r="K1313"/>
  <c r="K1314"/>
  <c r="M1314" s="1"/>
  <c r="K1315"/>
  <c r="K1316"/>
  <c r="M1316" s="1"/>
  <c r="K1317"/>
  <c r="K1318"/>
  <c r="M1318" s="1"/>
  <c r="K1319"/>
  <c r="K1320"/>
  <c r="M1320" s="1"/>
  <c r="K1321"/>
  <c r="K1322"/>
  <c r="M1322" s="1"/>
  <c r="K1323"/>
  <c r="K1324"/>
  <c r="M1324" s="1"/>
  <c r="K1325"/>
  <c r="K1326"/>
  <c r="M1326" s="1"/>
  <c r="K1327"/>
  <c r="K1328"/>
  <c r="M1328" s="1"/>
  <c r="K1329"/>
  <c r="K1330"/>
  <c r="M1330" s="1"/>
  <c r="K1331"/>
  <c r="K1332"/>
  <c r="M1332" s="1"/>
  <c r="K1333"/>
  <c r="K1334"/>
  <c r="M1334" s="1"/>
  <c r="K1335"/>
  <c r="K1336"/>
  <c r="M1336" s="1"/>
  <c r="K1337"/>
  <c r="K1338"/>
  <c r="M1338" s="1"/>
  <c r="K1339"/>
  <c r="K1340"/>
  <c r="M1340" s="1"/>
  <c r="K1341"/>
  <c r="K1342"/>
  <c r="M1342" s="1"/>
  <c r="K1343"/>
  <c r="K1344"/>
  <c r="M1344" s="1"/>
  <c r="K1345"/>
  <c r="K1346"/>
  <c r="M1346" s="1"/>
  <c r="K1347"/>
  <c r="K1348"/>
  <c r="M1348" s="1"/>
  <c r="K1349"/>
  <c r="K1350"/>
  <c r="M1350" s="1"/>
  <c r="K1351"/>
  <c r="K1352"/>
  <c r="M1352" s="1"/>
  <c r="K1353"/>
  <c r="K1354"/>
  <c r="M1354" s="1"/>
  <c r="K1355"/>
  <c r="K1356"/>
  <c r="M1356" s="1"/>
  <c r="K1357"/>
  <c r="K1358"/>
  <c r="M1358" s="1"/>
  <c r="K1359"/>
  <c r="K1360"/>
  <c r="M1360" s="1"/>
  <c r="K1361"/>
  <c r="K1362"/>
  <c r="M1362" s="1"/>
  <c r="K1363"/>
  <c r="K1364"/>
  <c r="M1364" s="1"/>
  <c r="K1365"/>
  <c r="K1366"/>
  <c r="M1366" s="1"/>
  <c r="K1367"/>
  <c r="K1368"/>
  <c r="M1368" s="1"/>
  <c r="K1369"/>
  <c r="K1370"/>
  <c r="M1370" s="1"/>
  <c r="K1371"/>
  <c r="K1372"/>
  <c r="M1372" s="1"/>
  <c r="K1373"/>
  <c r="K1374"/>
  <c r="M1374" s="1"/>
  <c r="K1375"/>
  <c r="K1376"/>
  <c r="M1376" s="1"/>
  <c r="K1377"/>
  <c r="K1378"/>
  <c r="M1378" s="1"/>
  <c r="K1379"/>
  <c r="K1380"/>
  <c r="M1380" s="1"/>
  <c r="K1381"/>
  <c r="K1382"/>
  <c r="M1382" s="1"/>
  <c r="K1383"/>
  <c r="K1384"/>
  <c r="M1384" s="1"/>
  <c r="K1385"/>
  <c r="K1386"/>
  <c r="M1386" s="1"/>
  <c r="K1387"/>
  <c r="K1388"/>
  <c r="M1388" s="1"/>
  <c r="K1389"/>
  <c r="K1390"/>
  <c r="M1390" s="1"/>
  <c r="K1391"/>
  <c r="K1392"/>
  <c r="M1392" s="1"/>
  <c r="K1393"/>
  <c r="K1394"/>
  <c r="M1394" s="1"/>
  <c r="K1395"/>
  <c r="K1396"/>
  <c r="M1396" s="1"/>
  <c r="K1397"/>
  <c r="K1398"/>
  <c r="M1398" s="1"/>
  <c r="K1399"/>
  <c r="K1400"/>
  <c r="M1400" s="1"/>
  <c r="K1401"/>
  <c r="K1402"/>
  <c r="M1402" s="1"/>
  <c r="K1403"/>
  <c r="K1404"/>
  <c r="M1404" s="1"/>
  <c r="K1405"/>
  <c r="K1406"/>
  <c r="M1406" s="1"/>
  <c r="K1407"/>
  <c r="K1408"/>
  <c r="M1408" s="1"/>
  <c r="K1409"/>
  <c r="K1410"/>
  <c r="M1410" s="1"/>
  <c r="K1411"/>
  <c r="K1412"/>
  <c r="M1412" s="1"/>
  <c r="K1413"/>
  <c r="K1414"/>
  <c r="M1414" s="1"/>
  <c r="K1415"/>
  <c r="K1416"/>
  <c r="M1416" s="1"/>
  <c r="K1417"/>
  <c r="K1418"/>
  <c r="M1418" s="1"/>
  <c r="K1419"/>
  <c r="K1420"/>
  <c r="M1420" s="1"/>
  <c r="K1421"/>
  <c r="K1422"/>
  <c r="M1422" s="1"/>
  <c r="K1423"/>
  <c r="K1424"/>
  <c r="M1424" s="1"/>
  <c r="K1425"/>
  <c r="K1426"/>
  <c r="M1426" s="1"/>
  <c r="K1427"/>
  <c r="K1428"/>
  <c r="M1428" s="1"/>
  <c r="K1429"/>
  <c r="K1430"/>
  <c r="M1430" s="1"/>
  <c r="K1431"/>
  <c r="K1432"/>
  <c r="M1432" s="1"/>
  <c r="K1433"/>
  <c r="K1434"/>
  <c r="M1434" s="1"/>
  <c r="K1435"/>
  <c r="K1436"/>
  <c r="M1436" s="1"/>
  <c r="K1437"/>
  <c r="K1438"/>
  <c r="M1438" s="1"/>
  <c r="K1439"/>
  <c r="K1440"/>
  <c r="M1440" s="1"/>
  <c r="K1441"/>
  <c r="K1442"/>
  <c r="M1442" s="1"/>
  <c r="K1443"/>
  <c r="K1444"/>
  <c r="M1444" s="1"/>
  <c r="K1445"/>
  <c r="K1446"/>
  <c r="M1446" s="1"/>
  <c r="K1447"/>
  <c r="K1448"/>
  <c r="M1448" s="1"/>
  <c r="K1449"/>
  <c r="K1450"/>
  <c r="M1450" s="1"/>
  <c r="K1451"/>
  <c r="K1452"/>
  <c r="M1452" s="1"/>
  <c r="K1453"/>
  <c r="K1454"/>
  <c r="M1454" s="1"/>
  <c r="K1455"/>
  <c r="K1456"/>
  <c r="M1456" s="1"/>
  <c r="K1457"/>
  <c r="K1458"/>
  <c r="M1458" s="1"/>
  <c r="K1459"/>
  <c r="K1460"/>
  <c r="M1460" s="1"/>
  <c r="K1461"/>
  <c r="K1462"/>
  <c r="M1462" s="1"/>
  <c r="K1463"/>
  <c r="K1464"/>
  <c r="M1464" s="1"/>
  <c r="K1465"/>
  <c r="K1466"/>
  <c r="M1466" s="1"/>
  <c r="K1467"/>
  <c r="K1468"/>
  <c r="M1468" s="1"/>
  <c r="K1469"/>
  <c r="K1470"/>
  <c r="M1470" s="1"/>
  <c r="K1471"/>
  <c r="K1472"/>
  <c r="M1472" s="1"/>
  <c r="K1473"/>
  <c r="K1474"/>
  <c r="M1474" s="1"/>
  <c r="K1475"/>
  <c r="K1476"/>
  <c r="M1476" s="1"/>
  <c r="K1477"/>
  <c r="K1478"/>
  <c r="M1478" s="1"/>
  <c r="K1479"/>
  <c r="K1480"/>
  <c r="M1480" s="1"/>
  <c r="K1481"/>
  <c r="K1482"/>
  <c r="M1482" s="1"/>
  <c r="K1483"/>
  <c r="K1484"/>
  <c r="M1484" s="1"/>
  <c r="K1485"/>
  <c r="K1486"/>
  <c r="M1486" s="1"/>
  <c r="K1487"/>
  <c r="K1488"/>
  <c r="M1488" s="1"/>
  <c r="K1489"/>
  <c r="K1490"/>
  <c r="M1490" s="1"/>
  <c r="K1491"/>
  <c r="K1492"/>
  <c r="M1492" s="1"/>
  <c r="K1493"/>
  <c r="K1494"/>
  <c r="M1494" s="1"/>
  <c r="K1495"/>
  <c r="K1496"/>
  <c r="M1496" s="1"/>
  <c r="K1497"/>
  <c r="K1498"/>
  <c r="M1498" s="1"/>
  <c r="K1499"/>
  <c r="K1500"/>
  <c r="M1500" s="1"/>
  <c r="K1501"/>
  <c r="K1502"/>
  <c r="M1502" s="1"/>
  <c r="K1503"/>
  <c r="K1504"/>
  <c r="M1504" s="1"/>
  <c r="K1505"/>
  <c r="K1506"/>
  <c r="M1506" s="1"/>
  <c r="K1507"/>
  <c r="K1508"/>
  <c r="M1508" s="1"/>
  <c r="K1509"/>
  <c r="K1510"/>
  <c r="M1510" s="1"/>
  <c r="K1511"/>
  <c r="K1512"/>
  <c r="M1512" s="1"/>
  <c r="K1513"/>
  <c r="K1514"/>
  <c r="M1514" s="1"/>
  <c r="K1515"/>
  <c r="K1516"/>
  <c r="M1516" s="1"/>
  <c r="K1517"/>
  <c r="K1518"/>
  <c r="M1518" s="1"/>
  <c r="K1519"/>
  <c r="K1520"/>
  <c r="M1520" s="1"/>
  <c r="K1521"/>
  <c r="K1522"/>
  <c r="M1522" s="1"/>
  <c r="K1523"/>
  <c r="K1524"/>
  <c r="M1524" s="1"/>
  <c r="K1525"/>
  <c r="K1526"/>
  <c r="M1526" s="1"/>
  <c r="K1527"/>
  <c r="K1528"/>
  <c r="M1528" s="1"/>
  <c r="K1529"/>
  <c r="K1530"/>
  <c r="M1530" s="1"/>
  <c r="K1531"/>
  <c r="K1532"/>
  <c r="M1532" s="1"/>
  <c r="K1533"/>
  <c r="K1534"/>
  <c r="M1534" s="1"/>
  <c r="K1535"/>
  <c r="K1536"/>
  <c r="M1536" s="1"/>
  <c r="K1537"/>
  <c r="K1538"/>
  <c r="M1538" s="1"/>
  <c r="K1539"/>
  <c r="K1540"/>
  <c r="M1540" s="1"/>
  <c r="K1541"/>
  <c r="K1542"/>
  <c r="M1542" s="1"/>
  <c r="K1543"/>
  <c r="K1544"/>
  <c r="M1544" s="1"/>
  <c r="K1545"/>
  <c r="K1546"/>
  <c r="M1546" s="1"/>
  <c r="K1547"/>
  <c r="K1548"/>
  <c r="M1548" s="1"/>
  <c r="K1549"/>
  <c r="K1550"/>
  <c r="M1550" s="1"/>
  <c r="K1551"/>
  <c r="K1552"/>
  <c r="M1552" s="1"/>
  <c r="K1553"/>
  <c r="K1554"/>
  <c r="M1554" s="1"/>
  <c r="K1555"/>
  <c r="K1556"/>
  <c r="M1556" s="1"/>
  <c r="K1557"/>
  <c r="K1558"/>
  <c r="M1558" s="1"/>
  <c r="K1559"/>
  <c r="K1560"/>
  <c r="M1560" s="1"/>
  <c r="K1561"/>
  <c r="K1562"/>
  <c r="M1562" s="1"/>
  <c r="K1563"/>
  <c r="K1564"/>
  <c r="M1564" s="1"/>
  <c r="K1565"/>
  <c r="K1566"/>
  <c r="M1566" s="1"/>
  <c r="K1567"/>
  <c r="K1568"/>
  <c r="M1568" s="1"/>
  <c r="K1569"/>
  <c r="K1570"/>
  <c r="M1570" s="1"/>
  <c r="K1571"/>
  <c r="K1572"/>
  <c r="M1572" s="1"/>
  <c r="K1573"/>
  <c r="K1574"/>
  <c r="M1574" s="1"/>
  <c r="K1575"/>
  <c r="K1576"/>
  <c r="M1576" s="1"/>
  <c r="K1577"/>
  <c r="K1578"/>
  <c r="M1578" s="1"/>
  <c r="K1579"/>
  <c r="K1580"/>
  <c r="M1580" s="1"/>
  <c r="K1581"/>
  <c r="K1582"/>
  <c r="M1582" s="1"/>
  <c r="K1583"/>
  <c r="K1584"/>
  <c r="M1584" s="1"/>
  <c r="K1585"/>
  <c r="K1586"/>
  <c r="M1586" s="1"/>
  <c r="K1587"/>
  <c r="K1588"/>
  <c r="M1588" s="1"/>
  <c r="K1589"/>
  <c r="K1590"/>
  <c r="M1590" s="1"/>
  <c r="K1591"/>
  <c r="K1592"/>
  <c r="M1592" s="1"/>
  <c r="K1593"/>
  <c r="K1594"/>
  <c r="M1594" s="1"/>
  <c r="K1595"/>
  <c r="K1596"/>
  <c r="M1596" s="1"/>
  <c r="K1597"/>
  <c r="K1598"/>
  <c r="M1598" s="1"/>
  <c r="K1599"/>
  <c r="K1600"/>
  <c r="M1600" s="1"/>
  <c r="K1601"/>
  <c r="K1602"/>
  <c r="M1602" s="1"/>
  <c r="K1603"/>
  <c r="K1604"/>
  <c r="M1604" s="1"/>
  <c r="K1605"/>
  <c r="K1606"/>
  <c r="M1606" s="1"/>
  <c r="K1607"/>
  <c r="K1608"/>
  <c r="M1608" s="1"/>
  <c r="K1609"/>
  <c r="K1610"/>
  <c r="M1610" s="1"/>
  <c r="K1611"/>
  <c r="K1612"/>
  <c r="M1612" s="1"/>
  <c r="K1613"/>
  <c r="K1614"/>
  <c r="M1614" s="1"/>
  <c r="K1615"/>
  <c r="K1616"/>
  <c r="M1616" s="1"/>
  <c r="K1617"/>
  <c r="K1618"/>
  <c r="M1618" s="1"/>
  <c r="K1619"/>
  <c r="K1620"/>
  <c r="M1620" s="1"/>
  <c r="K1621"/>
  <c r="K1622"/>
  <c r="M1622" s="1"/>
  <c r="K1623"/>
  <c r="K1624"/>
  <c r="M1624" s="1"/>
  <c r="K1625"/>
  <c r="K1626"/>
  <c r="M1626" s="1"/>
  <c r="K1627"/>
  <c r="K1628"/>
  <c r="M1628" s="1"/>
  <c r="K1629"/>
  <c r="K1630"/>
  <c r="M1630" s="1"/>
  <c r="K1631"/>
  <c r="K1632"/>
  <c r="M1632" s="1"/>
  <c r="K1633"/>
  <c r="K1634"/>
  <c r="M1634" s="1"/>
  <c r="K1635"/>
  <c r="K1636"/>
  <c r="M1636" s="1"/>
  <c r="K1637"/>
  <c r="K1638"/>
  <c r="M1638" s="1"/>
  <c r="K1639"/>
  <c r="K1640"/>
  <c r="M1640" s="1"/>
  <c r="K1641"/>
  <c r="K1642"/>
  <c r="M1642" s="1"/>
  <c r="K1643"/>
  <c r="K1644"/>
  <c r="M1644" s="1"/>
  <c r="K1645"/>
  <c r="K1646"/>
  <c r="M1646" s="1"/>
  <c r="K1647"/>
  <c r="K1648"/>
  <c r="M1648" s="1"/>
  <c r="K1649"/>
  <c r="K1650"/>
  <c r="M1650" s="1"/>
  <c r="K1651"/>
  <c r="K1652"/>
  <c r="M1652" s="1"/>
  <c r="K1653"/>
  <c r="K1654"/>
  <c r="M1654" s="1"/>
  <c r="K1655"/>
  <c r="K1656"/>
  <c r="M1656" s="1"/>
  <c r="K1657"/>
  <c r="K1658"/>
  <c r="M1658" s="1"/>
  <c r="K1659"/>
  <c r="K1660"/>
  <c r="M1660" s="1"/>
  <c r="K1661"/>
  <c r="K1662"/>
  <c r="M1662" s="1"/>
  <c r="K1663"/>
  <c r="K1664"/>
  <c r="M1664" s="1"/>
  <c r="K1665"/>
  <c r="K1666"/>
  <c r="M1666" s="1"/>
  <c r="K1667"/>
  <c r="K1668"/>
  <c r="M1668" s="1"/>
  <c r="K1669"/>
  <c r="K1670"/>
  <c r="M1670" s="1"/>
  <c r="K1671"/>
  <c r="K1672"/>
  <c r="M1672" s="1"/>
  <c r="K1673"/>
  <c r="K1674"/>
  <c r="M1674" s="1"/>
  <c r="K1675"/>
  <c r="K1676"/>
  <c r="M1676" s="1"/>
  <c r="K1677"/>
  <c r="K1678"/>
  <c r="M1678" s="1"/>
  <c r="K1679"/>
  <c r="K1680"/>
  <c r="M1680" s="1"/>
  <c r="K1681"/>
  <c r="K1682"/>
  <c r="M1682" s="1"/>
  <c r="K1683"/>
  <c r="K1684"/>
  <c r="M1684" s="1"/>
  <c r="K1685"/>
  <c r="K1686"/>
  <c r="M1686" s="1"/>
  <c r="K1687"/>
  <c r="K1688"/>
  <c r="M1688" s="1"/>
  <c r="K1689"/>
  <c r="K1690"/>
  <c r="M1690" s="1"/>
  <c r="K1691"/>
  <c r="K1692"/>
  <c r="M1692" s="1"/>
  <c r="K1693"/>
  <c r="K1694"/>
  <c r="M1694" s="1"/>
  <c r="K1695"/>
  <c r="K1696"/>
  <c r="M1696" s="1"/>
  <c r="K1697"/>
  <c r="K1698"/>
  <c r="M1698" s="1"/>
  <c r="K1699"/>
  <c r="K1700"/>
  <c r="M1700" s="1"/>
  <c r="K1701"/>
  <c r="K1702"/>
  <c r="M1702" s="1"/>
  <c r="K1703"/>
  <c r="K1704"/>
  <c r="M1704" s="1"/>
  <c r="K1705"/>
  <c r="K1706"/>
  <c r="M1706" s="1"/>
  <c r="K1707"/>
  <c r="K1708"/>
  <c r="M1708" s="1"/>
  <c r="K1709"/>
  <c r="K1710"/>
  <c r="M1710" s="1"/>
  <c r="K1711"/>
  <c r="K1712"/>
  <c r="M1712" s="1"/>
  <c r="K1713"/>
  <c r="K1714"/>
  <c r="M1714" s="1"/>
  <c r="K1715"/>
  <c r="K1716"/>
  <c r="M1716" s="1"/>
  <c r="K1717"/>
  <c r="K1718"/>
  <c r="M1718" s="1"/>
  <c r="K1719"/>
  <c r="K1720"/>
  <c r="M1720" s="1"/>
  <c r="K1721"/>
  <c r="K1722"/>
  <c r="M1722" s="1"/>
  <c r="K1723"/>
  <c r="K1724"/>
  <c r="M1724" s="1"/>
  <c r="K1725"/>
  <c r="K1726"/>
  <c r="M1726" s="1"/>
  <c r="K1727"/>
  <c r="K1728"/>
  <c r="M1728" s="1"/>
  <c r="K1729"/>
  <c r="K1730"/>
  <c r="M1730" s="1"/>
  <c r="K1731"/>
  <c r="K1732"/>
  <c r="M1732" s="1"/>
  <c r="K1733"/>
  <c r="K1734"/>
  <c r="M1734" s="1"/>
  <c r="K1735"/>
  <c r="K1736"/>
  <c r="M1736" s="1"/>
  <c r="K1737"/>
  <c r="K1738"/>
  <c r="M1738" s="1"/>
  <c r="K1739"/>
  <c r="K1740"/>
  <c r="M1740" s="1"/>
  <c r="K1741"/>
  <c r="K1742"/>
  <c r="M1742" s="1"/>
  <c r="K1743"/>
  <c r="K1744"/>
  <c r="M1744" s="1"/>
  <c r="K1745"/>
  <c r="K1746"/>
  <c r="M1746" s="1"/>
  <c r="K1747"/>
  <c r="K1748"/>
  <c r="M1748" s="1"/>
  <c r="K1749"/>
  <c r="K1750"/>
  <c r="M1750" s="1"/>
  <c r="K1751"/>
  <c r="K1752"/>
  <c r="M1752" s="1"/>
  <c r="K1753"/>
  <c r="K1754"/>
  <c r="M1754" s="1"/>
  <c r="K1755"/>
  <c r="K1756"/>
  <c r="M1756" s="1"/>
  <c r="K1757"/>
  <c r="K1758"/>
  <c r="M1758" s="1"/>
  <c r="K1759"/>
  <c r="K1760"/>
  <c r="M1760" s="1"/>
  <c r="K1761"/>
  <c r="K1762"/>
  <c r="M1762" s="1"/>
  <c r="K1763"/>
  <c r="K1764"/>
  <c r="M1764" s="1"/>
  <c r="K1765"/>
  <c r="K1766"/>
  <c r="M1766" s="1"/>
  <c r="K1767"/>
  <c r="K1768"/>
  <c r="M1768" s="1"/>
  <c r="K1769"/>
  <c r="K1770"/>
  <c r="M1770" s="1"/>
  <c r="K1771"/>
  <c r="K1772"/>
  <c r="M1772" s="1"/>
  <c r="K1773"/>
  <c r="K1774"/>
  <c r="M1774" s="1"/>
  <c r="K1775"/>
  <c r="K1776"/>
  <c r="M1776" s="1"/>
  <c r="K1777"/>
  <c r="K1778"/>
  <c r="M1778" s="1"/>
  <c r="K1779"/>
  <c r="K1780"/>
  <c r="M1780" s="1"/>
  <c r="K1781"/>
  <c r="K1782"/>
  <c r="M1782" s="1"/>
  <c r="K1783"/>
  <c r="K1784"/>
  <c r="M1784" s="1"/>
  <c r="K1785"/>
  <c r="K1786"/>
  <c r="M1786" s="1"/>
  <c r="K1787"/>
  <c r="K1788"/>
  <c r="M1788" s="1"/>
  <c r="K1789"/>
  <c r="K1790"/>
  <c r="M1790" s="1"/>
  <c r="K1791"/>
  <c r="K1792"/>
  <c r="M1792" s="1"/>
  <c r="K1793"/>
  <c r="K1794"/>
  <c r="M1794" s="1"/>
  <c r="K1795"/>
  <c r="K1796"/>
  <c r="M1796" s="1"/>
  <c r="K1797"/>
  <c r="K1798"/>
  <c r="M1798" s="1"/>
  <c r="K1799"/>
  <c r="K1800"/>
  <c r="M1800" s="1"/>
  <c r="K1801"/>
  <c r="K1802"/>
  <c r="M1802" s="1"/>
  <c r="K1803"/>
  <c r="K1804"/>
  <c r="M1804" s="1"/>
  <c r="K1805"/>
  <c r="K1806"/>
  <c r="M1806" s="1"/>
  <c r="K1807"/>
  <c r="K1808"/>
  <c r="M1808" s="1"/>
  <c r="K1809"/>
  <c r="K1810"/>
  <c r="M1810" s="1"/>
  <c r="K1811"/>
  <c r="K1812"/>
  <c r="M1812" s="1"/>
  <c r="K1813"/>
  <c r="K1814"/>
  <c r="M1814" s="1"/>
  <c r="K1815"/>
  <c r="K1816"/>
  <c r="M1816" s="1"/>
  <c r="K1817"/>
  <c r="K1818"/>
  <c r="M1818" s="1"/>
  <c r="K1819"/>
  <c r="K1820"/>
  <c r="M1820" s="1"/>
  <c r="K1821"/>
  <c r="K1822"/>
  <c r="M1822" s="1"/>
  <c r="K1823"/>
  <c r="K1824"/>
  <c r="M1824" s="1"/>
  <c r="K1825"/>
  <c r="K1826"/>
  <c r="M1826" s="1"/>
  <c r="K1827"/>
  <c r="K1828"/>
  <c r="M1828" s="1"/>
  <c r="K1829"/>
  <c r="K1830"/>
  <c r="M1830" s="1"/>
  <c r="K1831"/>
  <c r="K1832"/>
  <c r="M1832" s="1"/>
  <c r="K1833"/>
  <c r="K1834"/>
  <c r="M1834" s="1"/>
  <c r="K1835"/>
  <c r="K1836"/>
  <c r="M1836" s="1"/>
  <c r="K1837"/>
  <c r="K1838"/>
  <c r="M1838" s="1"/>
  <c r="K1839"/>
  <c r="K1840"/>
  <c r="M1840" s="1"/>
  <c r="K1841"/>
  <c r="K1842"/>
  <c r="M1842" s="1"/>
  <c r="K1843"/>
  <c r="K1844"/>
  <c r="M1844" s="1"/>
  <c r="K1845"/>
  <c r="K1846"/>
  <c r="M1846" s="1"/>
  <c r="K1847"/>
  <c r="K1848"/>
  <c r="M1848" s="1"/>
  <c r="K1849"/>
  <c r="K1850"/>
  <c r="M1850" s="1"/>
  <c r="K1851"/>
  <c r="K1852"/>
  <c r="M1852" s="1"/>
  <c r="K1853"/>
  <c r="K1854"/>
  <c r="M1854" s="1"/>
  <c r="K1855"/>
  <c r="K1856"/>
  <c r="M1856" s="1"/>
  <c r="K1857"/>
  <c r="K1858"/>
  <c r="M1858" s="1"/>
  <c r="K1859"/>
  <c r="K1860"/>
  <c r="M1860" s="1"/>
  <c r="K1861"/>
  <c r="K1862"/>
  <c r="M1862" s="1"/>
  <c r="K1863"/>
  <c r="K1864"/>
  <c r="M1864" s="1"/>
  <c r="K1865"/>
  <c r="K1866"/>
  <c r="M1866" s="1"/>
  <c r="K1867"/>
  <c r="K1868"/>
  <c r="M1868" s="1"/>
  <c r="K1869"/>
  <c r="K1870"/>
  <c r="M1870" s="1"/>
  <c r="K1871"/>
  <c r="K1872"/>
  <c r="M1872" s="1"/>
  <c r="K1873"/>
  <c r="K1874"/>
  <c r="M1874" s="1"/>
  <c r="K1875"/>
  <c r="K1876"/>
  <c r="M1876" s="1"/>
  <c r="K1877"/>
  <c r="K1878"/>
  <c r="M1878" s="1"/>
  <c r="K1879"/>
  <c r="K1880"/>
  <c r="M1880" s="1"/>
  <c r="K1881"/>
  <c r="K1882"/>
  <c r="M1882" s="1"/>
  <c r="K1883"/>
  <c r="K1884"/>
  <c r="M1884" s="1"/>
  <c r="K1885"/>
  <c r="K1886"/>
  <c r="M1886" s="1"/>
  <c r="K1887"/>
  <c r="K1888"/>
  <c r="M1888" s="1"/>
  <c r="K1889"/>
  <c r="K1890"/>
  <c r="M1890" s="1"/>
  <c r="K1891"/>
  <c r="K1892"/>
  <c r="M1892" s="1"/>
  <c r="K1893"/>
  <c r="K1894"/>
  <c r="M1894" s="1"/>
  <c r="K1895"/>
  <c r="K1896"/>
  <c r="M1896" s="1"/>
  <c r="K1897"/>
  <c r="K1898"/>
  <c r="M1898" s="1"/>
  <c r="K1899"/>
  <c r="K1900"/>
  <c r="M1900" s="1"/>
  <c r="K1901"/>
  <c r="K1902"/>
  <c r="M1902" s="1"/>
  <c r="K1903"/>
  <c r="K1904"/>
  <c r="M1904" s="1"/>
  <c r="K1905"/>
  <c r="K1906"/>
  <c r="M1906" s="1"/>
  <c r="K1907"/>
  <c r="K1908"/>
  <c r="M1908" s="1"/>
  <c r="K1909"/>
  <c r="K1910"/>
  <c r="M1910" s="1"/>
  <c r="K1911"/>
  <c r="K1912"/>
  <c r="M1912" s="1"/>
  <c r="K1913"/>
  <c r="K1914"/>
  <c r="M1914" s="1"/>
  <c r="K1915"/>
  <c r="K1916"/>
  <c r="M1916" s="1"/>
  <c r="K1917"/>
  <c r="K1918"/>
  <c r="M1918" s="1"/>
  <c r="K1919"/>
  <c r="K1920"/>
  <c r="M1920" s="1"/>
  <c r="K1921"/>
  <c r="K1922"/>
  <c r="M1922" s="1"/>
  <c r="K1923"/>
  <c r="K1924"/>
  <c r="M1924" s="1"/>
  <c r="K1925"/>
  <c r="K1926"/>
  <c r="M1926" s="1"/>
  <c r="K1927"/>
  <c r="K1928"/>
  <c r="M1928" s="1"/>
  <c r="K1929"/>
  <c r="K1930"/>
  <c r="M1930" s="1"/>
  <c r="K1931"/>
  <c r="K1932"/>
  <c r="M1932" s="1"/>
  <c r="K1933"/>
  <c r="K1934"/>
  <c r="M1934" s="1"/>
  <c r="K1935"/>
  <c r="K1936"/>
  <c r="M1936" s="1"/>
  <c r="K1937"/>
  <c r="K1938"/>
  <c r="M1938" s="1"/>
  <c r="K1939"/>
  <c r="K1940"/>
  <c r="M1940" s="1"/>
  <c r="K1941"/>
  <c r="K1942"/>
  <c r="M1942" s="1"/>
  <c r="K1943"/>
  <c r="K1944"/>
  <c r="M1944" s="1"/>
  <c r="K1945"/>
  <c r="K1946"/>
  <c r="M1946" s="1"/>
  <c r="K1947"/>
  <c r="K1948"/>
  <c r="M1948" s="1"/>
  <c r="K1949"/>
  <c r="K1950"/>
  <c r="M1950" s="1"/>
  <c r="K1951"/>
  <c r="K1952"/>
  <c r="M1952" s="1"/>
  <c r="K1953"/>
  <c r="K1954"/>
  <c r="M1954" s="1"/>
  <c r="K1955"/>
  <c r="K1956"/>
  <c r="M1956" s="1"/>
  <c r="K1957"/>
  <c r="K1958"/>
  <c r="M1958" s="1"/>
  <c r="K1959"/>
  <c r="K1960"/>
  <c r="M1960" s="1"/>
  <c r="K1961"/>
  <c r="K1962"/>
  <c r="M1962" s="1"/>
  <c r="K1963"/>
  <c r="K1964"/>
  <c r="M1964" s="1"/>
  <c r="K1965"/>
  <c r="K1966"/>
  <c r="M1966" s="1"/>
  <c r="K1967"/>
  <c r="K1968"/>
  <c r="M1968" s="1"/>
  <c r="K1969"/>
  <c r="K1970"/>
  <c r="M1970" s="1"/>
  <c r="K1971"/>
  <c r="K1972"/>
  <c r="M1972" s="1"/>
  <c r="K1973"/>
  <c r="K1974"/>
  <c r="M1974" s="1"/>
  <c r="K1975"/>
  <c r="K1976"/>
  <c r="M1976" s="1"/>
  <c r="K1977"/>
  <c r="K1978"/>
  <c r="M1978" s="1"/>
  <c r="K1979"/>
  <c r="K1980"/>
  <c r="M1980" s="1"/>
  <c r="K1981"/>
  <c r="K1982"/>
  <c r="M1982" s="1"/>
  <c r="K1983"/>
  <c r="K1984"/>
  <c r="M1984" s="1"/>
  <c r="K1985"/>
  <c r="K1986"/>
  <c r="M1986" s="1"/>
  <c r="K1987"/>
  <c r="K1988"/>
  <c r="M1988" s="1"/>
  <c r="K1989"/>
  <c r="K1990"/>
  <c r="M1990" s="1"/>
  <c r="K1991"/>
  <c r="K1992"/>
  <c r="M1992" s="1"/>
  <c r="K1993"/>
  <c r="K1994"/>
  <c r="M1994" s="1"/>
  <c r="K1995"/>
  <c r="K1996"/>
  <c r="M1996" s="1"/>
  <c r="K1997"/>
  <c r="K1998"/>
  <c r="M1998" s="1"/>
  <c r="K1999"/>
  <c r="K2000"/>
  <c r="M2000" s="1"/>
  <c r="K2001"/>
  <c r="K2002"/>
  <c r="M2002" s="1"/>
  <c r="K2003"/>
  <c r="K2004"/>
  <c r="M2004" s="1"/>
  <c r="K2005"/>
  <c r="K2006"/>
  <c r="M2006" s="1"/>
  <c r="K2007"/>
  <c r="K2008"/>
  <c r="M2008" s="1"/>
  <c r="K2009"/>
  <c r="K2010"/>
  <c r="M2010" s="1"/>
  <c r="K2011"/>
  <c r="K2012"/>
  <c r="M2012" s="1"/>
  <c r="K2013"/>
  <c r="K2014"/>
  <c r="M2014" s="1"/>
  <c r="K2015"/>
  <c r="K2016"/>
  <c r="M2016" s="1"/>
  <c r="K2017"/>
  <c r="K2018"/>
  <c r="M2018" s="1"/>
  <c r="K2019"/>
  <c r="K2020"/>
  <c r="M2020" s="1"/>
  <c r="K2021"/>
  <c r="K2022"/>
  <c r="M2022" s="1"/>
  <c r="K2023"/>
  <c r="K2024"/>
  <c r="M2024" s="1"/>
  <c r="K2025"/>
  <c r="K2026"/>
  <c r="M2026" s="1"/>
  <c r="K2027"/>
  <c r="K2028"/>
  <c r="M2028" s="1"/>
  <c r="K2029"/>
  <c r="K2030"/>
  <c r="M2030" s="1"/>
  <c r="K2031"/>
  <c r="K2032"/>
  <c r="M2032" s="1"/>
  <c r="K2033"/>
  <c r="K2034"/>
  <c r="M2034" s="1"/>
  <c r="K2035"/>
  <c r="K2036"/>
  <c r="M2036" s="1"/>
  <c r="K2037"/>
  <c r="K2038"/>
  <c r="M2038" s="1"/>
  <c r="K2039"/>
  <c r="K2040"/>
  <c r="M2040" s="1"/>
  <c r="K2041"/>
  <c r="K2042"/>
  <c r="M2042" s="1"/>
  <c r="K2043"/>
  <c r="K2044"/>
  <c r="M2044" s="1"/>
  <c r="K2045"/>
  <c r="K2046"/>
  <c r="M2046" s="1"/>
  <c r="K2047"/>
  <c r="K2048"/>
  <c r="M2048" s="1"/>
  <c r="K2049"/>
  <c r="K2050"/>
  <c r="M2050" s="1"/>
  <c r="K2051"/>
  <c r="K2052"/>
  <c r="M2052" s="1"/>
  <c r="K2053"/>
  <c r="K2054"/>
  <c r="M2054" s="1"/>
  <c r="K2055"/>
  <c r="K2056"/>
  <c r="M2056" s="1"/>
  <c r="K2057"/>
  <c r="K2058"/>
  <c r="M2058" s="1"/>
  <c r="K2059"/>
  <c r="K2060"/>
  <c r="M2060" s="1"/>
  <c r="K2061"/>
  <c r="K2062"/>
  <c r="M2062" s="1"/>
  <c r="K2063"/>
  <c r="K2064"/>
  <c r="M2064" s="1"/>
  <c r="K2065"/>
  <c r="K2066"/>
  <c r="M2066" s="1"/>
  <c r="K2067"/>
  <c r="K2068"/>
  <c r="M2068" s="1"/>
  <c r="K2069"/>
  <c r="K2070"/>
  <c r="M2070" s="1"/>
  <c r="K2071"/>
  <c r="K2072"/>
  <c r="M2072" s="1"/>
  <c r="K2073"/>
  <c r="K2074"/>
  <c r="M2074" s="1"/>
  <c r="K2075"/>
  <c r="K2076"/>
  <c r="M2076" s="1"/>
  <c r="K2077"/>
  <c r="K2078"/>
  <c r="M2078" s="1"/>
  <c r="K2079"/>
  <c r="K2080"/>
  <c r="M2080" s="1"/>
  <c r="K2081"/>
  <c r="K2082"/>
  <c r="M2082" s="1"/>
  <c r="K2083"/>
  <c r="K2084"/>
  <c r="M2084" s="1"/>
  <c r="K2085"/>
  <c r="K2086"/>
  <c r="M2086" s="1"/>
  <c r="K2087"/>
  <c r="K2088"/>
  <c r="M2088" s="1"/>
  <c r="K2089"/>
  <c r="K2090"/>
  <c r="M2090" s="1"/>
  <c r="K2091"/>
  <c r="K2092"/>
  <c r="M2092" s="1"/>
  <c r="K2093"/>
  <c r="K2094"/>
  <c r="M2094" s="1"/>
  <c r="K2095"/>
  <c r="K2096"/>
  <c r="M2096" s="1"/>
  <c r="K2097"/>
  <c r="K2098"/>
  <c r="M2098" s="1"/>
  <c r="K2099"/>
  <c r="K2100"/>
  <c r="M2100" s="1"/>
  <c r="K2101"/>
  <c r="K2102"/>
  <c r="M2102" s="1"/>
  <c r="K2103"/>
  <c r="K2104"/>
  <c r="M2104" s="1"/>
  <c r="K2105"/>
  <c r="K2106"/>
  <c r="M2106" s="1"/>
  <c r="K2107"/>
  <c r="K2108"/>
  <c r="M2108" s="1"/>
  <c r="K2109"/>
  <c r="K2110"/>
  <c r="M2110" s="1"/>
  <c r="K2111"/>
  <c r="K2112"/>
  <c r="M2112" s="1"/>
  <c r="K2113"/>
  <c r="K2114"/>
  <c r="M2114" s="1"/>
  <c r="K2115"/>
  <c r="K2116"/>
  <c r="M2116" s="1"/>
  <c r="K2117"/>
  <c r="K2118"/>
  <c r="M2118" s="1"/>
  <c r="K2119"/>
  <c r="K2120"/>
  <c r="M2120" s="1"/>
  <c r="K2121"/>
  <c r="K2122"/>
  <c r="M2122" s="1"/>
  <c r="K2123"/>
  <c r="K2124"/>
  <c r="M2124" s="1"/>
  <c r="K2125"/>
  <c r="K2126"/>
  <c r="M2126" s="1"/>
  <c r="K2127"/>
  <c r="K2128"/>
  <c r="M2128" s="1"/>
  <c r="K2129"/>
  <c r="K2130"/>
  <c r="M2130" s="1"/>
  <c r="K2131"/>
  <c r="K2132"/>
  <c r="M2132" s="1"/>
  <c r="K2133"/>
  <c r="K2134"/>
  <c r="M2134" s="1"/>
  <c r="K2135"/>
  <c r="K2136"/>
  <c r="M2136" s="1"/>
  <c r="K2137"/>
  <c r="K2138"/>
  <c r="M2138" s="1"/>
  <c r="K2139"/>
  <c r="K2140"/>
  <c r="M2140" s="1"/>
  <c r="K2141"/>
  <c r="K2142"/>
  <c r="M2142" s="1"/>
  <c r="K2143"/>
  <c r="K2144"/>
  <c r="M2144" s="1"/>
  <c r="K2145"/>
  <c r="K2146"/>
  <c r="M2146" s="1"/>
  <c r="K2147"/>
  <c r="K2148"/>
  <c r="M2148" s="1"/>
  <c r="K2149"/>
  <c r="K2150"/>
  <c r="M2150" s="1"/>
  <c r="K2151"/>
  <c r="K2152"/>
  <c r="M2152" s="1"/>
  <c r="K2153"/>
  <c r="K2154"/>
  <c r="M2154" s="1"/>
  <c r="K2155"/>
  <c r="K2156"/>
  <c r="M2156" s="1"/>
  <c r="K2157"/>
  <c r="K2158"/>
  <c r="M2158" s="1"/>
  <c r="K2159"/>
  <c r="K2160"/>
  <c r="M2160" s="1"/>
  <c r="K2161"/>
  <c r="K2162"/>
  <c r="M2162" s="1"/>
  <c r="K2163"/>
  <c r="K2164"/>
  <c r="M2164" s="1"/>
  <c r="K2165"/>
  <c r="K2166"/>
  <c r="M2166" s="1"/>
  <c r="K2167"/>
  <c r="K2168"/>
  <c r="M2168" s="1"/>
  <c r="K2169"/>
  <c r="K2170"/>
  <c r="M2170" s="1"/>
  <c r="K2171"/>
  <c r="K2172"/>
  <c r="M2172" s="1"/>
  <c r="K2173"/>
  <c r="K2174"/>
  <c r="M2174" s="1"/>
  <c r="K2175"/>
  <c r="K2176"/>
  <c r="M2176" s="1"/>
  <c r="K2177"/>
  <c r="K2178"/>
  <c r="M2178" s="1"/>
  <c r="K2179"/>
  <c r="K2180"/>
  <c r="M2180" s="1"/>
  <c r="K2181"/>
  <c r="K2182"/>
  <c r="M2182" s="1"/>
  <c r="K2183"/>
  <c r="K2184"/>
  <c r="M2184" s="1"/>
  <c r="K2185"/>
  <c r="K2186"/>
  <c r="M2186" s="1"/>
  <c r="K2187"/>
  <c r="K2188"/>
  <c r="M2188" s="1"/>
  <c r="K2189"/>
  <c r="K2190"/>
  <c r="M2190" s="1"/>
  <c r="K2191"/>
  <c r="K2192"/>
  <c r="M2192" s="1"/>
  <c r="K2193"/>
  <c r="K2194"/>
  <c r="M2194" s="1"/>
  <c r="K2195"/>
  <c r="K2196"/>
  <c r="M2196" s="1"/>
  <c r="K2197"/>
  <c r="K2198"/>
  <c r="M2198" s="1"/>
  <c r="K2199"/>
  <c r="K2200"/>
  <c r="M2200" s="1"/>
  <c r="K2201"/>
  <c r="K2202"/>
  <c r="M2202" s="1"/>
  <c r="K2203"/>
  <c r="K2204"/>
  <c r="M2204" s="1"/>
  <c r="K2205"/>
  <c r="K2206"/>
  <c r="M2206" s="1"/>
  <c r="K2207"/>
  <c r="K2208"/>
  <c r="M2208" s="1"/>
  <c r="K2209"/>
  <c r="K2210"/>
  <c r="M2210" s="1"/>
  <c r="K2211"/>
  <c r="K2212"/>
  <c r="M2212" s="1"/>
  <c r="K2213"/>
  <c r="K2214"/>
  <c r="M2214" s="1"/>
  <c r="K2215"/>
  <c r="K2216"/>
  <c r="M2216" s="1"/>
  <c r="K2217"/>
  <c r="K2218"/>
  <c r="M2218" s="1"/>
  <c r="K2219"/>
  <c r="K2220"/>
  <c r="M2220" s="1"/>
  <c r="K2221"/>
  <c r="K2222"/>
  <c r="M2222" s="1"/>
  <c r="K2223"/>
  <c r="K2224"/>
  <c r="M2224" s="1"/>
  <c r="K2225"/>
  <c r="K2226"/>
  <c r="M2226" s="1"/>
  <c r="K2227"/>
  <c r="K2228"/>
  <c r="M2228" s="1"/>
  <c r="K2229"/>
  <c r="K2230"/>
  <c r="M2230" s="1"/>
  <c r="K2231"/>
  <c r="K2232"/>
  <c r="M2232" s="1"/>
  <c r="K2233"/>
  <c r="K2234"/>
  <c r="M2234" s="1"/>
  <c r="K2235"/>
  <c r="K2236"/>
  <c r="M2236" s="1"/>
  <c r="K2237"/>
  <c r="K2238"/>
  <c r="M2238" s="1"/>
  <c r="K2239"/>
  <c r="K2240"/>
  <c r="M2240" s="1"/>
  <c r="K2241"/>
  <c r="K2242"/>
  <c r="M2242" s="1"/>
  <c r="K2243"/>
  <c r="K2244"/>
  <c r="M2244" s="1"/>
  <c r="K2245"/>
  <c r="K2246"/>
  <c r="M2246" s="1"/>
  <c r="K2247"/>
  <c r="K2248"/>
  <c r="M2248" s="1"/>
  <c r="K2249"/>
  <c r="K2250"/>
  <c r="M2250" s="1"/>
  <c r="K2251"/>
  <c r="K2252"/>
  <c r="M2252" s="1"/>
  <c r="K2253"/>
  <c r="K2254"/>
  <c r="M2254" s="1"/>
  <c r="K2255"/>
  <c r="K2256"/>
  <c r="M2256" s="1"/>
  <c r="K2257"/>
  <c r="K2258"/>
  <c r="M2258" s="1"/>
  <c r="K2259"/>
  <c r="K2260"/>
  <c r="M2260" s="1"/>
  <c r="K2261"/>
  <c r="K2262"/>
  <c r="M2262" s="1"/>
  <c r="K2263"/>
  <c r="K2264"/>
  <c r="M2264" s="1"/>
  <c r="K2265"/>
  <c r="K2266"/>
  <c r="M2266" s="1"/>
  <c r="K2267"/>
  <c r="K2268"/>
  <c r="M2268" s="1"/>
  <c r="K2269"/>
  <c r="K2270"/>
  <c r="M2270" s="1"/>
  <c r="K2271"/>
  <c r="K2272"/>
  <c r="M2272" s="1"/>
  <c r="K2273"/>
  <c r="K2274"/>
  <c r="M2274" s="1"/>
  <c r="K2275"/>
  <c r="K2276"/>
  <c r="M2276" s="1"/>
  <c r="K2277"/>
  <c r="K2278"/>
  <c r="M2278" s="1"/>
  <c r="K2279"/>
  <c r="K2280"/>
  <c r="M2280" s="1"/>
  <c r="K2281"/>
  <c r="K2282"/>
  <c r="M2282" s="1"/>
  <c r="K2283"/>
  <c r="K2284"/>
  <c r="M2284" s="1"/>
  <c r="K2285"/>
  <c r="K2286"/>
  <c r="M2286" s="1"/>
  <c r="K2287"/>
  <c r="K2288"/>
  <c r="M2288" s="1"/>
  <c r="K2289"/>
  <c r="K2290"/>
  <c r="M2290" s="1"/>
  <c r="K2291"/>
  <c r="K2292"/>
  <c r="M2292" s="1"/>
  <c r="K2293"/>
  <c r="K2294"/>
  <c r="M2294" s="1"/>
  <c r="K2295"/>
  <c r="K2296"/>
  <c r="M2296" s="1"/>
  <c r="K2297"/>
  <c r="K2298"/>
  <c r="M2298" s="1"/>
  <c r="K2299"/>
  <c r="K2300"/>
  <c r="M2300" s="1"/>
  <c r="K2301"/>
  <c r="K2302"/>
  <c r="M2302" s="1"/>
  <c r="K2303"/>
  <c r="K2304"/>
  <c r="M2304" s="1"/>
  <c r="K2305"/>
  <c r="K2306"/>
  <c r="M2306" s="1"/>
  <c r="K2307"/>
  <c r="K2308"/>
  <c r="M2308" s="1"/>
  <c r="K2309"/>
  <c r="K2310"/>
  <c r="M2310" s="1"/>
  <c r="K2311"/>
  <c r="K2312"/>
  <c r="M2312" s="1"/>
  <c r="K2313"/>
  <c r="K2314"/>
  <c r="M2314" s="1"/>
  <c r="K2315"/>
  <c r="K2316"/>
  <c r="M2316" s="1"/>
  <c r="K2317"/>
  <c r="K2318"/>
  <c r="M2318" s="1"/>
  <c r="K2319"/>
  <c r="K2320"/>
  <c r="M2320" s="1"/>
  <c r="K2321"/>
  <c r="K2322"/>
  <c r="M2322" s="1"/>
  <c r="K2323"/>
  <c r="K2324"/>
  <c r="M2324" s="1"/>
  <c r="K2325"/>
  <c r="K2326"/>
  <c r="M2326" s="1"/>
  <c r="K2327"/>
  <c r="K2328"/>
  <c r="M2328" s="1"/>
  <c r="K2329"/>
  <c r="K2330"/>
  <c r="M2330" s="1"/>
  <c r="K2331"/>
  <c r="K2332"/>
  <c r="M2332" s="1"/>
  <c r="K2333"/>
  <c r="K2334"/>
  <c r="M2334" s="1"/>
  <c r="K2335"/>
  <c r="K2336"/>
  <c r="M2336" s="1"/>
  <c r="K2337"/>
  <c r="K2338"/>
  <c r="M2338" s="1"/>
  <c r="K2339"/>
  <c r="K2340"/>
  <c r="M2340" s="1"/>
  <c r="K2341"/>
  <c r="K2342"/>
  <c r="M2342" s="1"/>
  <c r="K2343"/>
  <c r="K2344"/>
  <c r="M2344" s="1"/>
  <c r="K2345"/>
  <c r="K2346"/>
  <c r="M2346" s="1"/>
  <c r="K2347"/>
  <c r="K2348"/>
  <c r="M2348" s="1"/>
  <c r="K2349"/>
  <c r="K2350"/>
  <c r="M2350" s="1"/>
  <c r="K2351"/>
  <c r="K2352"/>
  <c r="M2352" s="1"/>
  <c r="K2353"/>
  <c r="K2354"/>
  <c r="M2354" s="1"/>
  <c r="K2355"/>
  <c r="K2356"/>
  <c r="M2356" s="1"/>
  <c r="K2357"/>
  <c r="K2358"/>
  <c r="M2358" s="1"/>
  <c r="K2359"/>
  <c r="K2360"/>
  <c r="M2360" s="1"/>
  <c r="K2361"/>
  <c r="K2362"/>
  <c r="M2362" s="1"/>
  <c r="K2363"/>
  <c r="K2364"/>
  <c r="M2364" s="1"/>
  <c r="K2365"/>
  <c r="K2366"/>
  <c r="M2366" s="1"/>
  <c r="K2367"/>
  <c r="K2368"/>
  <c r="M2368" s="1"/>
  <c r="K2369"/>
  <c r="K2370"/>
  <c r="M2370" s="1"/>
  <c r="K2371"/>
  <c r="K2372"/>
  <c r="M2372" s="1"/>
  <c r="K2373"/>
  <c r="K2374"/>
  <c r="M2374" s="1"/>
  <c r="K2375"/>
  <c r="K2376"/>
  <c r="M2376" s="1"/>
  <c r="K2377"/>
  <c r="K2378"/>
  <c r="M2378" s="1"/>
  <c r="K2379"/>
  <c r="K2380"/>
  <c r="M2380" s="1"/>
  <c r="K2381"/>
  <c r="K2382"/>
  <c r="M2382" s="1"/>
  <c r="K2383"/>
  <c r="K2384"/>
  <c r="M2384" s="1"/>
  <c r="K2385"/>
  <c r="K2386"/>
  <c r="M2386" s="1"/>
  <c r="K2387"/>
  <c r="K2388"/>
  <c r="M2388" s="1"/>
  <c r="K2389"/>
  <c r="K2390"/>
  <c r="M2390" s="1"/>
  <c r="K2391"/>
  <c r="K2392"/>
  <c r="M2392" s="1"/>
  <c r="K2393"/>
  <c r="K2394"/>
  <c r="M2394" s="1"/>
  <c r="K2395"/>
  <c r="K2396"/>
  <c r="M2396" s="1"/>
  <c r="K2397"/>
  <c r="K2398"/>
  <c r="M2398" s="1"/>
  <c r="K2399"/>
  <c r="K2400"/>
  <c r="M2400" s="1"/>
  <c r="K2401"/>
  <c r="K2402"/>
  <c r="M2402" s="1"/>
  <c r="K2403"/>
  <c r="K2404"/>
  <c r="M2404" s="1"/>
  <c r="K2405"/>
  <c r="K2406"/>
  <c r="M2406" s="1"/>
  <c r="K2407"/>
  <c r="K2408"/>
  <c r="M2408" s="1"/>
  <c r="K2409"/>
  <c r="K2410"/>
  <c r="M2410" s="1"/>
  <c r="K2411"/>
  <c r="K2412"/>
  <c r="M2412" s="1"/>
  <c r="K2413"/>
  <c r="K2414"/>
  <c r="M2414" s="1"/>
  <c r="K2415"/>
  <c r="K2416"/>
  <c r="M2416" s="1"/>
  <c r="K2417"/>
  <c r="K2418"/>
  <c r="M2418" s="1"/>
  <c r="K2419"/>
  <c r="K2420"/>
  <c r="M2420" s="1"/>
  <c r="K2421"/>
  <c r="K2422"/>
  <c r="M2422" s="1"/>
  <c r="K2423"/>
  <c r="K2424"/>
  <c r="M2424" s="1"/>
  <c r="K2425"/>
  <c r="K2426"/>
  <c r="M2426" s="1"/>
  <c r="K2427"/>
  <c r="K2428"/>
  <c r="M2428" s="1"/>
  <c r="K2429"/>
  <c r="K2430"/>
  <c r="M2430" s="1"/>
  <c r="K2431"/>
  <c r="K2432"/>
  <c r="M2432" s="1"/>
  <c r="K2433"/>
  <c r="K2434"/>
  <c r="M2434" s="1"/>
  <c r="K2435"/>
  <c r="K2436"/>
  <c r="M2436" s="1"/>
  <c r="K2437"/>
  <c r="K2438"/>
  <c r="M2438" s="1"/>
  <c r="K2439"/>
  <c r="K2440"/>
  <c r="M2440" s="1"/>
  <c r="K2441"/>
  <c r="K2442"/>
  <c r="M2442" s="1"/>
  <c r="K2443"/>
  <c r="K2444"/>
  <c r="M2444" s="1"/>
  <c r="K2445"/>
  <c r="K2446"/>
  <c r="M2446" s="1"/>
  <c r="K2447"/>
  <c r="K2448"/>
  <c r="M2448" s="1"/>
  <c r="K2449"/>
  <c r="K2450"/>
  <c r="M2450" s="1"/>
  <c r="K2451"/>
  <c r="K2452"/>
  <c r="M2452" s="1"/>
  <c r="K2453"/>
  <c r="K2454"/>
  <c r="M2454" s="1"/>
  <c r="K2455"/>
  <c r="K2456"/>
  <c r="M2456" s="1"/>
  <c r="K2457"/>
  <c r="K2458"/>
  <c r="M2458" s="1"/>
  <c r="K2459"/>
  <c r="K2460"/>
  <c r="M2460" s="1"/>
  <c r="K2461"/>
  <c r="K2462"/>
  <c r="M2462" s="1"/>
  <c r="K2463"/>
  <c r="K2464"/>
  <c r="M2464" s="1"/>
  <c r="K2465"/>
  <c r="K2466"/>
  <c r="M2466" s="1"/>
  <c r="K2467"/>
  <c r="K2468"/>
  <c r="M2468" s="1"/>
  <c r="K2469"/>
  <c r="K2470"/>
  <c r="M2470" s="1"/>
  <c r="K2471"/>
  <c r="K2472"/>
  <c r="M2472" s="1"/>
  <c r="K2473"/>
  <c r="K2474"/>
  <c r="M2474" s="1"/>
  <c r="K2475"/>
  <c r="K2476"/>
  <c r="M2476" s="1"/>
  <c r="K2477"/>
  <c r="K2478"/>
  <c r="M2478" s="1"/>
  <c r="K2479"/>
  <c r="K2480"/>
  <c r="M2480" s="1"/>
  <c r="K2481"/>
  <c r="K2482"/>
  <c r="M2482" s="1"/>
  <c r="K2483"/>
  <c r="K2484"/>
  <c r="M2484" s="1"/>
  <c r="K2485"/>
  <c r="K2486"/>
  <c r="M2486" s="1"/>
  <c r="K2487"/>
  <c r="K2488"/>
  <c r="M2488" s="1"/>
  <c r="K2489"/>
  <c r="K2490"/>
  <c r="M2490" s="1"/>
  <c r="K2491"/>
  <c r="K2492"/>
  <c r="M2492" s="1"/>
  <c r="K2493"/>
  <c r="K2494"/>
  <c r="M2494" s="1"/>
  <c r="K2495"/>
  <c r="K2496"/>
  <c r="M2496" s="1"/>
  <c r="K2497"/>
  <c r="K2498"/>
  <c r="M2498" s="1"/>
  <c r="K2499"/>
  <c r="K2500"/>
  <c r="M2500" s="1"/>
  <c r="K2501"/>
  <c r="K2502"/>
  <c r="M2502" s="1"/>
  <c r="K2503"/>
  <c r="K2504"/>
  <c r="M2504" s="1"/>
  <c r="K2505"/>
  <c r="K2506"/>
  <c r="M2506" s="1"/>
  <c r="K2507"/>
  <c r="K2508"/>
  <c r="M2508" s="1"/>
  <c r="K2509"/>
  <c r="K2510"/>
  <c r="M2510" s="1"/>
  <c r="K2511"/>
  <c r="K2512"/>
  <c r="M2512" s="1"/>
  <c r="K2513"/>
  <c r="K2514"/>
  <c r="M2514" s="1"/>
  <c r="K2515"/>
  <c r="K2516"/>
  <c r="M2516" s="1"/>
  <c r="K2517"/>
  <c r="K2518"/>
  <c r="M2518" s="1"/>
  <c r="K2519"/>
  <c r="K2520"/>
  <c r="M2520" s="1"/>
  <c r="K2521"/>
  <c r="K2522"/>
  <c r="M2522" s="1"/>
  <c r="L56"/>
  <c r="K26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8"/>
  <c r="M2532" l="1"/>
  <c r="U18" s="1"/>
  <c r="M2528"/>
  <c r="U14" s="1"/>
  <c r="M2524"/>
  <c r="U10" s="1"/>
  <c r="S19"/>
  <c r="M2534"/>
  <c r="U20" s="1"/>
  <c r="S11"/>
  <c r="M240"/>
  <c r="M236"/>
  <c r="M232"/>
  <c r="M228"/>
  <c r="M224"/>
  <c r="M220"/>
  <c r="M216"/>
  <c r="M212"/>
  <c r="M208"/>
  <c r="M204"/>
  <c r="M200"/>
  <c r="M196"/>
  <c r="M192"/>
  <c r="M188"/>
  <c r="M184"/>
  <c r="M180"/>
  <c r="M176"/>
  <c r="M172"/>
  <c r="M168"/>
  <c r="M164"/>
  <c r="M160"/>
  <c r="M156"/>
  <c r="M152"/>
  <c r="M148"/>
  <c r="M144"/>
  <c r="M140"/>
  <c r="M136"/>
  <c r="M132"/>
  <c r="M128"/>
  <c r="M124"/>
  <c r="M120"/>
  <c r="M116"/>
  <c r="M112"/>
  <c r="M108"/>
  <c r="M104"/>
  <c r="M100"/>
  <c r="M96"/>
  <c r="M92"/>
  <c r="M88"/>
  <c r="M84"/>
  <c r="M80"/>
  <c r="M76"/>
  <c r="M72"/>
  <c r="M68"/>
  <c r="M64"/>
  <c r="M2535"/>
  <c r="U21" s="1"/>
  <c r="S14"/>
  <c r="M2529"/>
  <c r="U15" s="1"/>
  <c r="M82"/>
  <c r="M78"/>
  <c r="M74"/>
  <c r="M70"/>
  <c r="M66"/>
  <c r="M62"/>
  <c r="M2531"/>
  <c r="U17" s="1"/>
  <c r="M2527"/>
  <c r="U13" s="1"/>
  <c r="M2523"/>
  <c r="U9" s="1"/>
  <c r="S18"/>
  <c r="S10"/>
  <c r="S17"/>
  <c r="S13"/>
  <c r="S20"/>
  <c r="M2536"/>
  <c r="U22" s="1"/>
  <c r="M2530"/>
  <c r="U16" s="1"/>
  <c r="M2526"/>
  <c r="U12" s="1"/>
  <c r="M2537"/>
  <c r="U23" s="1"/>
  <c r="S9"/>
  <c r="M58"/>
  <c r="M60"/>
  <c r="M56"/>
  <c r="M2521"/>
  <c r="M2517"/>
  <c r="M2513"/>
  <c r="M2509"/>
  <c r="M2505"/>
  <c r="M2501"/>
  <c r="M2497"/>
  <c r="M2493"/>
  <c r="M2489"/>
  <c r="M2485"/>
  <c r="M2481"/>
  <c r="M2477"/>
  <c r="M2473"/>
  <c r="M2469"/>
  <c r="M2465"/>
  <c r="M2461"/>
  <c r="M2457"/>
  <c r="M2453"/>
  <c r="M2449"/>
  <c r="M2445"/>
  <c r="M2441"/>
  <c r="M2437"/>
  <c r="M2433"/>
  <c r="M2429"/>
  <c r="M2425"/>
  <c r="M2421"/>
  <c r="M2417"/>
  <c r="M2413"/>
  <c r="M2409"/>
  <c r="M2405"/>
  <c r="M2401"/>
  <c r="M2397"/>
  <c r="M2393"/>
  <c r="M2389"/>
  <c r="M2385"/>
  <c r="M2381"/>
  <c r="M2377"/>
  <c r="M2373"/>
  <c r="M2369"/>
  <c r="M2365"/>
  <c r="M2361"/>
  <c r="M2357"/>
  <c r="M2353"/>
  <c r="M2349"/>
  <c r="M2345"/>
  <c r="M2341"/>
  <c r="M2337"/>
  <c r="M2333"/>
  <c r="M2329"/>
  <c r="M2325"/>
  <c r="M2321"/>
  <c r="M2317"/>
  <c r="M2313"/>
  <c r="M2309"/>
  <c r="M2305"/>
  <c r="M2301"/>
  <c r="M2297"/>
  <c r="M2293"/>
  <c r="M2289"/>
  <c r="M2285"/>
  <c r="M2281"/>
  <c r="M2277"/>
  <c r="M2273"/>
  <c r="M2269"/>
  <c r="M2265"/>
  <c r="M2261"/>
  <c r="M2257"/>
  <c r="M2253"/>
  <c r="M2249"/>
  <c r="M2245"/>
  <c r="M2241"/>
  <c r="M2237"/>
  <c r="M2233"/>
  <c r="M2229"/>
  <c r="M2225"/>
  <c r="M2221"/>
  <c r="M2217"/>
  <c r="M2213"/>
  <c r="M2209"/>
  <c r="M2205"/>
  <c r="M2201"/>
  <c r="M2197"/>
  <c r="M2193"/>
  <c r="M2189"/>
  <c r="M2185"/>
  <c r="M2181"/>
  <c r="M2177"/>
  <c r="M2173"/>
  <c r="M2169"/>
  <c r="M2165"/>
  <c r="M2161"/>
  <c r="M2157"/>
  <c r="M2153"/>
  <c r="M2149"/>
  <c r="M2145"/>
  <c r="M2141"/>
  <c r="M2137"/>
  <c r="M2133"/>
  <c r="M2129"/>
  <c r="M2125"/>
  <c r="M2121"/>
  <c r="M2117"/>
  <c r="M2113"/>
  <c r="M2109"/>
  <c r="M2105"/>
  <c r="M2101"/>
  <c r="M2097"/>
  <c r="M2093"/>
  <c r="M2089"/>
  <c r="M2085"/>
  <c r="M2081"/>
  <c r="M2077"/>
  <c r="M2073"/>
  <c r="M2069"/>
  <c r="M2065"/>
  <c r="M2061"/>
  <c r="M2057"/>
  <c r="M2053"/>
  <c r="M2049"/>
  <c r="M2045"/>
  <c r="M2041"/>
  <c r="M2037"/>
  <c r="M2033"/>
  <c r="M2029"/>
  <c r="M2025"/>
  <c r="M2021"/>
  <c r="M2017"/>
  <c r="M2013"/>
  <c r="M2009"/>
  <c r="M2005"/>
  <c r="M2001"/>
  <c r="M1997"/>
  <c r="M1993"/>
  <c r="M1989"/>
  <c r="M1985"/>
  <c r="M1981"/>
  <c r="M1977"/>
  <c r="M1973"/>
  <c r="M1969"/>
  <c r="M1965"/>
  <c r="M1961"/>
  <c r="M1957"/>
  <c r="M1953"/>
  <c r="M1949"/>
  <c r="M1945"/>
  <c r="M1941"/>
  <c r="M1937"/>
  <c r="M1933"/>
  <c r="M1929"/>
  <c r="M1925"/>
  <c r="M1921"/>
  <c r="M1917"/>
  <c r="M1913"/>
  <c r="M1909"/>
  <c r="M1905"/>
  <c r="M1901"/>
  <c r="M1897"/>
  <c r="M1893"/>
  <c r="M1889"/>
  <c r="M1885"/>
  <c r="M1881"/>
  <c r="M1877"/>
  <c r="M1873"/>
  <c r="M1869"/>
  <c r="M1865"/>
  <c r="M1861"/>
  <c r="M1857"/>
  <c r="M1853"/>
  <c r="M1849"/>
  <c r="M1845"/>
  <c r="M1841"/>
  <c r="M1837"/>
  <c r="M1833"/>
  <c r="M1829"/>
  <c r="M1825"/>
  <c r="M1821"/>
  <c r="M1817"/>
  <c r="M1813"/>
  <c r="M1809"/>
  <c r="M1805"/>
  <c r="M1801"/>
  <c r="M1797"/>
  <c r="M1793"/>
  <c r="M1789"/>
  <c r="M1785"/>
  <c r="M1781"/>
  <c r="M1777"/>
  <c r="M1773"/>
  <c r="M1769"/>
  <c r="M1765"/>
  <c r="M1761"/>
  <c r="M1757"/>
  <c r="M1753"/>
  <c r="M1749"/>
  <c r="M1745"/>
  <c r="M1741"/>
  <c r="M1737"/>
  <c r="M1733"/>
  <c r="M1729"/>
  <c r="M1725"/>
  <c r="M1721"/>
  <c r="M1717"/>
  <c r="M1713"/>
  <c r="M1709"/>
  <c r="M1705"/>
  <c r="M1701"/>
  <c r="M1697"/>
  <c r="M1693"/>
  <c r="M1689"/>
  <c r="M1685"/>
  <c r="M1681"/>
  <c r="M1677"/>
  <c r="M1673"/>
  <c r="M1669"/>
  <c r="M1665"/>
  <c r="M1661"/>
  <c r="M1657"/>
  <c r="M1653"/>
  <c r="M2519"/>
  <c r="M2515"/>
  <c r="M2511"/>
  <c r="M2507"/>
  <c r="M2503"/>
  <c r="M2499"/>
  <c r="M2495"/>
  <c r="M2491"/>
  <c r="M2487"/>
  <c r="M2483"/>
  <c r="M2479"/>
  <c r="M2475"/>
  <c r="M2471"/>
  <c r="M2467"/>
  <c r="M2463"/>
  <c r="M2459"/>
  <c r="M2455"/>
  <c r="M2451"/>
  <c r="M2447"/>
  <c r="M2443"/>
  <c r="M2439"/>
  <c r="M2435"/>
  <c r="M2431"/>
  <c r="M2427"/>
  <c r="M2423"/>
  <c r="M2419"/>
  <c r="M2415"/>
  <c r="M2411"/>
  <c r="M2407"/>
  <c r="M2403"/>
  <c r="M2399"/>
  <c r="M2395"/>
  <c r="M2391"/>
  <c r="M2387"/>
  <c r="M2383"/>
  <c r="M2379"/>
  <c r="M2375"/>
  <c r="M2371"/>
  <c r="M2367"/>
  <c r="M2363"/>
  <c r="M2359"/>
  <c r="M2355"/>
  <c r="M2351"/>
  <c r="M2347"/>
  <c r="M2343"/>
  <c r="M2339"/>
  <c r="M2335"/>
  <c r="M2331"/>
  <c r="M2327"/>
  <c r="M2323"/>
  <c r="M2319"/>
  <c r="M2315"/>
  <c r="M2311"/>
  <c r="M2307"/>
  <c r="M2303"/>
  <c r="M2299"/>
  <c r="M2295"/>
  <c r="M2291"/>
  <c r="M2287"/>
  <c r="M2283"/>
  <c r="M2279"/>
  <c r="M2275"/>
  <c r="M2271"/>
  <c r="M2267"/>
  <c r="M2263"/>
  <c r="M2259"/>
  <c r="M2255"/>
  <c r="M2251"/>
  <c r="M2247"/>
  <c r="M2243"/>
  <c r="M2239"/>
  <c r="M2235"/>
  <c r="M2231"/>
  <c r="M2227"/>
  <c r="M2223"/>
  <c r="M2219"/>
  <c r="M2215"/>
  <c r="M2211"/>
  <c r="M2207"/>
  <c r="M2203"/>
  <c r="M2199"/>
  <c r="M2195"/>
  <c r="M2191"/>
  <c r="M2187"/>
  <c r="M2183"/>
  <c r="M2179"/>
  <c r="M2175"/>
  <c r="M2171"/>
  <c r="M2167"/>
  <c r="M2163"/>
  <c r="M2159"/>
  <c r="M2155"/>
  <c r="M2151"/>
  <c r="M2147"/>
  <c r="M2143"/>
  <c r="M2139"/>
  <c r="M2135"/>
  <c r="M2131"/>
  <c r="M2127"/>
  <c r="M2123"/>
  <c r="M2119"/>
  <c r="M2115"/>
  <c r="M2111"/>
  <c r="M2107"/>
  <c r="M2103"/>
  <c r="M2099"/>
  <c r="M2095"/>
  <c r="M2091"/>
  <c r="M2087"/>
  <c r="M2083"/>
  <c r="M2079"/>
  <c r="M2075"/>
  <c r="M2071"/>
  <c r="M2067"/>
  <c r="M2063"/>
  <c r="M2059"/>
  <c r="M2055"/>
  <c r="M2051"/>
  <c r="M2047"/>
  <c r="M2043"/>
  <c r="M2039"/>
  <c r="M2035"/>
  <c r="M2031"/>
  <c r="M2027"/>
  <c r="M2023"/>
  <c r="M2019"/>
  <c r="M2015"/>
  <c r="M2011"/>
  <c r="M2007"/>
  <c r="M2003"/>
  <c r="M1999"/>
  <c r="M1995"/>
  <c r="M1991"/>
  <c r="M1987"/>
  <c r="M1983"/>
  <c r="M1979"/>
  <c r="M1975"/>
  <c r="M1971"/>
  <c r="M1967"/>
  <c r="M1963"/>
  <c r="M1959"/>
  <c r="M1955"/>
  <c r="M1951"/>
  <c r="M1947"/>
  <c r="M1943"/>
  <c r="M1939"/>
  <c r="M1935"/>
  <c r="M1931"/>
  <c r="M1927"/>
  <c r="M1923"/>
  <c r="M1919"/>
  <c r="M1915"/>
  <c r="M1911"/>
  <c r="M1907"/>
  <c r="M1903"/>
  <c r="M1899"/>
  <c r="M1895"/>
  <c r="M1891"/>
  <c r="M1887"/>
  <c r="M1883"/>
  <c r="M1879"/>
  <c r="M1875"/>
  <c r="M1871"/>
  <c r="M1867"/>
  <c r="M1863"/>
  <c r="M1859"/>
  <c r="M1855"/>
  <c r="M1851"/>
  <c r="M1847"/>
  <c r="M1843"/>
  <c r="M1839"/>
  <c r="M1835"/>
  <c r="M1831"/>
  <c r="M1827"/>
  <c r="M1823"/>
  <c r="M1819"/>
  <c r="M1815"/>
  <c r="M1811"/>
  <c r="M1807"/>
  <c r="M1803"/>
  <c r="M1799"/>
  <c r="M1795"/>
  <c r="M1791"/>
  <c r="M1787"/>
  <c r="M1783"/>
  <c r="M1779"/>
  <c r="M1775"/>
  <c r="M1771"/>
  <c r="M1767"/>
  <c r="M1763"/>
  <c r="M1759"/>
  <c r="M1755"/>
  <c r="M1751"/>
  <c r="M1747"/>
  <c r="M1743"/>
  <c r="M1739"/>
  <c r="M1735"/>
  <c r="M1731"/>
  <c r="M1727"/>
  <c r="M1723"/>
  <c r="M1719"/>
  <c r="M1715"/>
  <c r="M1711"/>
  <c r="M1707"/>
  <c r="M1703"/>
  <c r="M1699"/>
  <c r="M1695"/>
  <c r="M1691"/>
  <c r="M1687"/>
  <c r="M1683"/>
  <c r="M1679"/>
  <c r="M1675"/>
  <c r="M1671"/>
  <c r="M1667"/>
  <c r="M1663"/>
  <c r="M1659"/>
  <c r="M1655"/>
  <c r="M1651"/>
  <c r="M1647"/>
  <c r="M1643"/>
  <c r="M1639"/>
  <c r="M1649"/>
  <c r="M1645"/>
  <c r="M1641"/>
  <c r="M1637"/>
  <c r="M1633"/>
  <c r="M1629"/>
  <c r="M1625"/>
  <c r="M1621"/>
  <c r="M1617"/>
  <c r="M1613"/>
  <c r="M1609"/>
  <c r="M1605"/>
  <c r="M1601"/>
  <c r="M1597"/>
  <c r="M1593"/>
  <c r="M1589"/>
  <c r="M1585"/>
  <c r="M1581"/>
  <c r="M1577"/>
  <c r="M1573"/>
  <c r="M1569"/>
  <c r="M1565"/>
  <c r="M1561"/>
  <c r="M1557"/>
  <c r="M1553"/>
  <c r="M1549"/>
  <c r="M1545"/>
  <c r="M1541"/>
  <c r="M1537"/>
  <c r="M1533"/>
  <c r="M1529"/>
  <c r="M1525"/>
  <c r="M1521"/>
  <c r="M1517"/>
  <c r="M1513"/>
  <c r="M1509"/>
  <c r="M1505"/>
  <c r="M1501"/>
  <c r="M1497"/>
  <c r="M1493"/>
  <c r="M1489"/>
  <c r="M1485"/>
  <c r="M1481"/>
  <c r="M1477"/>
  <c r="M1473"/>
  <c r="M1469"/>
  <c r="M1465"/>
  <c r="M1461"/>
  <c r="M1457"/>
  <c r="M1453"/>
  <c r="M1449"/>
  <c r="M1445"/>
  <c r="M1441"/>
  <c r="M1437"/>
  <c r="M1433"/>
  <c r="M1429"/>
  <c r="M1425"/>
  <c r="M1421"/>
  <c r="M1417"/>
  <c r="M1413"/>
  <c r="M1409"/>
  <c r="M1405"/>
  <c r="M1401"/>
  <c r="M1397"/>
  <c r="M1393"/>
  <c r="M1389"/>
  <c r="M1385"/>
  <c r="M1381"/>
  <c r="M1377"/>
  <c r="M1373"/>
  <c r="M1369"/>
  <c r="M1365"/>
  <c r="M1361"/>
  <c r="M1357"/>
  <c r="M1353"/>
  <c r="M1349"/>
  <c r="M1345"/>
  <c r="M1341"/>
  <c r="M1337"/>
  <c r="M1333"/>
  <c r="M1329"/>
  <c r="M1325"/>
  <c r="M1321"/>
  <c r="M1317"/>
  <c r="M1313"/>
  <c r="M1309"/>
  <c r="M1305"/>
  <c r="M1301"/>
  <c r="M1297"/>
  <c r="M1293"/>
  <c r="M1289"/>
  <c r="M1285"/>
  <c r="M1281"/>
  <c r="M1277"/>
  <c r="M1273"/>
  <c r="M1269"/>
  <c r="M1265"/>
  <c r="M1261"/>
  <c r="M1257"/>
  <c r="M1253"/>
  <c r="M1249"/>
  <c r="M1245"/>
  <c r="M1241"/>
  <c r="M1237"/>
  <c r="M1233"/>
  <c r="M1229"/>
  <c r="M1225"/>
  <c r="M1221"/>
  <c r="M1217"/>
  <c r="M1213"/>
  <c r="M1209"/>
  <c r="M1205"/>
  <c r="M1201"/>
  <c r="M1197"/>
  <c r="M1193"/>
  <c r="M1189"/>
  <c r="M1185"/>
  <c r="M1181"/>
  <c r="M1177"/>
  <c r="M1173"/>
  <c r="M1169"/>
  <c r="M1165"/>
  <c r="M1161"/>
  <c r="M1157"/>
  <c r="M1153"/>
  <c r="M1149"/>
  <c r="M1145"/>
  <c r="M1141"/>
  <c r="M1137"/>
  <c r="M1133"/>
  <c r="M1129"/>
  <c r="M1125"/>
  <c r="M1121"/>
  <c r="M1117"/>
  <c r="M1113"/>
  <c r="M1109"/>
  <c r="M1105"/>
  <c r="M1101"/>
  <c r="M1097"/>
  <c r="M1093"/>
  <c r="M1089"/>
  <c r="M1085"/>
  <c r="M1081"/>
  <c r="M1077"/>
  <c r="M1073"/>
  <c r="M1069"/>
  <c r="M1065"/>
  <c r="M1061"/>
  <c r="M1057"/>
  <c r="M1053"/>
  <c r="M1049"/>
  <c r="M1045"/>
  <c r="M1041"/>
  <c r="M1037"/>
  <c r="M1033"/>
  <c r="M1029"/>
  <c r="M1025"/>
  <c r="M1021"/>
  <c r="M1017"/>
  <c r="M1013"/>
  <c r="M1009"/>
  <c r="M1005"/>
  <c r="M1001"/>
  <c r="M997"/>
  <c r="M993"/>
  <c r="M989"/>
  <c r="M985"/>
  <c r="M981"/>
  <c r="M977"/>
  <c r="M973"/>
  <c r="M969"/>
  <c r="M965"/>
  <c r="M961"/>
  <c r="M957"/>
  <c r="M953"/>
  <c r="M949"/>
  <c r="M945"/>
  <c r="M941"/>
  <c r="M937"/>
  <c r="M933"/>
  <c r="M929"/>
  <c r="M925"/>
  <c r="M921"/>
  <c r="M917"/>
  <c r="M913"/>
  <c r="M909"/>
  <c r="M905"/>
  <c r="M901"/>
  <c r="M897"/>
  <c r="M893"/>
  <c r="M889"/>
  <c r="M885"/>
  <c r="M881"/>
  <c r="M877"/>
  <c r="M873"/>
  <c r="M869"/>
  <c r="M865"/>
  <c r="M861"/>
  <c r="M857"/>
  <c r="M853"/>
  <c r="M849"/>
  <c r="M845"/>
  <c r="M841"/>
  <c r="M837"/>
  <c r="M833"/>
  <c r="M829"/>
  <c r="M825"/>
  <c r="M821"/>
  <c r="M817"/>
  <c r="M813"/>
  <c r="M809"/>
  <c r="M805"/>
  <c r="M801"/>
  <c r="M797"/>
  <c r="M793"/>
  <c r="M789"/>
  <c r="M785"/>
  <c r="M781"/>
  <c r="M777"/>
  <c r="M773"/>
  <c r="M769"/>
  <c r="M765"/>
  <c r="M761"/>
  <c r="M757"/>
  <c r="M753"/>
  <c r="M749"/>
  <c r="M745"/>
  <c r="M741"/>
  <c r="M737"/>
  <c r="M733"/>
  <c r="M729"/>
  <c r="M725"/>
  <c r="M721"/>
  <c r="M717"/>
  <c r="M713"/>
  <c r="M709"/>
  <c r="M705"/>
  <c r="M701"/>
  <c r="M697"/>
  <c r="M693"/>
  <c r="M689"/>
  <c r="M685"/>
  <c r="M681"/>
  <c r="M677"/>
  <c r="M673"/>
  <c r="M669"/>
  <c r="M665"/>
  <c r="M661"/>
  <c r="M657"/>
  <c r="M653"/>
  <c r="M649"/>
  <c r="M645"/>
  <c r="M641"/>
  <c r="M637"/>
  <c r="M633"/>
  <c r="M629"/>
  <c r="M625"/>
  <c r="M621"/>
  <c r="M617"/>
  <c r="M613"/>
  <c r="M609"/>
  <c r="M605"/>
  <c r="M601"/>
  <c r="M597"/>
  <c r="M593"/>
  <c r="M589"/>
  <c r="M585"/>
  <c r="M581"/>
  <c r="M577"/>
  <c r="M573"/>
  <c r="M569"/>
  <c r="M565"/>
  <c r="M561"/>
  <c r="M557"/>
  <c r="M553"/>
  <c r="M549"/>
  <c r="M545"/>
  <c r="M541"/>
  <c r="M537"/>
  <c r="M533"/>
  <c r="M529"/>
  <c r="M525"/>
  <c r="M521"/>
  <c r="M517"/>
  <c r="M513"/>
  <c r="M509"/>
  <c r="M505"/>
  <c r="M501"/>
  <c r="M497"/>
  <c r="M493"/>
  <c r="M489"/>
  <c r="M485"/>
  <c r="M481"/>
  <c r="M477"/>
  <c r="M473"/>
  <c r="M469"/>
  <c r="M465"/>
  <c r="M461"/>
  <c r="M457"/>
  <c r="M453"/>
  <c r="M449"/>
  <c r="M445"/>
  <c r="M441"/>
  <c r="M437"/>
  <c r="M433"/>
  <c r="M429"/>
  <c r="M425"/>
  <c r="M421"/>
  <c r="M417"/>
  <c r="M413"/>
  <c r="M409"/>
  <c r="M405"/>
  <c r="M401"/>
  <c r="M397"/>
  <c r="M393"/>
  <c r="M389"/>
  <c r="M385"/>
  <c r="M381"/>
  <c r="M377"/>
  <c r="M373"/>
  <c r="M369"/>
  <c r="M365"/>
  <c r="M361"/>
  <c r="M357"/>
  <c r="M353"/>
  <c r="M349"/>
  <c r="M345"/>
  <c r="M341"/>
  <c r="M337"/>
  <c r="M333"/>
  <c r="M329"/>
  <c r="M325"/>
  <c r="M321"/>
  <c r="M317"/>
  <c r="M313"/>
  <c r="M309"/>
  <c r="M305"/>
  <c r="M301"/>
  <c r="M297"/>
  <c r="M293"/>
  <c r="M289"/>
  <c r="M285"/>
  <c r="M281"/>
  <c r="M277"/>
  <c r="M273"/>
  <c r="M269"/>
  <c r="M265"/>
  <c r="M261"/>
  <c r="M257"/>
  <c r="M253"/>
  <c r="M249"/>
  <c r="M245"/>
  <c r="M241"/>
  <c r="M237"/>
  <c r="M233"/>
  <c r="M229"/>
  <c r="M225"/>
  <c r="M221"/>
  <c r="M217"/>
  <c r="M213"/>
  <c r="M209"/>
  <c r="M205"/>
  <c r="M201"/>
  <c r="M197"/>
  <c r="M193"/>
  <c r="M189"/>
  <c r="M185"/>
  <c r="M181"/>
  <c r="M177"/>
  <c r="M173"/>
  <c r="M169"/>
  <c r="M165"/>
  <c r="M161"/>
  <c r="M157"/>
  <c r="M153"/>
  <c r="M149"/>
  <c r="M145"/>
  <c r="M141"/>
  <c r="M137"/>
  <c r="M133"/>
  <c r="M129"/>
  <c r="M125"/>
  <c r="M121"/>
  <c r="M117"/>
  <c r="M113"/>
  <c r="M109"/>
  <c r="M105"/>
  <c r="M101"/>
  <c r="M97"/>
  <c r="M93"/>
  <c r="M89"/>
  <c r="M85"/>
  <c r="M81"/>
  <c r="M77"/>
  <c r="M73"/>
  <c r="M69"/>
  <c r="M65"/>
  <c r="M61"/>
  <c r="M57"/>
  <c r="M1635"/>
  <c r="M1631"/>
  <c r="M1627"/>
  <c r="M1623"/>
  <c r="M1619"/>
  <c r="M1615"/>
  <c r="M1611"/>
  <c r="M1607"/>
  <c r="M1603"/>
  <c r="M1599"/>
  <c r="M1595"/>
  <c r="M1591"/>
  <c r="M1587"/>
  <c r="M1583"/>
  <c r="M1579"/>
  <c r="M1575"/>
  <c r="M1571"/>
  <c r="M1567"/>
  <c r="M1563"/>
  <c r="M1559"/>
  <c r="M1555"/>
  <c r="M1551"/>
  <c r="M1547"/>
  <c r="M1543"/>
  <c r="M1539"/>
  <c r="M1535"/>
  <c r="M1531"/>
  <c r="M1527"/>
  <c r="M1523"/>
  <c r="M1519"/>
  <c r="M1515"/>
  <c r="M1511"/>
  <c r="M1507"/>
  <c r="M1503"/>
  <c r="M1499"/>
  <c r="M1495"/>
  <c r="M1491"/>
  <c r="M1487"/>
  <c r="M1483"/>
  <c r="M1479"/>
  <c r="M1475"/>
  <c r="M1471"/>
  <c r="M1467"/>
  <c r="M1463"/>
  <c r="M1459"/>
  <c r="M1455"/>
  <c r="M1451"/>
  <c r="M1447"/>
  <c r="M1443"/>
  <c r="M1439"/>
  <c r="M1435"/>
  <c r="M1431"/>
  <c r="M1427"/>
  <c r="M1423"/>
  <c r="M1419"/>
  <c r="M1415"/>
  <c r="M1411"/>
  <c r="M1407"/>
  <c r="M1403"/>
  <c r="M1399"/>
  <c r="M1395"/>
  <c r="M1391"/>
  <c r="M1387"/>
  <c r="M1383"/>
  <c r="M1379"/>
  <c r="M1375"/>
  <c r="M1371"/>
  <c r="M1367"/>
  <c r="M1363"/>
  <c r="M1359"/>
  <c r="M1355"/>
  <c r="M1351"/>
  <c r="M1347"/>
  <c r="M1343"/>
  <c r="M1339"/>
  <c r="M1335"/>
  <c r="M1331"/>
  <c r="M1327"/>
  <c r="M1323"/>
  <c r="M1319"/>
  <c r="M1315"/>
  <c r="M1311"/>
  <c r="M1307"/>
  <c r="M1303"/>
  <c r="M1299"/>
  <c r="M1295"/>
  <c r="M1291"/>
  <c r="M1287"/>
  <c r="M1283"/>
  <c r="M1279"/>
  <c r="M1275"/>
  <c r="M1271"/>
  <c r="M1267"/>
  <c r="M1263"/>
  <c r="M1259"/>
  <c r="M1255"/>
  <c r="M1251"/>
  <c r="M1247"/>
  <c r="M1243"/>
  <c r="M1239"/>
  <c r="M1235"/>
  <c r="M1231"/>
  <c r="M1227"/>
  <c r="M1223"/>
  <c r="M1219"/>
  <c r="M1215"/>
  <c r="M1211"/>
  <c r="M1207"/>
  <c r="M1203"/>
  <c r="M1199"/>
  <c r="M1195"/>
  <c r="M1191"/>
  <c r="M1187"/>
  <c r="M1183"/>
  <c r="M1179"/>
  <c r="M1175"/>
  <c r="M1171"/>
  <c r="M1167"/>
  <c r="M1163"/>
  <c r="M1159"/>
  <c r="M1155"/>
  <c r="M1151"/>
  <c r="M1147"/>
  <c r="M1143"/>
  <c r="M1139"/>
  <c r="M1135"/>
  <c r="M1131"/>
  <c r="M1127"/>
  <c r="M1123"/>
  <c r="M1119"/>
  <c r="M1115"/>
  <c r="M1111"/>
  <c r="M1107"/>
  <c r="M1103"/>
  <c r="M1099"/>
  <c r="M1095"/>
  <c r="M1091"/>
  <c r="M1087"/>
  <c r="M1083"/>
  <c r="M1079"/>
  <c r="M1075"/>
  <c r="M1071"/>
  <c r="M1067"/>
  <c r="M1063"/>
  <c r="M1059"/>
  <c r="M1055"/>
  <c r="M1051"/>
  <c r="M1047"/>
  <c r="M1043"/>
  <c r="M1039"/>
  <c r="M1035"/>
  <c r="M1031"/>
  <c r="M1027"/>
  <c r="M1023"/>
  <c r="M1019"/>
  <c r="M1015"/>
  <c r="M1011"/>
  <c r="M1007"/>
  <c r="M1003"/>
  <c r="M999"/>
  <c r="M995"/>
  <c r="M991"/>
  <c r="M987"/>
  <c r="M983"/>
  <c r="M979"/>
  <c r="M975"/>
  <c r="M971"/>
  <c r="M967"/>
  <c r="M963"/>
  <c r="M959"/>
  <c r="M955"/>
  <c r="M951"/>
  <c r="M947"/>
  <c r="M943"/>
  <c r="M939"/>
  <c r="M935"/>
  <c r="M931"/>
  <c r="M927"/>
  <c r="M923"/>
  <c r="M919"/>
  <c r="M915"/>
  <c r="M911"/>
  <c r="M907"/>
  <c r="M903"/>
  <c r="M899"/>
  <c r="M895"/>
  <c r="M891"/>
  <c r="M887"/>
  <c r="M883"/>
  <c r="M879"/>
  <c r="M875"/>
  <c r="M871"/>
  <c r="M867"/>
  <c r="M863"/>
  <c r="M859"/>
  <c r="M855"/>
  <c r="M851"/>
  <c r="M847"/>
  <c r="M843"/>
  <c r="M839"/>
  <c r="M835"/>
  <c r="M831"/>
  <c r="M827"/>
  <c r="M823"/>
  <c r="M819"/>
  <c r="M815"/>
  <c r="M811"/>
  <c r="M807"/>
  <c r="M803"/>
  <c r="M799"/>
  <c r="M795"/>
  <c r="M791"/>
  <c r="M787"/>
  <c r="M783"/>
  <c r="M779"/>
  <c r="M775"/>
  <c r="M771"/>
  <c r="M767"/>
  <c r="M763"/>
  <c r="M759"/>
  <c r="M755"/>
  <c r="M751"/>
  <c r="M747"/>
  <c r="M743"/>
  <c r="M739"/>
  <c r="M735"/>
  <c r="M731"/>
  <c r="M727"/>
  <c r="M723"/>
  <c r="M719"/>
  <c r="M715"/>
  <c r="M711"/>
  <c r="M707"/>
  <c r="M703"/>
  <c r="M699"/>
  <c r="M695"/>
  <c r="M691"/>
  <c r="M687"/>
  <c r="M683"/>
  <c r="M679"/>
  <c r="M675"/>
  <c r="M671"/>
  <c r="M667"/>
  <c r="M663"/>
  <c r="M659"/>
  <c r="M655"/>
  <c r="M651"/>
  <c r="M647"/>
  <c r="M643"/>
  <c r="M639"/>
  <c r="M635"/>
  <c r="M631"/>
  <c r="M627"/>
  <c r="M623"/>
  <c r="M619"/>
  <c r="M615"/>
  <c r="M611"/>
  <c r="M607"/>
  <c r="M603"/>
  <c r="M599"/>
  <c r="M595"/>
  <c r="M591"/>
  <c r="M587"/>
  <c r="M583"/>
  <c r="M579"/>
  <c r="M575"/>
  <c r="M571"/>
  <c r="M567"/>
  <c r="M563"/>
  <c r="M559"/>
  <c r="M555"/>
  <c r="M551"/>
  <c r="M547"/>
  <c r="M543"/>
  <c r="M539"/>
  <c r="M535"/>
  <c r="M531"/>
  <c r="M527"/>
  <c r="M523"/>
  <c r="M519"/>
  <c r="M515"/>
  <c r="M511"/>
  <c r="M507"/>
  <c r="M503"/>
  <c r="M499"/>
  <c r="M495"/>
  <c r="M491"/>
  <c r="M487"/>
  <c r="M483"/>
  <c r="M479"/>
  <c r="M475"/>
  <c r="M471"/>
  <c r="M467"/>
  <c r="M463"/>
  <c r="M459"/>
  <c r="M455"/>
  <c r="M451"/>
  <c r="M447"/>
  <c r="M443"/>
  <c r="M439"/>
  <c r="M435"/>
  <c r="M431"/>
  <c r="M427"/>
  <c r="M423"/>
  <c r="M419"/>
  <c r="M415"/>
  <c r="M411"/>
  <c r="M407"/>
  <c r="M403"/>
  <c r="M399"/>
  <c r="M395"/>
  <c r="M391"/>
  <c r="M387"/>
  <c r="M383"/>
  <c r="M379"/>
  <c r="M375"/>
  <c r="M371"/>
  <c r="M367"/>
  <c r="M363"/>
  <c r="M359"/>
  <c r="M355"/>
  <c r="M351"/>
  <c r="M347"/>
  <c r="M343"/>
  <c r="M339"/>
  <c r="M335"/>
  <c r="M331"/>
  <c r="M327"/>
  <c r="M323"/>
  <c r="M319"/>
  <c r="M315"/>
  <c r="M311"/>
  <c r="M307"/>
  <c r="M303"/>
  <c r="M299"/>
  <c r="M295"/>
  <c r="M291"/>
  <c r="M287"/>
  <c r="M283"/>
  <c r="M279"/>
  <c r="M275"/>
  <c r="M271"/>
  <c r="M267"/>
  <c r="M263"/>
  <c r="M259"/>
  <c r="M255"/>
  <c r="M251"/>
  <c r="M247"/>
  <c r="M243"/>
  <c r="M239"/>
  <c r="M235"/>
  <c r="M231"/>
  <c r="M227"/>
  <c r="M223"/>
  <c r="M219"/>
  <c r="M215"/>
  <c r="M211"/>
  <c r="M207"/>
  <c r="M203"/>
  <c r="M199"/>
  <c r="M195"/>
  <c r="M191"/>
  <c r="M187"/>
  <c r="M183"/>
  <c r="M179"/>
  <c r="M175"/>
  <c r="M171"/>
  <c r="M167"/>
  <c r="M163"/>
  <c r="M159"/>
  <c r="M155"/>
  <c r="M151"/>
  <c r="M147"/>
  <c r="M143"/>
  <c r="M139"/>
  <c r="M135"/>
  <c r="M131"/>
  <c r="M127"/>
  <c r="M123"/>
  <c r="M119"/>
  <c r="M115"/>
  <c r="M111"/>
  <c r="M107"/>
  <c r="M103"/>
  <c r="M99"/>
  <c r="M95"/>
  <c r="M91"/>
  <c r="M87"/>
  <c r="M83"/>
  <c r="M79"/>
  <c r="M75"/>
  <c r="M71"/>
  <c r="M67"/>
  <c r="M63"/>
  <c r="M59"/>
</calcChain>
</file>

<file path=xl/sharedStrings.xml><?xml version="1.0" encoding="utf-8"?>
<sst xmlns="http://schemas.openxmlformats.org/spreadsheetml/2006/main" count="2673" uniqueCount="1334">
  <si>
    <t>Date</t>
  </si>
  <si>
    <t>Price</t>
  </si>
  <si>
    <t>Open</t>
  </si>
  <si>
    <t>High</t>
  </si>
  <si>
    <t>Low</t>
  </si>
  <si>
    <t>Vol.</t>
  </si>
  <si>
    <t>Change %</t>
  </si>
  <si>
    <t>22.17M</t>
  </si>
  <si>
    <t>16.79M</t>
  </si>
  <si>
    <t>14.53M</t>
  </si>
  <si>
    <t>21.56M</t>
  </si>
  <si>
    <t>21.42M</t>
  </si>
  <si>
    <t>21.66M</t>
  </si>
  <si>
    <t>13.40M</t>
  </si>
  <si>
    <t>16.03M</t>
  </si>
  <si>
    <t>15.57M</t>
  </si>
  <si>
    <t>20.78M</t>
  </si>
  <si>
    <t>24.39M</t>
  </si>
  <si>
    <t>26.03M</t>
  </si>
  <si>
    <t>30.59M</t>
  </si>
  <si>
    <t>16.15M</t>
  </si>
  <si>
    <t>13.18M</t>
  </si>
  <si>
    <t>13.42M</t>
  </si>
  <si>
    <t>10.69M</t>
  </si>
  <si>
    <t>15.68M</t>
  </si>
  <si>
    <t>12.07M</t>
  </si>
  <si>
    <t>12.10M</t>
  </si>
  <si>
    <t>13.20M</t>
  </si>
  <si>
    <t>11.33M</t>
  </si>
  <si>
    <t>14.96M</t>
  </si>
  <si>
    <t>20.74M</t>
  </si>
  <si>
    <t>19.24M</t>
  </si>
  <si>
    <t>16.53M</t>
  </si>
  <si>
    <t>18.19M</t>
  </si>
  <si>
    <t>19.82M</t>
  </si>
  <si>
    <t>17.95M</t>
  </si>
  <si>
    <t>12.59M</t>
  </si>
  <si>
    <t>16.19M</t>
  </si>
  <si>
    <t>16.66M</t>
  </si>
  <si>
    <t>18.02M</t>
  </si>
  <si>
    <t>22.42M</t>
  </si>
  <si>
    <t>14.41M</t>
  </si>
  <si>
    <t>17.80M</t>
  </si>
  <si>
    <t>17.92M</t>
  </si>
  <si>
    <t>10.40M</t>
  </si>
  <si>
    <t>12.99M</t>
  </si>
  <si>
    <t>9.26M</t>
  </si>
  <si>
    <t>8.97M</t>
  </si>
  <si>
    <t>8.54M</t>
  </si>
  <si>
    <t>7.95M</t>
  </si>
  <si>
    <t>5.02M</t>
  </si>
  <si>
    <t>13.01M</t>
  </si>
  <si>
    <t>42.46M</t>
  </si>
  <si>
    <t>21.30M</t>
  </si>
  <si>
    <t>20.95M</t>
  </si>
  <si>
    <t>21.90M</t>
  </si>
  <si>
    <t>24.56M</t>
  </si>
  <si>
    <t>13.43M</t>
  </si>
  <si>
    <t>17.54M</t>
  </si>
  <si>
    <t>32.82M</t>
  </si>
  <si>
    <t>14.95M</t>
  </si>
  <si>
    <t>22.35M</t>
  </si>
  <si>
    <t>15.58M</t>
  </si>
  <si>
    <t>21.04M</t>
  </si>
  <si>
    <t>28.14M</t>
  </si>
  <si>
    <t>24.87M</t>
  </si>
  <si>
    <t>16.50M</t>
  </si>
  <si>
    <t>10.65M</t>
  </si>
  <si>
    <t>13.26M</t>
  </si>
  <si>
    <t>14.47M</t>
  </si>
  <si>
    <t>36.81M</t>
  </si>
  <si>
    <t>19.56M</t>
  </si>
  <si>
    <t>17.29M</t>
  </si>
  <si>
    <t>18.90M</t>
  </si>
  <si>
    <t>16.25M</t>
  </si>
  <si>
    <t>16.08M</t>
  </si>
  <si>
    <t>26.28M</t>
  </si>
  <si>
    <t>15.91M</t>
  </si>
  <si>
    <t>15.02M</t>
  </si>
  <si>
    <t>13.98M</t>
  </si>
  <si>
    <t>14.72M</t>
  </si>
  <si>
    <t>14.86M</t>
  </si>
  <si>
    <t>22.90M</t>
  </si>
  <si>
    <t>8.78M</t>
  </si>
  <si>
    <t>10.98M</t>
  </si>
  <si>
    <t>12.16M</t>
  </si>
  <si>
    <t>13.38M</t>
  </si>
  <si>
    <t>14.18M</t>
  </si>
  <si>
    <t>10.76M</t>
  </si>
  <si>
    <t>11.14M</t>
  </si>
  <si>
    <t>17.57M</t>
  </si>
  <si>
    <t>24.66M</t>
  </si>
  <si>
    <t>18.60M</t>
  </si>
  <si>
    <t>11.98M</t>
  </si>
  <si>
    <t>15.09M</t>
  </si>
  <si>
    <t>14.67M</t>
  </si>
  <si>
    <t>7.94M</t>
  </si>
  <si>
    <t>10.36M</t>
  </si>
  <si>
    <t>7.66M</t>
  </si>
  <si>
    <t>8.79M</t>
  </si>
  <si>
    <t>8.64M</t>
  </si>
  <si>
    <t>9.04M</t>
  </si>
  <si>
    <t>13.55M</t>
  </si>
  <si>
    <t>14.51M</t>
  </si>
  <si>
    <t>12.69M</t>
  </si>
  <si>
    <t>9.37M</t>
  </si>
  <si>
    <t>11.16M</t>
  </si>
  <si>
    <t>13.29M</t>
  </si>
  <si>
    <t>11.18M</t>
  </si>
  <si>
    <t>10.82M</t>
  </si>
  <si>
    <t>12.33M</t>
  </si>
  <si>
    <t>13.33M</t>
  </si>
  <si>
    <t>11.61M</t>
  </si>
  <si>
    <t>48.58M</t>
  </si>
  <si>
    <t>13.64M</t>
  </si>
  <si>
    <t>10.72M</t>
  </si>
  <si>
    <t>12.97M</t>
  </si>
  <si>
    <t>10.79M</t>
  </si>
  <si>
    <t>11.07M</t>
  </si>
  <si>
    <t>12.34M</t>
  </si>
  <si>
    <t>11.42M</t>
  </si>
  <si>
    <t>10.28M</t>
  </si>
  <si>
    <t>12.94M</t>
  </si>
  <si>
    <t>17.49M</t>
  </si>
  <si>
    <t>23.87M</t>
  </si>
  <si>
    <t>18.14M</t>
  </si>
  <si>
    <t>14.76M</t>
  </si>
  <si>
    <t>18.62M</t>
  </si>
  <si>
    <t>17.20M</t>
  </si>
  <si>
    <t>13.27M</t>
  </si>
  <si>
    <t>16.99M</t>
  </si>
  <si>
    <t>12.91M</t>
  </si>
  <si>
    <t>11.83M</t>
  </si>
  <si>
    <t>12.51M</t>
  </si>
  <si>
    <t>11.96M</t>
  </si>
  <si>
    <t>9.84M</t>
  </si>
  <si>
    <t>12.65M</t>
  </si>
  <si>
    <t>11.29M</t>
  </si>
  <si>
    <t>14.33M</t>
  </si>
  <si>
    <t>9.88M</t>
  </si>
  <si>
    <t>11.01M</t>
  </si>
  <si>
    <t>12.08M</t>
  </si>
  <si>
    <t>15.24M</t>
  </si>
  <si>
    <t>13.37M</t>
  </si>
  <si>
    <t>25.48M</t>
  </si>
  <si>
    <t>22.51M</t>
  </si>
  <si>
    <t>12.14M</t>
  </si>
  <si>
    <t>13.53M</t>
  </si>
  <si>
    <t>16.33M</t>
  </si>
  <si>
    <t>13.24M</t>
  </si>
  <si>
    <t>11.81M</t>
  </si>
  <si>
    <t>11.79M</t>
  </si>
  <si>
    <t>13.78M</t>
  </si>
  <si>
    <t>11.13M</t>
  </si>
  <si>
    <t>9.03M</t>
  </si>
  <si>
    <t>8.21M</t>
  </si>
  <si>
    <t>9.20M</t>
  </si>
  <si>
    <t>11.43M</t>
  </si>
  <si>
    <t>11.93M</t>
  </si>
  <si>
    <t>11.66M</t>
  </si>
  <si>
    <t>11.24M</t>
  </si>
  <si>
    <t>11.74M</t>
  </si>
  <si>
    <t>9.15M</t>
  </si>
  <si>
    <t>8.88M</t>
  </si>
  <si>
    <t>10.03M</t>
  </si>
  <si>
    <t>17.36M</t>
  </si>
  <si>
    <t>8.49M</t>
  </si>
  <si>
    <t>9.40M</t>
  </si>
  <si>
    <t>10.55M</t>
  </si>
  <si>
    <t>13.21M</t>
  </si>
  <si>
    <t>28.28M</t>
  </si>
  <si>
    <t>13.31M</t>
  </si>
  <si>
    <t>10.53M</t>
  </si>
  <si>
    <t>8.18M</t>
  </si>
  <si>
    <t>9.67M</t>
  </si>
  <si>
    <t>9.57M</t>
  </si>
  <si>
    <t>8.40M</t>
  </si>
  <si>
    <t>15.69M</t>
  </si>
  <si>
    <t>9.52M</t>
  </si>
  <si>
    <t>8.66M</t>
  </si>
  <si>
    <t>9.63M</t>
  </si>
  <si>
    <t>11.90M</t>
  </si>
  <si>
    <t>9.44M</t>
  </si>
  <si>
    <t>11.86M</t>
  </si>
  <si>
    <t>12.35M</t>
  </si>
  <si>
    <t>8.20M</t>
  </si>
  <si>
    <t>9.83M</t>
  </si>
  <si>
    <t>7.42M</t>
  </si>
  <si>
    <t>9.80M</t>
  </si>
  <si>
    <t>11.00M</t>
  </si>
  <si>
    <t>11.54M</t>
  </si>
  <si>
    <t>10.23M</t>
  </si>
  <si>
    <t>10.85M</t>
  </si>
  <si>
    <t>10.14M</t>
  </si>
  <si>
    <t>8.37M</t>
  </si>
  <si>
    <t>9.11M</t>
  </si>
  <si>
    <t>10.48M</t>
  </si>
  <si>
    <t>9.81M</t>
  </si>
  <si>
    <t>9.31M</t>
  </si>
  <si>
    <t>11.63M</t>
  </si>
  <si>
    <t>10.99M</t>
  </si>
  <si>
    <t>16.73M</t>
  </si>
  <si>
    <t>19.35M</t>
  </si>
  <si>
    <t>19.05M</t>
  </si>
  <si>
    <t>19.55M</t>
  </si>
  <si>
    <t>13.69M</t>
  </si>
  <si>
    <t>15.62M</t>
  </si>
  <si>
    <t>21.21M</t>
  </si>
  <si>
    <t>13.81M</t>
  </si>
  <si>
    <t>12.43M</t>
  </si>
  <si>
    <t>12.25M</t>
  </si>
  <si>
    <t>11.11M</t>
  </si>
  <si>
    <t>10.16M</t>
  </si>
  <si>
    <t>14.32M</t>
  </si>
  <si>
    <t>13.67M</t>
  </si>
  <si>
    <t>13.02M</t>
  </si>
  <si>
    <t>11.67M</t>
  </si>
  <si>
    <t>13.68M</t>
  </si>
  <si>
    <t>12.55M</t>
  </si>
  <si>
    <t>13.28M</t>
  </si>
  <si>
    <t>13.14M</t>
  </si>
  <si>
    <t>11.50M</t>
  </si>
  <si>
    <t>13.07M</t>
  </si>
  <si>
    <t>15.26M</t>
  </si>
  <si>
    <t>15.03M</t>
  </si>
  <si>
    <t>15.86M</t>
  </si>
  <si>
    <t>36.85M</t>
  </si>
  <si>
    <t>14.00M</t>
  </si>
  <si>
    <t>13.91M</t>
  </si>
  <si>
    <t>12.68M</t>
  </si>
  <si>
    <t>14.11M</t>
  </si>
  <si>
    <t>12.38M</t>
  </si>
  <si>
    <t>12.31M</t>
  </si>
  <si>
    <t>10.15M</t>
  </si>
  <si>
    <t>10.93M</t>
  </si>
  <si>
    <t>18.15M</t>
  </si>
  <si>
    <t>8.08M</t>
  </si>
  <si>
    <t>9.93M</t>
  </si>
  <si>
    <t>10.34M</t>
  </si>
  <si>
    <t>13.61M</t>
  </si>
  <si>
    <t>12.98M</t>
  </si>
  <si>
    <t>14.38M</t>
  </si>
  <si>
    <t>18.34M</t>
  </si>
  <si>
    <t>13.95M</t>
  </si>
  <si>
    <t>13.70M</t>
  </si>
  <si>
    <t>15.87M</t>
  </si>
  <si>
    <t>24.20M</t>
  </si>
  <si>
    <t>13.52M</t>
  </si>
  <si>
    <t>12.87M</t>
  </si>
  <si>
    <t>10.26M</t>
  </si>
  <si>
    <t>12.78M</t>
  </si>
  <si>
    <t>12.76M</t>
  </si>
  <si>
    <t>22.84M</t>
  </si>
  <si>
    <t>22.06M</t>
  </si>
  <si>
    <t>14.55M</t>
  </si>
  <si>
    <t>13.03M</t>
  </si>
  <si>
    <t>14.90M</t>
  </si>
  <si>
    <t>16.37M</t>
  </si>
  <si>
    <t>14.48M</t>
  </si>
  <si>
    <t>14.31M</t>
  </si>
  <si>
    <t>14.39M</t>
  </si>
  <si>
    <t>8.98M</t>
  </si>
  <si>
    <t>13.22M</t>
  </si>
  <si>
    <t>13.75M</t>
  </si>
  <si>
    <t>12.26M</t>
  </si>
  <si>
    <t>10.49M</t>
  </si>
  <si>
    <t>11.55M</t>
  </si>
  <si>
    <t>10.41M</t>
  </si>
  <si>
    <t>14.83M</t>
  </si>
  <si>
    <t>16.32M</t>
  </si>
  <si>
    <t>9.24M</t>
  </si>
  <si>
    <t>8.56M</t>
  </si>
  <si>
    <t>6.42M</t>
  </si>
  <si>
    <t>11.73M</t>
  </si>
  <si>
    <t>17.70M</t>
  </si>
  <si>
    <t>14.61M</t>
  </si>
  <si>
    <t>16.72M</t>
  </si>
  <si>
    <t>65.18M</t>
  </si>
  <si>
    <t>22.48M</t>
  </si>
  <si>
    <t>16.20M</t>
  </si>
  <si>
    <t>12.90M</t>
  </si>
  <si>
    <t>14.52M</t>
  </si>
  <si>
    <t>11.59M</t>
  </si>
  <si>
    <t>14.87M</t>
  </si>
  <si>
    <t>11.89M</t>
  </si>
  <si>
    <t>14.94M</t>
  </si>
  <si>
    <t>15.37M</t>
  </si>
  <si>
    <t>22.73M</t>
  </si>
  <si>
    <t>11.26M</t>
  </si>
  <si>
    <t>13.74M</t>
  </si>
  <si>
    <t>4.82M</t>
  </si>
  <si>
    <t>13.89M</t>
  </si>
  <si>
    <t>13.05M</t>
  </si>
  <si>
    <t>16.01M</t>
  </si>
  <si>
    <t>10.20M</t>
  </si>
  <si>
    <t>12.70M</t>
  </si>
  <si>
    <t>12.80M</t>
  </si>
  <si>
    <t>11.68M</t>
  </si>
  <si>
    <t>12.02M</t>
  </si>
  <si>
    <t>10.45M</t>
  </si>
  <si>
    <t>12.67M</t>
  </si>
  <si>
    <t>13.96M</t>
  </si>
  <si>
    <t>13.09M</t>
  </si>
  <si>
    <t>16.64M</t>
  </si>
  <si>
    <t>15.01M</t>
  </si>
  <si>
    <t>13.63M</t>
  </si>
  <si>
    <t>16.23M</t>
  </si>
  <si>
    <t>16.70M</t>
  </si>
  <si>
    <t>25.29M</t>
  </si>
  <si>
    <t>12.81M</t>
  </si>
  <si>
    <t>16.46M</t>
  </si>
  <si>
    <t>12.82M</t>
  </si>
  <si>
    <t>19.33M</t>
  </si>
  <si>
    <t>21.14M</t>
  </si>
  <si>
    <t>20.91M</t>
  </si>
  <si>
    <t>15.70M</t>
  </si>
  <si>
    <t>30.30M</t>
  </si>
  <si>
    <t>29.88M</t>
  </si>
  <si>
    <t>13.60M</t>
  </si>
  <si>
    <t>12.27M</t>
  </si>
  <si>
    <t>12.48M</t>
  </si>
  <si>
    <t>13.77M</t>
  </si>
  <si>
    <t>11.19M</t>
  </si>
  <si>
    <t>12.36M</t>
  </si>
  <si>
    <t>14.65M</t>
  </si>
  <si>
    <t>15.95M</t>
  </si>
  <si>
    <t>14.77M</t>
  </si>
  <si>
    <t>12.00M</t>
  </si>
  <si>
    <t>13.62M</t>
  </si>
  <si>
    <t>55.73M</t>
  </si>
  <si>
    <t>12.64M</t>
  </si>
  <si>
    <t>12.29M</t>
  </si>
  <si>
    <t>17.63M</t>
  </si>
  <si>
    <t>13.92M</t>
  </si>
  <si>
    <t>12.47M</t>
  </si>
  <si>
    <t>14.66M</t>
  </si>
  <si>
    <t>9.45M</t>
  </si>
  <si>
    <t>8.19M</t>
  </si>
  <si>
    <t>6.25M</t>
  </si>
  <si>
    <t>7.63M</t>
  </si>
  <si>
    <t>8.96M</t>
  </si>
  <si>
    <t>7.75M</t>
  </si>
  <si>
    <t>9.41M</t>
  </si>
  <si>
    <t>8.65M</t>
  </si>
  <si>
    <t>11.08M</t>
  </si>
  <si>
    <t>7.19M</t>
  </si>
  <si>
    <t>7.18M</t>
  </si>
  <si>
    <t>8.48M</t>
  </si>
  <si>
    <t>7.87M</t>
  </si>
  <si>
    <t>7.90M</t>
  </si>
  <si>
    <t>7.96M</t>
  </si>
  <si>
    <t>6.98M</t>
  </si>
  <si>
    <t>9.36M</t>
  </si>
  <si>
    <t>8.04M</t>
  </si>
  <si>
    <t>11.06M</t>
  </si>
  <si>
    <t>9.28M</t>
  </si>
  <si>
    <t>9.72M</t>
  </si>
  <si>
    <t>11.52M</t>
  </si>
  <si>
    <t>17.15M</t>
  </si>
  <si>
    <t>10.25M</t>
  </si>
  <si>
    <t>11.56M</t>
  </si>
  <si>
    <t>11.15M</t>
  </si>
  <si>
    <t>10.02M</t>
  </si>
  <si>
    <t>11.27M</t>
  </si>
  <si>
    <t>14.24M</t>
  </si>
  <si>
    <t>15.97M</t>
  </si>
  <si>
    <t>15.48M</t>
  </si>
  <si>
    <t>14.57M</t>
  </si>
  <si>
    <t>12.60M</t>
  </si>
  <si>
    <t>9.69M</t>
  </si>
  <si>
    <t>19.74M</t>
  </si>
  <si>
    <t>17.14M</t>
  </si>
  <si>
    <t>11.17M</t>
  </si>
  <si>
    <t>9.07M</t>
  </si>
  <si>
    <t>12.86M</t>
  </si>
  <si>
    <t>25.11M</t>
  </si>
  <si>
    <t>15.19M</t>
  </si>
  <si>
    <t>13.97M</t>
  </si>
  <si>
    <t>26.74M</t>
  </si>
  <si>
    <t>15.27M</t>
  </si>
  <si>
    <t>14.10M</t>
  </si>
  <si>
    <t>14.22M</t>
  </si>
  <si>
    <t>12.58M</t>
  </si>
  <si>
    <t>15.59M</t>
  </si>
  <si>
    <t>16.82M</t>
  </si>
  <si>
    <t>10.94M</t>
  </si>
  <si>
    <t>59.43M</t>
  </si>
  <si>
    <t>15.63M</t>
  </si>
  <si>
    <t>12.57M</t>
  </si>
  <si>
    <t>14.46M</t>
  </si>
  <si>
    <t>11.09M</t>
  </si>
  <si>
    <t>13.93M</t>
  </si>
  <si>
    <t>15.06M</t>
  </si>
  <si>
    <t>14.25M</t>
  </si>
  <si>
    <t>11.58M</t>
  </si>
  <si>
    <t>9.13M</t>
  </si>
  <si>
    <t>8.15M</t>
  </si>
  <si>
    <t>8.74M</t>
  </si>
  <si>
    <t>9.58M</t>
  </si>
  <si>
    <t>10.13M</t>
  </si>
  <si>
    <t>7.24M</t>
  </si>
  <si>
    <t>11.94M</t>
  </si>
  <si>
    <t>10.95M</t>
  </si>
  <si>
    <t>9.09M</t>
  </si>
  <si>
    <t>13.80M</t>
  </si>
  <si>
    <t>15.53M</t>
  </si>
  <si>
    <t>12.93M</t>
  </si>
  <si>
    <t>10.71M</t>
  </si>
  <si>
    <t>9.77M</t>
  </si>
  <si>
    <t>8.95M</t>
  </si>
  <si>
    <t>9.87M</t>
  </si>
  <si>
    <t>9.59M</t>
  </si>
  <si>
    <t>9.91M</t>
  </si>
  <si>
    <t>9.64M</t>
  </si>
  <si>
    <t>12.79M</t>
  </si>
  <si>
    <t>12.30M</t>
  </si>
  <si>
    <t>14.44M</t>
  </si>
  <si>
    <t>13.72M</t>
  </si>
  <si>
    <t>27.35M</t>
  </si>
  <si>
    <t>15.66M</t>
  </si>
  <si>
    <t>21.09M</t>
  </si>
  <si>
    <t>19.50M</t>
  </si>
  <si>
    <t>21.96M</t>
  </si>
  <si>
    <t>13.90M</t>
  </si>
  <si>
    <t>16.28M</t>
  </si>
  <si>
    <t>13.10M</t>
  </si>
  <si>
    <t>11.77M</t>
  </si>
  <si>
    <t>8.85M</t>
  </si>
  <si>
    <t>9.74M</t>
  </si>
  <si>
    <t>12.22M</t>
  </si>
  <si>
    <t>12.41M</t>
  </si>
  <si>
    <t>14.28M</t>
  </si>
  <si>
    <t>16.81M</t>
  </si>
  <si>
    <t>16.54M</t>
  </si>
  <si>
    <t>13.17M</t>
  </si>
  <si>
    <t>20.51M</t>
  </si>
  <si>
    <t>14.42M</t>
  </si>
  <si>
    <t>12.52M</t>
  </si>
  <si>
    <t>14.92M</t>
  </si>
  <si>
    <t>15.40M</t>
  </si>
  <si>
    <t>16.95M</t>
  </si>
  <si>
    <t>12.54M</t>
  </si>
  <si>
    <t>14.34M</t>
  </si>
  <si>
    <t>14.09M</t>
  </si>
  <si>
    <t>11.88M</t>
  </si>
  <si>
    <t>10.10M</t>
  </si>
  <si>
    <t>12.61M</t>
  </si>
  <si>
    <t>14.89M</t>
  </si>
  <si>
    <t>19.68M</t>
  </si>
  <si>
    <t>18.33M</t>
  </si>
  <si>
    <t>13.99M</t>
  </si>
  <si>
    <t>9.99M</t>
  </si>
  <si>
    <t>13.39M</t>
  </si>
  <si>
    <t>12.18M</t>
  </si>
  <si>
    <t>7.65M</t>
  </si>
  <si>
    <t>7.17M</t>
  </si>
  <si>
    <t>7.16M</t>
  </si>
  <si>
    <t>7.32M</t>
  </si>
  <si>
    <t>6.46M</t>
  </si>
  <si>
    <t>10.29M</t>
  </si>
  <si>
    <t>10.92M</t>
  </si>
  <si>
    <t>33.63M</t>
  </si>
  <si>
    <t>12.21M</t>
  </si>
  <si>
    <t>12.83M</t>
  </si>
  <si>
    <t>17.52M</t>
  </si>
  <si>
    <t>11.65M</t>
  </si>
  <si>
    <t>9.95M</t>
  </si>
  <si>
    <t>9.19M</t>
  </si>
  <si>
    <t>30.43M</t>
  </si>
  <si>
    <t>10.97M</t>
  </si>
  <si>
    <t>5.17M</t>
  </si>
  <si>
    <t>8.99M</t>
  </si>
  <si>
    <t>12.32M</t>
  </si>
  <si>
    <t>10.42M</t>
  </si>
  <si>
    <t>11.22M</t>
  </si>
  <si>
    <t>14.20M</t>
  </si>
  <si>
    <t>13.30M</t>
  </si>
  <si>
    <t>16.36M</t>
  </si>
  <si>
    <t>18.97M</t>
  </si>
  <si>
    <t>16.80M</t>
  </si>
  <si>
    <t>10.12M</t>
  </si>
  <si>
    <t>10.08M</t>
  </si>
  <si>
    <t>9.73M</t>
  </si>
  <si>
    <t>10.66M</t>
  </si>
  <si>
    <t>14.02M</t>
  </si>
  <si>
    <t>12.89M</t>
  </si>
  <si>
    <t>15.84M</t>
  </si>
  <si>
    <t>28.83M</t>
  </si>
  <si>
    <t>17.42M</t>
  </si>
  <si>
    <t>16.91M</t>
  </si>
  <si>
    <t>10.18M</t>
  </si>
  <si>
    <t>11.82M</t>
  </si>
  <si>
    <t>16.00M</t>
  </si>
  <si>
    <t>16.22M</t>
  </si>
  <si>
    <t>18.38M</t>
  </si>
  <si>
    <t>14.30M</t>
  </si>
  <si>
    <t>10.24M</t>
  </si>
  <si>
    <t>11.48M</t>
  </si>
  <si>
    <t>17.19M</t>
  </si>
  <si>
    <t>18.86M</t>
  </si>
  <si>
    <t>16.12M</t>
  </si>
  <si>
    <t>21.48M</t>
  </si>
  <si>
    <t>23.83M</t>
  </si>
  <si>
    <t>18.67M</t>
  </si>
  <si>
    <t>14.82M</t>
  </si>
  <si>
    <t>14.17M</t>
  </si>
  <si>
    <t>20.49M</t>
  </si>
  <si>
    <t>11.45M</t>
  </si>
  <si>
    <t>12.88M</t>
  </si>
  <si>
    <t>18.53M</t>
  </si>
  <si>
    <t>14.63M</t>
  </si>
  <si>
    <t>8.46M</t>
  </si>
  <si>
    <t>9.12M</t>
  </si>
  <si>
    <t>10.09M</t>
  </si>
  <si>
    <t>7.91M</t>
  </si>
  <si>
    <t>6.84M</t>
  </si>
  <si>
    <t>8.44M</t>
  </si>
  <si>
    <t>8.92M</t>
  </si>
  <si>
    <t>6.53M</t>
  </si>
  <si>
    <t>8.14M</t>
  </si>
  <si>
    <t>9.86M</t>
  </si>
  <si>
    <t>9.49M</t>
  </si>
  <si>
    <t>8.51M</t>
  </si>
  <si>
    <t>8.86M</t>
  </si>
  <si>
    <t>9.17M</t>
  </si>
  <si>
    <t>11.80M</t>
  </si>
  <si>
    <t>11.32M</t>
  </si>
  <si>
    <t>13.73M</t>
  </si>
  <si>
    <t>10.84M</t>
  </si>
  <si>
    <t>20.12M</t>
  </si>
  <si>
    <t>11.64M</t>
  </si>
  <si>
    <t>10.78M</t>
  </si>
  <si>
    <t>21.97M</t>
  </si>
  <si>
    <t>14.43M</t>
  </si>
  <si>
    <t>13.15M</t>
  </si>
  <si>
    <t>14.73M</t>
  </si>
  <si>
    <t>11.31M</t>
  </si>
  <si>
    <t>13.45M</t>
  </si>
  <si>
    <t>15.93M</t>
  </si>
  <si>
    <t>15.14M</t>
  </si>
  <si>
    <t>15.51M</t>
  </si>
  <si>
    <t>15.21M</t>
  </si>
  <si>
    <t>17.71M</t>
  </si>
  <si>
    <t>34.78M</t>
  </si>
  <si>
    <t>15.05M</t>
  </si>
  <si>
    <t>24.62M</t>
  </si>
  <si>
    <t>23.06M</t>
  </si>
  <si>
    <t>14.97M</t>
  </si>
  <si>
    <t>10.21M</t>
  </si>
  <si>
    <t>17.89M</t>
  </si>
  <si>
    <t>15.11M</t>
  </si>
  <si>
    <t>13.54M</t>
  </si>
  <si>
    <t>14.59M</t>
  </si>
  <si>
    <t>15.41M</t>
  </si>
  <si>
    <t>43.16M</t>
  </si>
  <si>
    <t>16.16M</t>
  </si>
  <si>
    <t>15.36M</t>
  </si>
  <si>
    <t>19.41M</t>
  </si>
  <si>
    <t>29.13M</t>
  </si>
  <si>
    <t>31.49M</t>
  </si>
  <si>
    <t>31.44M</t>
  </si>
  <si>
    <t>16.17M</t>
  </si>
  <si>
    <t>22.57M</t>
  </si>
  <si>
    <t>19.65M</t>
  </si>
  <si>
    <t>21.32M</t>
  </si>
  <si>
    <t>20.06M</t>
  </si>
  <si>
    <t>18.98M</t>
  </si>
  <si>
    <t>20.16M</t>
  </si>
  <si>
    <t>19.78M</t>
  </si>
  <si>
    <t>21.69M</t>
  </si>
  <si>
    <t>24.97M</t>
  </si>
  <si>
    <t>20.14M</t>
  </si>
  <si>
    <t>22.02M</t>
  </si>
  <si>
    <t>16.97M</t>
  </si>
  <si>
    <t>21.98M</t>
  </si>
  <si>
    <t>25.08M</t>
  </si>
  <si>
    <t>15.12M</t>
  </si>
  <si>
    <t>11.99M</t>
  </si>
  <si>
    <t>16.39M</t>
  </si>
  <si>
    <t>18.09M</t>
  </si>
  <si>
    <t>12.72M</t>
  </si>
  <si>
    <t>19.27M</t>
  </si>
  <si>
    <t>15.72M</t>
  </si>
  <si>
    <t>11.51M</t>
  </si>
  <si>
    <t>11.49M</t>
  </si>
  <si>
    <t>17.56M</t>
  </si>
  <si>
    <t>17.44M</t>
  </si>
  <si>
    <t>30.20M</t>
  </si>
  <si>
    <t>17.35M</t>
  </si>
  <si>
    <t>18.61M</t>
  </si>
  <si>
    <t>19.86M</t>
  </si>
  <si>
    <t>20.89M</t>
  </si>
  <si>
    <t>23.02M</t>
  </si>
  <si>
    <t>30.24M</t>
  </si>
  <si>
    <t>29.15M</t>
  </si>
  <si>
    <t>17.16M</t>
  </si>
  <si>
    <t>21.26M</t>
  </si>
  <si>
    <t>17.32M</t>
  </si>
  <si>
    <t>25.88M</t>
  </si>
  <si>
    <t>21.49M</t>
  </si>
  <si>
    <t>27.21M</t>
  </si>
  <si>
    <t>19.25M</t>
  </si>
  <si>
    <t>21.73M</t>
  </si>
  <si>
    <t>21.47M</t>
  </si>
  <si>
    <t>13.41M</t>
  </si>
  <si>
    <t>23.64M</t>
  </si>
  <si>
    <t>22.78M</t>
  </si>
  <si>
    <t>23.56M</t>
  </si>
  <si>
    <t>23.60M</t>
  </si>
  <si>
    <t>18.77M</t>
  </si>
  <si>
    <t>17.85M</t>
  </si>
  <si>
    <t>17.40M</t>
  </si>
  <si>
    <t>19.44M</t>
  </si>
  <si>
    <t>20.23M</t>
  </si>
  <si>
    <t>20.84M</t>
  </si>
  <si>
    <t>22.05M</t>
  </si>
  <si>
    <t>19.10M</t>
  </si>
  <si>
    <t>19.19M</t>
  </si>
  <si>
    <t>19.03M</t>
  </si>
  <si>
    <t>30.21M</t>
  </si>
  <si>
    <t>26.64M</t>
  </si>
  <si>
    <t>23.00M</t>
  </si>
  <si>
    <t>18.65M</t>
  </si>
  <si>
    <t>19.73M</t>
  </si>
  <si>
    <t>15.75M</t>
  </si>
  <si>
    <t>19.37M</t>
  </si>
  <si>
    <t>17.90M</t>
  </si>
  <si>
    <t>26.14M</t>
  </si>
  <si>
    <t>20.19M</t>
  </si>
  <si>
    <t>7.70M</t>
  </si>
  <si>
    <t>10.00M</t>
  </si>
  <si>
    <t>11.03M</t>
  </si>
  <si>
    <t>12.45M</t>
  </si>
  <si>
    <t>20.88M</t>
  </si>
  <si>
    <t>51.90M</t>
  </si>
  <si>
    <t>24.70M</t>
  </si>
  <si>
    <t>24.92M</t>
  </si>
  <si>
    <t>24.81M</t>
  </si>
  <si>
    <t>31.36M</t>
  </si>
  <si>
    <t>23.15M</t>
  </si>
  <si>
    <t>13.85M</t>
  </si>
  <si>
    <t>18.03M</t>
  </si>
  <si>
    <t>26.62M</t>
  </si>
  <si>
    <t>21.06M</t>
  </si>
  <si>
    <t>17.07M</t>
  </si>
  <si>
    <t>18.72M</t>
  </si>
  <si>
    <t>30.49M</t>
  </si>
  <si>
    <t>22.71M</t>
  </si>
  <si>
    <t>14.75M</t>
  </si>
  <si>
    <t>13.84M</t>
  </si>
  <si>
    <t>15.81M</t>
  </si>
  <si>
    <t>15.38M</t>
  </si>
  <si>
    <t>13.76M</t>
  </si>
  <si>
    <t>7.26M</t>
  </si>
  <si>
    <t>8.81M</t>
  </si>
  <si>
    <t>24.46M</t>
  </si>
  <si>
    <t>24.02M</t>
  </si>
  <si>
    <t>12.09M</t>
  </si>
  <si>
    <t>17.87M</t>
  </si>
  <si>
    <t>19.47M</t>
  </si>
  <si>
    <t>13.79M</t>
  </si>
  <si>
    <t>21.28M</t>
  </si>
  <si>
    <t>17.17M</t>
  </si>
  <si>
    <t>17.67M</t>
  </si>
  <si>
    <t>13.94M</t>
  </si>
  <si>
    <t>19.93M</t>
  </si>
  <si>
    <t>9.68M</t>
  </si>
  <si>
    <t>16.42M</t>
  </si>
  <si>
    <t>27.54M</t>
  </si>
  <si>
    <t>33.38M</t>
  </si>
  <si>
    <t>17.43M</t>
  </si>
  <si>
    <t>20.27M</t>
  </si>
  <si>
    <t>10.57M</t>
  </si>
  <si>
    <t>12.04M</t>
  </si>
  <si>
    <t>20.04M</t>
  </si>
  <si>
    <t>14.19M</t>
  </si>
  <si>
    <t>8.84M</t>
  </si>
  <si>
    <t>10.33M</t>
  </si>
  <si>
    <t>8.91M</t>
  </si>
  <si>
    <t>10.54M</t>
  </si>
  <si>
    <t>9.22M</t>
  </si>
  <si>
    <t>13.87M</t>
  </si>
  <si>
    <t>10.35M</t>
  </si>
  <si>
    <t>7.97M</t>
  </si>
  <si>
    <t>7.71M</t>
  </si>
  <si>
    <t>6.17M</t>
  </si>
  <si>
    <t>10.91M</t>
  </si>
  <si>
    <t>8.83M</t>
  </si>
  <si>
    <t>9.78M</t>
  </si>
  <si>
    <t>9.60M</t>
  </si>
  <si>
    <t>8.68M</t>
  </si>
  <si>
    <t>20.92M</t>
  </si>
  <si>
    <t>16.26M</t>
  </si>
  <si>
    <t>19.53M</t>
  </si>
  <si>
    <t>15.07M</t>
  </si>
  <si>
    <t>22.00M</t>
  </si>
  <si>
    <t>15.17M</t>
  </si>
  <si>
    <t>15.28M</t>
  </si>
  <si>
    <t>10.61M</t>
  </si>
  <si>
    <t>10.56M</t>
  </si>
  <si>
    <t>18.88M</t>
  </si>
  <si>
    <t>14.40M</t>
  </si>
  <si>
    <t>31.45M</t>
  </si>
  <si>
    <t>9.71M</t>
  </si>
  <si>
    <t>12.44M</t>
  </si>
  <si>
    <t>14.01M</t>
  </si>
  <si>
    <t>18.94M</t>
  </si>
  <si>
    <t>17.01M</t>
  </si>
  <si>
    <t>59.11M</t>
  </si>
  <si>
    <t>16.06M</t>
  </si>
  <si>
    <t>11.92M</t>
  </si>
  <si>
    <t>15.13M</t>
  </si>
  <si>
    <t>13.23M</t>
  </si>
  <si>
    <t>12.12M</t>
  </si>
  <si>
    <t>15.55M</t>
  </si>
  <si>
    <t>10.64M</t>
  </si>
  <si>
    <t>11.57M</t>
  </si>
  <si>
    <t>14.15M</t>
  </si>
  <si>
    <t>14.91M</t>
  </si>
  <si>
    <t>15.39M</t>
  </si>
  <si>
    <t>10.87M</t>
  </si>
  <si>
    <t>9.85M</t>
  </si>
  <si>
    <t>9.02M</t>
  </si>
  <si>
    <t>12.56M</t>
  </si>
  <si>
    <t>17.97M</t>
  </si>
  <si>
    <t>13.08M</t>
  </si>
  <si>
    <t>9.79M</t>
  </si>
  <si>
    <t>8.57M</t>
  </si>
  <si>
    <t>10.83M</t>
  </si>
  <si>
    <t>9.70M</t>
  </si>
  <si>
    <t>10.06M</t>
  </si>
  <si>
    <t>15.61M</t>
  </si>
  <si>
    <t>15.83M</t>
  </si>
  <si>
    <t>17.51M</t>
  </si>
  <si>
    <t>17.13M</t>
  </si>
  <si>
    <t>17.09M</t>
  </si>
  <si>
    <t>15.00M</t>
  </si>
  <si>
    <t>16.94M</t>
  </si>
  <si>
    <t>17.91M</t>
  </si>
  <si>
    <t>67.85M</t>
  </si>
  <si>
    <t>18.01M</t>
  </si>
  <si>
    <t>17.50M</t>
  </si>
  <si>
    <t>14.21M</t>
  </si>
  <si>
    <t>17.60M</t>
  </si>
  <si>
    <t>21.33M</t>
  </si>
  <si>
    <t>23.08M</t>
  </si>
  <si>
    <t>21.31M</t>
  </si>
  <si>
    <t>22.04M</t>
  </si>
  <si>
    <t>11.76M</t>
  </si>
  <si>
    <t>14.37M</t>
  </si>
  <si>
    <t>12.75M</t>
  </si>
  <si>
    <t>21.93M</t>
  </si>
  <si>
    <t>22.97M</t>
  </si>
  <si>
    <t>17.83M</t>
  </si>
  <si>
    <t>12.74M</t>
  </si>
  <si>
    <t>20.60M</t>
  </si>
  <si>
    <t>13.32M</t>
  </si>
  <si>
    <t>21.24M</t>
  </si>
  <si>
    <t>12.92M</t>
  </si>
  <si>
    <t>16.60M</t>
  </si>
  <si>
    <t>19.71M</t>
  </si>
  <si>
    <t>23.12M</t>
  </si>
  <si>
    <t>29.11M</t>
  </si>
  <si>
    <t>24.37M</t>
  </si>
  <si>
    <t>34.30M</t>
  </si>
  <si>
    <t>18.54M</t>
  </si>
  <si>
    <t>19.31M</t>
  </si>
  <si>
    <t>29.67M</t>
  </si>
  <si>
    <t>53.23M</t>
  </si>
  <si>
    <t>38.72M</t>
  </si>
  <si>
    <t>20.32M</t>
  </si>
  <si>
    <t>25.61M</t>
  </si>
  <si>
    <t>8.32M</t>
  </si>
  <si>
    <t>3.27M</t>
  </si>
  <si>
    <t>7.04M</t>
  </si>
  <si>
    <t>14.93M</t>
  </si>
  <si>
    <t>35.48M</t>
  </si>
  <si>
    <t>22.29M</t>
  </si>
  <si>
    <t>12.49M</t>
  </si>
  <si>
    <t>16.21M</t>
  </si>
  <si>
    <t>18.12M</t>
  </si>
  <si>
    <t>43.20M</t>
  </si>
  <si>
    <t>8.50M</t>
  </si>
  <si>
    <t>10.19M</t>
  </si>
  <si>
    <t>13.19M</t>
  </si>
  <si>
    <t>15.65M</t>
  </si>
  <si>
    <t>29.71M</t>
  </si>
  <si>
    <t>33.44M</t>
  </si>
  <si>
    <t>9.29M</t>
  </si>
  <si>
    <t>15.29M</t>
  </si>
  <si>
    <t>15.16M</t>
  </si>
  <si>
    <t>19.89M</t>
  </si>
  <si>
    <t>14.70M</t>
  </si>
  <si>
    <t>13.49M</t>
  </si>
  <si>
    <t>13.57M</t>
  </si>
  <si>
    <t>9.96M</t>
  </si>
  <si>
    <t>10.58M</t>
  </si>
  <si>
    <t>11.39M</t>
  </si>
  <si>
    <t>11.41M</t>
  </si>
  <si>
    <t>10.63M</t>
  </si>
  <si>
    <t>17.58M</t>
  </si>
  <si>
    <t>15.76M</t>
  </si>
  <si>
    <t>17.12M</t>
  </si>
  <si>
    <t>23.82M</t>
  </si>
  <si>
    <t>15.35M</t>
  </si>
  <si>
    <t>12.84M</t>
  </si>
  <si>
    <t>18.27M</t>
  </si>
  <si>
    <t>15.44M</t>
  </si>
  <si>
    <t>15.25M</t>
  </si>
  <si>
    <t>17.78M</t>
  </si>
  <si>
    <t>21.02M</t>
  </si>
  <si>
    <t>26.33M</t>
  </si>
  <si>
    <t>18.51M</t>
  </si>
  <si>
    <t>7.83M</t>
  </si>
  <si>
    <t>17.37M</t>
  </si>
  <si>
    <t>9.10M</t>
  </si>
  <si>
    <t>9.56M</t>
  </si>
  <si>
    <t>10.75M</t>
  </si>
  <si>
    <t>11.71M</t>
  </si>
  <si>
    <t>14.14M</t>
  </si>
  <si>
    <t>14.85M</t>
  </si>
  <si>
    <t>17.28M</t>
  </si>
  <si>
    <t>29.83M</t>
  </si>
  <si>
    <t>25.69M</t>
  </si>
  <si>
    <t>16.63M</t>
  </si>
  <si>
    <t>23.74M</t>
  </si>
  <si>
    <t>17.08M</t>
  </si>
  <si>
    <t>16.71M</t>
  </si>
  <si>
    <t>16.09M</t>
  </si>
  <si>
    <t>13.04M</t>
  </si>
  <si>
    <t>15.15M</t>
  </si>
  <si>
    <t>23.68M</t>
  </si>
  <si>
    <t>13.83M</t>
  </si>
  <si>
    <t>14.68M</t>
  </si>
  <si>
    <t>9.38M</t>
  </si>
  <si>
    <t>18.81M</t>
  </si>
  <si>
    <t>21.82M</t>
  </si>
  <si>
    <t>26.07M</t>
  </si>
  <si>
    <t>19.90M</t>
  </si>
  <si>
    <t>20.50M</t>
  </si>
  <si>
    <t>51.13M</t>
  </si>
  <si>
    <t>18.45M</t>
  </si>
  <si>
    <t>22.22M</t>
  </si>
  <si>
    <t>22.30M</t>
  </si>
  <si>
    <t>17.84M</t>
  </si>
  <si>
    <t>26.12M</t>
  </si>
  <si>
    <t>31.58M</t>
  </si>
  <si>
    <t>18.00M</t>
  </si>
  <si>
    <t>15.85M</t>
  </si>
  <si>
    <t>16.47M</t>
  </si>
  <si>
    <t>22.54M</t>
  </si>
  <si>
    <t>14.29M</t>
  </si>
  <si>
    <t>20.80M</t>
  </si>
  <si>
    <t>15.78M</t>
  </si>
  <si>
    <t>17.25M</t>
  </si>
  <si>
    <t>19.18M</t>
  </si>
  <si>
    <t>15.18M</t>
  </si>
  <si>
    <t>15.82M</t>
  </si>
  <si>
    <t>26.86M</t>
  </si>
  <si>
    <t>18.96M</t>
  </si>
  <si>
    <t>19.84M</t>
  </si>
  <si>
    <t>17.61M</t>
  </si>
  <si>
    <t>21.80M</t>
  </si>
  <si>
    <t>19.59M</t>
  </si>
  <si>
    <t>19.17M</t>
  </si>
  <si>
    <t>22.85M</t>
  </si>
  <si>
    <t>17.62M</t>
  </si>
  <si>
    <t>21.94M</t>
  </si>
  <si>
    <t>25.37M</t>
  </si>
  <si>
    <t>23.45M</t>
  </si>
  <si>
    <t>23.30M</t>
  </si>
  <si>
    <t>37.83M</t>
  </si>
  <si>
    <t>42.51M</t>
  </si>
  <si>
    <t>49.10M</t>
  </si>
  <si>
    <t>44.98M</t>
  </si>
  <si>
    <t>51.51M</t>
  </si>
  <si>
    <t>41.96M</t>
  </si>
  <si>
    <t>35.41M</t>
  </si>
  <si>
    <t>32.11M</t>
  </si>
  <si>
    <t>28.68M</t>
  </si>
  <si>
    <t>33.70M</t>
  </si>
  <si>
    <t>31.91M</t>
  </si>
  <si>
    <t>22.66M</t>
  </si>
  <si>
    <t>27.46M</t>
  </si>
  <si>
    <t>27.90M</t>
  </si>
  <si>
    <t>20.53M</t>
  </si>
  <si>
    <t>27.10M</t>
  </si>
  <si>
    <t>25.70M</t>
  </si>
  <si>
    <t>40.89M</t>
  </si>
  <si>
    <t>23.75M</t>
  </si>
  <si>
    <t>15.92M</t>
  </si>
  <si>
    <t>7.60M</t>
  </si>
  <si>
    <t>6.27M</t>
  </si>
  <si>
    <t>9.97M</t>
  </si>
  <si>
    <t>8.17M</t>
  </si>
  <si>
    <t>9.18M</t>
  </si>
  <si>
    <t>7.43M</t>
  </si>
  <si>
    <t>7.98M</t>
  </si>
  <si>
    <t>8.76M</t>
  </si>
  <si>
    <t>9.35M</t>
  </si>
  <si>
    <t>15.42M</t>
  </si>
  <si>
    <t>17.69M</t>
  </si>
  <si>
    <t>14.36M</t>
  </si>
  <si>
    <t>8.59M</t>
  </si>
  <si>
    <t>11.97M</t>
  </si>
  <si>
    <t>14.26M</t>
  </si>
  <si>
    <t>17.74M</t>
  </si>
  <si>
    <t>16.35M</t>
  </si>
  <si>
    <t>10.68M</t>
  </si>
  <si>
    <t>11.35M</t>
  </si>
  <si>
    <t>11.10M</t>
  </si>
  <si>
    <t>6.43M</t>
  </si>
  <si>
    <t>6.90M</t>
  </si>
  <si>
    <t>6.23M</t>
  </si>
  <si>
    <t>3.36M</t>
  </si>
  <si>
    <t>9.30M</t>
  </si>
  <si>
    <t>9.23M</t>
  </si>
  <si>
    <t>9.54M</t>
  </si>
  <si>
    <t>11.23M</t>
  </si>
  <si>
    <t>7.84M</t>
  </si>
  <si>
    <t>14.07M</t>
  </si>
  <si>
    <t>7.22M</t>
  </si>
  <si>
    <t>7.86M</t>
  </si>
  <si>
    <t>12.66M</t>
  </si>
  <si>
    <t>7.14M</t>
  </si>
  <si>
    <t>19.28M</t>
  </si>
  <si>
    <t>9.89M</t>
  </si>
  <si>
    <t>8.62M</t>
  </si>
  <si>
    <t>8.00M</t>
  </si>
  <si>
    <t>8.87M</t>
  </si>
  <si>
    <t>9.62M</t>
  </si>
  <si>
    <t>13.34M</t>
  </si>
  <si>
    <t>7.36M</t>
  </si>
  <si>
    <t>9.43M</t>
  </si>
  <si>
    <t>9.05M</t>
  </si>
  <si>
    <t>13.56M</t>
  </si>
  <si>
    <t>6.11M</t>
  </si>
  <si>
    <t>9.82M</t>
  </si>
  <si>
    <t>11.25M</t>
  </si>
  <si>
    <t>8.09M</t>
  </si>
  <si>
    <t>11.40M</t>
  </si>
  <si>
    <t>10.81M</t>
  </si>
  <si>
    <t>10.73M</t>
  </si>
  <si>
    <t>8.75M</t>
  </si>
  <si>
    <t>10.05M</t>
  </si>
  <si>
    <t>14.16M</t>
  </si>
  <si>
    <t>7.47M</t>
  </si>
  <si>
    <t>10.89M</t>
  </si>
  <si>
    <t>12.39M</t>
  </si>
  <si>
    <t>6.59M</t>
  </si>
  <si>
    <t>10.80M</t>
  </si>
  <si>
    <t>17.94M</t>
  </si>
  <si>
    <t>19.99M</t>
  </si>
  <si>
    <t>16.87M</t>
  </si>
  <si>
    <t>8.13M</t>
  </si>
  <si>
    <t>12.28M</t>
  </si>
  <si>
    <t>19.13M</t>
  </si>
  <si>
    <t>33.42M</t>
  </si>
  <si>
    <t>11.91M</t>
  </si>
  <si>
    <t>8.26M</t>
  </si>
  <si>
    <t>7.13M</t>
  </si>
  <si>
    <t>5.88M</t>
  </si>
  <si>
    <t>7.35M</t>
  </si>
  <si>
    <t>10.38M</t>
  </si>
  <si>
    <t>7.62M</t>
  </si>
  <si>
    <t>9.50M</t>
  </si>
  <si>
    <t>7.25M</t>
  </si>
  <si>
    <t>14.98M</t>
  </si>
  <si>
    <t>16.34M</t>
  </si>
  <si>
    <t>12.37M</t>
  </si>
  <si>
    <t>8.69M</t>
  </si>
  <si>
    <t>9.92M</t>
  </si>
  <si>
    <t>12.01M</t>
  </si>
  <si>
    <t>11.37M</t>
  </si>
  <si>
    <t>12.53M</t>
  </si>
  <si>
    <t>6.89M</t>
  </si>
  <si>
    <t>12.20M</t>
  </si>
  <si>
    <t>16.05M</t>
  </si>
  <si>
    <t>10.59M</t>
  </si>
  <si>
    <t>17.77M</t>
  </si>
  <si>
    <t>16.84M</t>
  </si>
  <si>
    <t>9.65M</t>
  </si>
  <si>
    <t>7.08M</t>
  </si>
  <si>
    <t>8.72M</t>
  </si>
  <si>
    <t>11.44M</t>
  </si>
  <si>
    <t>25.33M</t>
  </si>
  <si>
    <t>12.17M</t>
  </si>
  <si>
    <t>11.85M</t>
  </si>
  <si>
    <t>8.06M</t>
  </si>
  <si>
    <t>9.42M</t>
  </si>
  <si>
    <t>7.68M</t>
  </si>
  <si>
    <t>7.81M</t>
  </si>
  <si>
    <t>12.85M</t>
  </si>
  <si>
    <t>11.12M</t>
  </si>
  <si>
    <t>19.06M</t>
  </si>
  <si>
    <t>14.99M</t>
  </si>
  <si>
    <t>24.01M</t>
  </si>
  <si>
    <t>47.25M</t>
  </si>
  <si>
    <t>18.50M</t>
  </si>
  <si>
    <t>22.13M</t>
  </si>
  <si>
    <t>14.23M</t>
  </si>
  <si>
    <t>13.06M</t>
  </si>
  <si>
    <t>16.29M</t>
  </si>
  <si>
    <t>22.53M</t>
  </si>
  <si>
    <t>20.46M</t>
  </si>
  <si>
    <t>23.77M</t>
  </si>
  <si>
    <t>24.73M</t>
  </si>
  <si>
    <t>25.51M</t>
  </si>
  <si>
    <t>35.70M</t>
  </si>
  <si>
    <t>58.91M</t>
  </si>
  <si>
    <t>32.18M</t>
  </si>
  <si>
    <t>12.95M</t>
  </si>
  <si>
    <t>10.27M</t>
  </si>
  <si>
    <t>12.06M</t>
  </si>
  <si>
    <t>11.70M</t>
  </si>
  <si>
    <t>11.34M</t>
  </si>
  <si>
    <t>15.98M</t>
  </si>
  <si>
    <t>14.71M</t>
  </si>
  <si>
    <t>11.60M</t>
  </si>
  <si>
    <t>32.48M</t>
  </si>
  <si>
    <t>21.13M</t>
  </si>
  <si>
    <t>18.48M</t>
  </si>
  <si>
    <t>18.08M</t>
  </si>
  <si>
    <t>25.54M</t>
  </si>
  <si>
    <t>9.34M</t>
  </si>
  <si>
    <t>4.79M</t>
  </si>
  <si>
    <t>13.58M</t>
  </si>
  <si>
    <t>12.11M</t>
  </si>
  <si>
    <t>12.40M</t>
  </si>
  <si>
    <t>9.76M</t>
  </si>
  <si>
    <t>12.24M</t>
  </si>
  <si>
    <t>17.59M</t>
  </si>
  <si>
    <t>16.49M</t>
  </si>
  <si>
    <t>25.31M</t>
  </si>
  <si>
    <t>20.90M</t>
  </si>
  <si>
    <t>20.93M</t>
  </si>
  <si>
    <t>21.46M</t>
  </si>
  <si>
    <t>21.63M</t>
  </si>
  <si>
    <t>17.48M</t>
  </si>
  <si>
    <t>10.44M</t>
  </si>
  <si>
    <t>12.42M</t>
  </si>
  <si>
    <t>17.68M</t>
  </si>
  <si>
    <t>8.73M</t>
  </si>
  <si>
    <t>7.46M</t>
  </si>
  <si>
    <t>7.92M</t>
  </si>
  <si>
    <t>7.12M</t>
  </si>
  <si>
    <t>8.53M</t>
  </si>
  <si>
    <t>7.61M</t>
  </si>
  <si>
    <t>8.29M</t>
  </si>
  <si>
    <t>19.83M</t>
  </si>
  <si>
    <t>6.39M</t>
  </si>
  <si>
    <t>8.89M</t>
  </si>
  <si>
    <t>10.60M</t>
  </si>
  <si>
    <t>6.85M</t>
  </si>
  <si>
    <t>7.54M</t>
  </si>
  <si>
    <t>6.81M</t>
  </si>
  <si>
    <t>8.63M</t>
  </si>
  <si>
    <t>11.46M</t>
  </si>
  <si>
    <t>9.90M</t>
  </si>
  <si>
    <t>10.52M</t>
  </si>
  <si>
    <t>9.06M</t>
  </si>
  <si>
    <t>5.83M</t>
  </si>
  <si>
    <t>5.59M</t>
  </si>
  <si>
    <t>6.33M</t>
  </si>
  <si>
    <t>7.72M</t>
  </si>
  <si>
    <t>7.37M</t>
  </si>
  <si>
    <t>15.33M</t>
  </si>
  <si>
    <t>10.47M</t>
  </si>
  <si>
    <t>16.75M</t>
  </si>
  <si>
    <t>8.24M</t>
  </si>
  <si>
    <t>7.53M</t>
  </si>
  <si>
    <t>11.95M</t>
  </si>
  <si>
    <t>9.98M</t>
  </si>
  <si>
    <t>10.11M</t>
  </si>
  <si>
    <t>9.27M</t>
  </si>
  <si>
    <t>8.22M</t>
  </si>
  <si>
    <t>16.45M</t>
  </si>
  <si>
    <t>18.35M</t>
  </si>
  <si>
    <t>16.04M</t>
  </si>
  <si>
    <t>20.77M</t>
  </si>
  <si>
    <t>18.52M</t>
  </si>
  <si>
    <t>14.69M</t>
  </si>
  <si>
    <t>10.37M</t>
  </si>
  <si>
    <t>8.41M</t>
  </si>
  <si>
    <t>10.77M</t>
  </si>
  <si>
    <t>8.42M</t>
  </si>
  <si>
    <t>11.28M</t>
  </si>
  <si>
    <t>13.48M</t>
  </si>
  <si>
    <t>26.60M</t>
  </si>
  <si>
    <t>12.46M</t>
  </si>
  <si>
    <t>15.32M</t>
  </si>
  <si>
    <t>10.88M</t>
  </si>
  <si>
    <t>10.01M</t>
  </si>
  <si>
    <t>14.05M</t>
  </si>
  <si>
    <t>17.75M</t>
  </si>
  <si>
    <t>12.77M</t>
  </si>
  <si>
    <t>12.71M</t>
  </si>
  <si>
    <t>8.28M</t>
  </si>
  <si>
    <t>13.47M</t>
  </si>
  <si>
    <t>13.46M</t>
  </si>
  <si>
    <t>13.16M</t>
  </si>
  <si>
    <t>18.04M</t>
  </si>
  <si>
    <t>25.18M</t>
  </si>
  <si>
    <t>23.26M</t>
  </si>
  <si>
    <t>10.96M</t>
  </si>
  <si>
    <t>16.67M</t>
  </si>
  <si>
    <t>15.96M</t>
  </si>
  <si>
    <t>7.58M</t>
  </si>
  <si>
    <t>10.70M</t>
  </si>
  <si>
    <t>7.07M</t>
  </si>
  <si>
    <t>13.11M</t>
  </si>
  <si>
    <t>6.54M</t>
  </si>
  <si>
    <t>5.66M</t>
  </si>
  <si>
    <t>6.10M</t>
  </si>
  <si>
    <t>5.41M</t>
  </si>
  <si>
    <t>9.66M</t>
  </si>
  <si>
    <t>7.31M</t>
  </si>
  <si>
    <t>8.25M</t>
  </si>
  <si>
    <t>21.18M</t>
  </si>
  <si>
    <t>8.43M</t>
  </si>
  <si>
    <t>5.65M</t>
  </si>
  <si>
    <t>3.00M</t>
  </si>
  <si>
    <t>19.16M</t>
  </si>
  <si>
    <t>19.72M</t>
  </si>
  <si>
    <t>8.02M</t>
  </si>
  <si>
    <t>7.59M</t>
  </si>
  <si>
    <t>7.45M</t>
  </si>
  <si>
    <t>4.73M</t>
  </si>
  <si>
    <t>6.56M</t>
  </si>
  <si>
    <t>7.20M</t>
  </si>
  <si>
    <t>7.15M</t>
  </si>
  <si>
    <t>7.52M</t>
  </si>
  <si>
    <t>6.64M</t>
  </si>
  <si>
    <t>6.31M</t>
  </si>
  <si>
    <t>5.27M</t>
  </si>
  <si>
    <t>5.44M</t>
  </si>
  <si>
    <t>10.22M</t>
  </si>
  <si>
    <t>14.06M</t>
  </si>
  <si>
    <t>6.48M</t>
  </si>
  <si>
    <t>7.56M</t>
  </si>
  <si>
    <t>7.30M</t>
  </si>
  <si>
    <t>16.14M</t>
  </si>
  <si>
    <t>10.43M</t>
  </si>
  <si>
    <t>10.46M</t>
  </si>
  <si>
    <t>7.39M</t>
  </si>
  <si>
    <t>7.76M</t>
  </si>
  <si>
    <t>8.36M</t>
  </si>
  <si>
    <t>8.90M</t>
  </si>
  <si>
    <t>5.75M</t>
  </si>
  <si>
    <t>10.31M</t>
  </si>
  <si>
    <t>15.20M</t>
  </si>
  <si>
    <t>8.55M</t>
  </si>
  <si>
    <t>6.99M</t>
  </si>
  <si>
    <t>6.37M</t>
  </si>
  <si>
    <t>7.74M</t>
  </si>
  <si>
    <t>10.30M</t>
  </si>
  <si>
    <t>27.03M</t>
  </si>
  <si>
    <t>11.05M</t>
  </si>
  <si>
    <t>14.54M</t>
  </si>
  <si>
    <t>7.28M</t>
  </si>
  <si>
    <t>6.86M</t>
  </si>
  <si>
    <t>10.39M</t>
  </si>
  <si>
    <t>18.75M</t>
  </si>
  <si>
    <t>14.60M</t>
  </si>
  <si>
    <t>14.12M</t>
  </si>
  <si>
    <t>37.53M</t>
  </si>
  <si>
    <t>22.76M</t>
  </si>
  <si>
    <t>14.50M</t>
  </si>
  <si>
    <t>14.64M</t>
  </si>
  <si>
    <t>16.31M</t>
  </si>
  <si>
    <t>12.19M</t>
  </si>
  <si>
    <t>22.21M</t>
  </si>
  <si>
    <t>23.62M</t>
  </si>
  <si>
    <t>28.85M</t>
  </si>
  <si>
    <t>27.24M</t>
  </si>
  <si>
    <t>15.74M</t>
  </si>
  <si>
    <t>9.46M</t>
  </si>
  <si>
    <t>17.04M</t>
  </si>
  <si>
    <t>8.12M</t>
  </si>
  <si>
    <t>11.47M</t>
  </si>
  <si>
    <t>6.88M</t>
  </si>
  <si>
    <t>7.00M</t>
  </si>
  <si>
    <t>6.44M</t>
  </si>
  <si>
    <t>14.27M</t>
  </si>
  <si>
    <t>18.99M</t>
  </si>
  <si>
    <t>28.13M</t>
  </si>
  <si>
    <t>11.30M</t>
  </si>
  <si>
    <t>20.41M</t>
  </si>
  <si>
    <t>22.41M</t>
  </si>
  <si>
    <t>19.42M</t>
  </si>
  <si>
    <t>7.40M</t>
  </si>
  <si>
    <t>16.55M</t>
  </si>
  <si>
    <t>19.51M</t>
  </si>
  <si>
    <t>33.25M</t>
  </si>
  <si>
    <t>21.35M</t>
  </si>
  <si>
    <t>14.04M</t>
  </si>
  <si>
    <t>12.03M</t>
  </si>
  <si>
    <t>16.89M</t>
  </si>
  <si>
    <t>16.48M</t>
  </si>
  <si>
    <t>13.44M</t>
  </si>
  <si>
    <t>10.62M</t>
  </si>
  <si>
    <t>17.66M</t>
  </si>
  <si>
    <t>9.61M</t>
  </si>
  <si>
    <t>15.52M</t>
  </si>
  <si>
    <t>15.04M</t>
  </si>
  <si>
    <t>13.65M</t>
  </si>
  <si>
    <t>12.96M</t>
  </si>
  <si>
    <t>8.60M</t>
  </si>
  <si>
    <t>9.39M</t>
  </si>
  <si>
    <t>9.14M</t>
  </si>
  <si>
    <t>11.21M</t>
  </si>
  <si>
    <t>37.46M</t>
  </si>
  <si>
    <t>8.03M</t>
  </si>
  <si>
    <t>9.75M</t>
  </si>
  <si>
    <t>10.90M</t>
  </si>
  <si>
    <t>16.51M</t>
  </si>
  <si>
    <t>26.00M</t>
  </si>
  <si>
    <t>10.74M</t>
  </si>
  <si>
    <t>20.81M</t>
  </si>
  <si>
    <t>6.69M</t>
  </si>
  <si>
    <t>7.89M</t>
  </si>
  <si>
    <t>8.70M</t>
  </si>
  <si>
    <t>12.63M</t>
  </si>
  <si>
    <t>17.46M</t>
  </si>
  <si>
    <t>8.93M</t>
  </si>
  <si>
    <t>8.11M</t>
  </si>
  <si>
    <t>8.80M</t>
  </si>
  <si>
    <t>11.72M</t>
  </si>
  <si>
    <t>25.13M</t>
  </si>
  <si>
    <t>37.21M</t>
  </si>
  <si>
    <t>40.36M</t>
  </si>
  <si>
    <t>15.54M</t>
  </si>
  <si>
    <t>25.01M</t>
  </si>
  <si>
    <t>23.85M</t>
  </si>
  <si>
    <t>24.08M</t>
  </si>
  <si>
    <t>16.13M</t>
  </si>
  <si>
    <t>28.91M</t>
  </si>
  <si>
    <t>18.47M</t>
  </si>
  <si>
    <t>13.13M</t>
  </si>
  <si>
    <t>18.42M</t>
  </si>
  <si>
    <t>20.72M</t>
  </si>
  <si>
    <t>15.22M</t>
  </si>
  <si>
    <t>16.83M</t>
  </si>
  <si>
    <t>24.85M</t>
  </si>
  <si>
    <t>17.10M</t>
  </si>
  <si>
    <t>16.62M</t>
  </si>
  <si>
    <t>19.92M</t>
  </si>
  <si>
    <t>15.46M</t>
  </si>
  <si>
    <t>21.15M</t>
  </si>
  <si>
    <t>16.85M</t>
  </si>
  <si>
    <t>21.81M</t>
  </si>
  <si>
    <t>20.56M</t>
  </si>
  <si>
    <t>5.11M</t>
  </si>
  <si>
    <t>3.04M</t>
  </si>
  <si>
    <t>24.58M</t>
  </si>
  <si>
    <t>21.87M</t>
  </si>
  <si>
    <t>20.09M</t>
  </si>
  <si>
    <t>17.31M</t>
  </si>
  <si>
    <t>15.77M</t>
  </si>
  <si>
    <t>24.09M</t>
  </si>
  <si>
    <t>11.62M</t>
  </si>
  <si>
    <t>30.17M</t>
  </si>
  <si>
    <t>14.79M</t>
  </si>
  <si>
    <t>18.80M</t>
  </si>
  <si>
    <t>35.92M</t>
  </si>
  <si>
    <t>20.38M</t>
  </si>
  <si>
    <t>14.58M</t>
  </si>
  <si>
    <t>19.61M</t>
  </si>
  <si>
    <t>19.75M</t>
  </si>
  <si>
    <t>19.32M</t>
  </si>
  <si>
    <t>19.39M</t>
  </si>
  <si>
    <t>27.53M</t>
  </si>
  <si>
    <t>21.23M</t>
  </si>
  <si>
    <t>22.23M</t>
  </si>
  <si>
    <t>15.45M</t>
  </si>
  <si>
    <t>23.70M</t>
  </si>
  <si>
    <t>18.87M</t>
  </si>
  <si>
    <t>23.52M</t>
  </si>
  <si>
    <t>44.07M</t>
  </si>
  <si>
    <t>28.04M</t>
  </si>
  <si>
    <t>15.80M</t>
  </si>
  <si>
    <t>11.20M</t>
  </si>
  <si>
    <t>8.27M</t>
  </si>
  <si>
    <t>11.38M</t>
  </si>
  <si>
    <t>15.31M</t>
  </si>
  <si>
    <t>11.02M</t>
  </si>
  <si>
    <t>13.36M</t>
  </si>
  <si>
    <t>20.34M</t>
  </si>
  <si>
    <t>14.62M</t>
  </si>
  <si>
    <t>15.50M</t>
  </si>
  <si>
    <t>23.55M</t>
  </si>
  <si>
    <t>11.36M</t>
  </si>
  <si>
    <t>19.63M</t>
  </si>
  <si>
    <t>10.04M</t>
  </si>
  <si>
    <t>17.41M</t>
  </si>
  <si>
    <t>26.89M</t>
  </si>
  <si>
    <t>19.67M</t>
  </si>
  <si>
    <t>13.12M</t>
  </si>
  <si>
    <t>22.81M</t>
  </si>
  <si>
    <t>17.06M</t>
  </si>
  <si>
    <t>31.61M</t>
  </si>
  <si>
    <t>26.25M</t>
  </si>
  <si>
    <t>17.73M</t>
  </si>
  <si>
    <t>18.55M</t>
  </si>
  <si>
    <t>18.18M</t>
  </si>
  <si>
    <t>13.51M</t>
  </si>
  <si>
    <t>Daily Returns</t>
  </si>
  <si>
    <t>Log Retruns</t>
  </si>
  <si>
    <t>MA20</t>
  </si>
  <si>
    <t>MA50</t>
  </si>
  <si>
    <t>Signal</t>
  </si>
  <si>
    <t>Exploratory Data Analysis (EDA)</t>
  </si>
  <si>
    <t>Count</t>
  </si>
  <si>
    <t>Median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</si>
  <si>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</si>
  <si>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</si>
  <si>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</si>
  <si>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</si>
  <si>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</si>
  <si>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</si>
  <si>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</si>
  <si>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</si>
  <si>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</si>
  <si>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</si>
  <si>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</si>
  <si>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Largest(1)</t>
  </si>
  <si>
    <t>Smallest(1)</t>
  </si>
  <si>
    <t>Confidence Level(95.0%)</t>
  </si>
  <si>
    <t>Cola Cola Stock Analysis</t>
  </si>
  <si>
    <t>MA20 v/s MA50</t>
  </si>
  <si>
    <t>Price v/s MA20 v/s MA50</t>
  </si>
  <si>
    <t>15 days Forecasting via Moving Averages.</t>
  </si>
  <si>
    <t>Forcasting Trend</t>
  </si>
  <si>
    <t>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</si>
</sst>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"/>
  </numFmts>
  <fonts count="22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sz val="22"/>
      <color rgb="FFC00000"/>
      <name val="Book Antiqua"/>
      <family val="1"/>
    </font>
    <font>
      <i/>
      <sz val="11"/>
      <color theme="1"/>
      <name val="Calibri"/>
      <family val="2"/>
    </font>
    <font>
      <b/>
      <sz val="11"/>
      <color rgb="FFC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5" tint="-0.24994659260841701"/>
      </top>
      <bottom style="hair">
        <color theme="5" tint="-0.24994659260841701"/>
      </bottom>
      <diagonal/>
    </border>
    <border>
      <left/>
      <right/>
      <top style="medium">
        <color theme="5" tint="-0.24994659260841701"/>
      </top>
      <bottom style="hair">
        <color theme="5" tint="-0.24994659260841701"/>
      </bottom>
      <diagonal/>
    </border>
    <border>
      <left/>
      <right/>
      <top style="hair">
        <color theme="5" tint="-0.24994659260841701"/>
      </top>
      <bottom style="medium">
        <color theme="5" tint="-0.24994659260841701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/>
      <top style="thick">
        <color auto="1"/>
      </top>
      <bottom/>
      <diagonal/>
    </border>
    <border>
      <left style="thick">
        <color rgb="FFC00000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rgb="FFC00000"/>
      </right>
      <top style="thick">
        <color theme="1"/>
      </top>
      <bottom style="thick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Fill="1" applyBorder="1" applyAlignment="1"/>
    <xf numFmtId="165" fontId="0" fillId="0" borderId="0" xfId="0" applyNumberFormat="1"/>
    <xf numFmtId="0" fontId="16" fillId="0" borderId="0" xfId="0" applyFont="1" applyFill="1" applyAlignment="1">
      <alignment horizontal="right"/>
    </xf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 applyAlignment="1">
      <alignment horizontal="right"/>
    </xf>
    <xf numFmtId="0" fontId="0" fillId="34" borderId="16" xfId="0" applyFill="1" applyBorder="1"/>
    <xf numFmtId="0" fontId="0" fillId="34" borderId="0" xfId="0" applyFill="1" applyBorder="1"/>
    <xf numFmtId="0" fontId="0" fillId="34" borderId="17" xfId="0" applyFill="1" applyBorder="1" applyAlignment="1">
      <alignment horizontal="right"/>
    </xf>
    <xf numFmtId="165" fontId="0" fillId="35" borderId="0" xfId="0" applyNumberFormat="1" applyFill="1"/>
    <xf numFmtId="0" fontId="18" fillId="33" borderId="18" xfId="0" applyFont="1" applyFill="1" applyBorder="1" applyAlignment="1">
      <alignment horizontal="centerContinuous"/>
    </xf>
    <xf numFmtId="0" fontId="0" fillId="0" borderId="0" xfId="0" applyNumberFormat="1" applyAlignment="1">
      <alignment horizontal="right"/>
    </xf>
    <xf numFmtId="0" fontId="0" fillId="0" borderId="0" xfId="0" applyFont="1" applyFill="1" applyBorder="1" applyAlignment="1"/>
    <xf numFmtId="0" fontId="0" fillId="0" borderId="0" xfId="0" applyFont="1" applyFill="1"/>
    <xf numFmtId="0" fontId="0" fillId="0" borderId="0" xfId="0" applyBorder="1"/>
    <xf numFmtId="0" fontId="0" fillId="0" borderId="19" xfId="0" applyBorder="1"/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21" fillId="36" borderId="0" xfId="0" applyFont="1" applyFill="1" applyAlignment="1">
      <alignment horizontal="right"/>
    </xf>
    <xf numFmtId="0" fontId="13" fillId="37" borderId="0" xfId="0" applyFont="1" applyFill="1" applyBorder="1" applyAlignment="1">
      <alignment horizontal="center"/>
    </xf>
    <xf numFmtId="164" fontId="16" fillId="0" borderId="0" xfId="0" applyNumberFormat="1" applyFont="1" applyAlignment="1">
      <alignment horizontal="left"/>
    </xf>
    <xf numFmtId="165" fontId="0" fillId="36" borderId="0" xfId="0" applyNumberFormat="1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Continuous"/>
    </xf>
    <xf numFmtId="0" fontId="21" fillId="36" borderId="0" xfId="0" applyFont="1" applyFill="1" applyBorder="1" applyAlignment="1">
      <alignment horizontal="right"/>
    </xf>
    <xf numFmtId="0" fontId="0" fillId="35" borderId="0" xfId="0" applyFill="1" applyAlignment="1">
      <alignment horizontal="center"/>
    </xf>
    <xf numFmtId="0" fontId="13" fillId="33" borderId="23" xfId="0" applyFont="1" applyFill="1" applyBorder="1"/>
    <xf numFmtId="0" fontId="13" fillId="33" borderId="24" xfId="0" applyFont="1" applyFill="1" applyBorder="1" applyAlignment="1">
      <alignment horizontal="right"/>
    </xf>
    <xf numFmtId="0" fontId="13" fillId="33" borderId="25" xfId="0" applyFont="1" applyFill="1" applyBorder="1" applyAlignment="1">
      <alignment horizontal="right"/>
    </xf>
    <xf numFmtId="0" fontId="0" fillId="35" borderId="0" xfId="0" applyFill="1" applyAlignment="1">
      <alignment horizontal="right"/>
    </xf>
    <xf numFmtId="0" fontId="18" fillId="33" borderId="18" xfId="0" applyFont="1" applyFill="1" applyBorder="1" applyAlignment="1">
      <alignment horizontal="center"/>
    </xf>
    <xf numFmtId="0" fontId="19" fillId="34" borderId="0" xfId="0" applyFont="1" applyFill="1" applyBorder="1" applyAlignment="1">
      <alignment horizontal="left"/>
    </xf>
    <xf numFmtId="0" fontId="18" fillId="33" borderId="22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B2B2B2"/>
      <color rgb="FFA50021"/>
      <color rgb="FF9933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tx>
            <c:strRef>
              <c:f>'Coca-Cola Stock Price History'!$K$5</c:f>
              <c:strCache>
                <c:ptCount val="1"/>
                <c:pt idx="0">
                  <c:v>MA20</c:v>
                </c:pt>
              </c:strCache>
            </c:strRef>
          </c:tx>
          <c:marker>
            <c:symbol val="none"/>
          </c:marker>
          <c:val>
            <c:numRef>
              <c:f>'Coca-Cola Stock Price History'!$K$6:$K$2522</c:f>
              <c:numCache>
                <c:formatCode>General</c:formatCode>
                <c:ptCount val="25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0">
                  <c:v>41.010000000000005</c:v>
                </c:pt>
                <c:pt idx="21" formatCode="0.000">
                  <c:v>40.845789473684221</c:v>
                </c:pt>
                <c:pt idx="22" formatCode="0.000">
                  <c:v>40.71736842105264</c:v>
                </c:pt>
                <c:pt idx="23" formatCode="0.000">
                  <c:v>40.614736842105266</c:v>
                </c:pt>
                <c:pt idx="24" formatCode="0.000">
                  <c:v>40.524210526315784</c:v>
                </c:pt>
                <c:pt idx="25" formatCode="0.000">
                  <c:v>40.479999999999997</c:v>
                </c:pt>
                <c:pt idx="26" formatCode="0.000">
                  <c:v>40.468421052631562</c:v>
                </c:pt>
                <c:pt idx="27" formatCode="0.000">
                  <c:v>40.485263157894728</c:v>
                </c:pt>
                <c:pt idx="28" formatCode="0.000">
                  <c:v>40.526842105263142</c:v>
                </c:pt>
                <c:pt idx="29" formatCode="0.000">
                  <c:v>40.552105263157877</c:v>
                </c:pt>
                <c:pt idx="30" formatCode="0.000">
                  <c:v>40.603157894736832</c:v>
                </c:pt>
                <c:pt idx="31" formatCode="0.000">
                  <c:v>40.624736842105257</c:v>
                </c:pt>
                <c:pt idx="32" formatCode="0.000">
                  <c:v>40.624736842105264</c:v>
                </c:pt>
                <c:pt idx="33" formatCode="0.000">
                  <c:v>40.614210526315787</c:v>
                </c:pt>
                <c:pt idx="34" formatCode="0.000">
                  <c:v>40.64473684210526</c:v>
                </c:pt>
                <c:pt idx="35" formatCode="0.000">
                  <c:v>40.626315789473686</c:v>
                </c:pt>
                <c:pt idx="36" formatCode="0.000">
                  <c:v>40.62842105263158</c:v>
                </c:pt>
                <c:pt idx="37" formatCode="0.000">
                  <c:v>40.64473684210526</c:v>
                </c:pt>
                <c:pt idx="38" formatCode="0.000">
                  <c:v>40.69</c:v>
                </c:pt>
                <c:pt idx="39" formatCode="0.000">
                  <c:v>40.721578947368421</c:v>
                </c:pt>
                <c:pt idx="40" formatCode="0.000">
                  <c:v>40.764210526315786</c:v>
                </c:pt>
                <c:pt idx="41" formatCode="0.000">
                  <c:v>40.781052631578945</c:v>
                </c:pt>
                <c:pt idx="42" formatCode="0.000">
                  <c:v>40.792631578947365</c:v>
                </c:pt>
                <c:pt idx="43" formatCode="0.000">
                  <c:v>40.782631578947374</c:v>
                </c:pt>
                <c:pt idx="44" formatCode="0.000">
                  <c:v>40.776315789473685</c:v>
                </c:pt>
                <c:pt idx="45" formatCode="0.000">
                  <c:v>40.762631578947364</c:v>
                </c:pt>
                <c:pt idx="46" formatCode="0.000">
                  <c:v>40.76</c:v>
                </c:pt>
                <c:pt idx="47" formatCode="0.000">
                  <c:v>40.752631578947373</c:v>
                </c:pt>
                <c:pt idx="48" formatCode="0.000">
                  <c:v>40.732105263157884</c:v>
                </c:pt>
                <c:pt idx="49" formatCode="0.000">
                  <c:v>40.722631578947372</c:v>
                </c:pt>
                <c:pt idx="50" formatCode="0.000">
                  <c:v>40.737368421052629</c:v>
                </c:pt>
                <c:pt idx="51" formatCode="0.000">
                  <c:v>40.760000000000005</c:v>
                </c:pt>
                <c:pt idx="52" formatCode="0.000">
                  <c:v>40.775263157894734</c:v>
                </c:pt>
                <c:pt idx="53" formatCode="0.000">
                  <c:v>40.798947368421047</c:v>
                </c:pt>
                <c:pt idx="54" formatCode="0.000">
                  <c:v>40.8621052631579</c:v>
                </c:pt>
                <c:pt idx="55" formatCode="0.000">
                  <c:v>40.907368421052631</c:v>
                </c:pt>
                <c:pt idx="56" formatCode="0.000">
                  <c:v>40.935789473684217</c:v>
                </c:pt>
                <c:pt idx="57" formatCode="0.000">
                  <c:v>40.93578947368421</c:v>
                </c:pt>
                <c:pt idx="58" formatCode="0.000">
                  <c:v>40.956842105263171</c:v>
                </c:pt>
                <c:pt idx="59" formatCode="0.000">
                  <c:v>40.974736842105266</c:v>
                </c:pt>
                <c:pt idx="60" formatCode="0.000">
                  <c:v>40.994736842105276</c:v>
                </c:pt>
                <c:pt idx="61" formatCode="0.000">
                  <c:v>41.006315789473696</c:v>
                </c:pt>
                <c:pt idx="62" formatCode="0.000">
                  <c:v>41.039473684210542</c:v>
                </c:pt>
                <c:pt idx="63" formatCode="0.000">
                  <c:v>41.07</c:v>
                </c:pt>
                <c:pt idx="64" formatCode="0.000">
                  <c:v>41.072631578947366</c:v>
                </c:pt>
                <c:pt idx="65" formatCode="0.000">
                  <c:v>41.07157894736843</c:v>
                </c:pt>
                <c:pt idx="66" formatCode="0.000">
                  <c:v>41.084210526315793</c:v>
                </c:pt>
                <c:pt idx="67" formatCode="0.000">
                  <c:v>41.095263157894742</c:v>
                </c:pt>
                <c:pt idx="68" formatCode="0.000">
                  <c:v>41.089473684210532</c:v>
                </c:pt>
                <c:pt idx="69" formatCode="0.000">
                  <c:v>41.043157894736858</c:v>
                </c:pt>
                <c:pt idx="70" formatCode="0.000">
                  <c:v>41.002105263157894</c:v>
                </c:pt>
                <c:pt idx="71" formatCode="0.000">
                  <c:v>40.976315789473681</c:v>
                </c:pt>
                <c:pt idx="72" formatCode="0.000">
                  <c:v>40.938421052631583</c:v>
                </c:pt>
                <c:pt idx="73" formatCode="0.000">
                  <c:v>40.864736842105266</c:v>
                </c:pt>
                <c:pt idx="74" formatCode="0.000">
                  <c:v>40.782631578947374</c:v>
                </c:pt>
                <c:pt idx="75" formatCode="0.000">
                  <c:v>40.691578947368434</c:v>
                </c:pt>
                <c:pt idx="76" formatCode="0.000">
                  <c:v>40.626842105263165</c:v>
                </c:pt>
                <c:pt idx="77" formatCode="0.000">
                  <c:v>40.570000000000014</c:v>
                </c:pt>
                <c:pt idx="78" formatCode="0.000">
                  <c:v>40.539473684210527</c:v>
                </c:pt>
                <c:pt idx="79" formatCode="0.000">
                  <c:v>40.496842105263163</c:v>
                </c:pt>
                <c:pt idx="80" formatCode="0.000">
                  <c:v>40.470000000000006</c:v>
                </c:pt>
                <c:pt idx="81" formatCode="0.000">
                  <c:v>40.431052631578943</c:v>
                </c:pt>
                <c:pt idx="82" formatCode="0.000">
                  <c:v>40.381052631578946</c:v>
                </c:pt>
                <c:pt idx="83" formatCode="0.000">
                  <c:v>40.331578947368421</c:v>
                </c:pt>
                <c:pt idx="84" formatCode="0.000">
                  <c:v>40.282105263157888</c:v>
                </c:pt>
                <c:pt idx="85" formatCode="0.000">
                  <c:v>40.198421052631574</c:v>
                </c:pt>
                <c:pt idx="86" formatCode="0.000">
                  <c:v>40.112105263157879</c:v>
                </c:pt>
                <c:pt idx="87" formatCode="0.000">
                  <c:v>40.054736842105257</c:v>
                </c:pt>
                <c:pt idx="88" formatCode="0.000">
                  <c:v>40.022631578947369</c:v>
                </c:pt>
                <c:pt idx="89" formatCode="0.000">
                  <c:v>39.983684210526313</c:v>
                </c:pt>
                <c:pt idx="90" formatCode="0.000">
                  <c:v>39.986315789473686</c:v>
                </c:pt>
                <c:pt idx="91" formatCode="0.000">
                  <c:v>39.961578947368423</c:v>
                </c:pt>
                <c:pt idx="92" formatCode="0.000">
                  <c:v>39.95210526315789</c:v>
                </c:pt>
                <c:pt idx="93" formatCode="0.000">
                  <c:v>39.974736842105266</c:v>
                </c:pt>
                <c:pt idx="94" formatCode="0.000">
                  <c:v>40.031052631578937</c:v>
                </c:pt>
                <c:pt idx="95" formatCode="0.000">
                  <c:v>40.088421052631567</c:v>
                </c:pt>
                <c:pt idx="96" formatCode="0.000">
                  <c:v>40.133684210526312</c:v>
                </c:pt>
                <c:pt idx="97" formatCode="0.000">
                  <c:v>40.177368421052627</c:v>
                </c:pt>
                <c:pt idx="98" formatCode="0.000">
                  <c:v>40.222105263157893</c:v>
                </c:pt>
                <c:pt idx="99" formatCode="0.000">
                  <c:v>40.269473684210524</c:v>
                </c:pt>
                <c:pt idx="100" formatCode="0.000">
                  <c:v>40.312105263157896</c:v>
                </c:pt>
                <c:pt idx="101" formatCode="0.000">
                  <c:v>40.349473684210523</c:v>
                </c:pt>
                <c:pt idx="102" formatCode="0.000">
                  <c:v>40.392631578947373</c:v>
                </c:pt>
                <c:pt idx="103" formatCode="0.000">
                  <c:v>40.415789473684214</c:v>
                </c:pt>
                <c:pt idx="104" formatCode="0.000">
                  <c:v>40.475789473684209</c:v>
                </c:pt>
                <c:pt idx="105" formatCode="0.000">
                  <c:v>40.545263157894745</c:v>
                </c:pt>
                <c:pt idx="106" formatCode="0.000">
                  <c:v>40.602631578947367</c:v>
                </c:pt>
                <c:pt idx="107" formatCode="0.000">
                  <c:v>40.658947368421053</c:v>
                </c:pt>
                <c:pt idx="108" formatCode="0.000">
                  <c:v>40.746315789473684</c:v>
                </c:pt>
                <c:pt idx="109" formatCode="0.000">
                  <c:v>40.814210526315783</c:v>
                </c:pt>
                <c:pt idx="110" formatCode="0.000">
                  <c:v>40.918947368421051</c:v>
                </c:pt>
                <c:pt idx="111" formatCode="0.000">
                  <c:v>41.034736842105261</c:v>
                </c:pt>
                <c:pt idx="112" formatCode="0.000">
                  <c:v>41.115263157894738</c:v>
                </c:pt>
                <c:pt idx="113" formatCode="0.000">
                  <c:v>41.173684210526311</c:v>
                </c:pt>
                <c:pt idx="114" formatCode="0.000">
                  <c:v>41.200526315789467</c:v>
                </c:pt>
                <c:pt idx="115" formatCode="0.000">
                  <c:v>41.218947368421048</c:v>
                </c:pt>
                <c:pt idx="116" formatCode="0.000">
                  <c:v>41.207368421052628</c:v>
                </c:pt>
                <c:pt idx="117" formatCode="0.000">
                  <c:v>41.199473684210517</c:v>
                </c:pt>
                <c:pt idx="118" formatCode="0.000">
                  <c:v>41.192631578947363</c:v>
                </c:pt>
                <c:pt idx="119" formatCode="0.000">
                  <c:v>41.201052631578953</c:v>
                </c:pt>
                <c:pt idx="120" formatCode="0.000">
                  <c:v>41.222105263157893</c:v>
                </c:pt>
                <c:pt idx="121" formatCode="0.000">
                  <c:v>41.218947368421048</c:v>
                </c:pt>
                <c:pt idx="122" formatCode="0.000">
                  <c:v>41.224736842105266</c:v>
                </c:pt>
                <c:pt idx="123" formatCode="0.000">
                  <c:v>41.171578947368417</c:v>
                </c:pt>
                <c:pt idx="124" formatCode="0.000">
                  <c:v>41.05736842105263</c:v>
                </c:pt>
                <c:pt idx="125" formatCode="0.000">
                  <c:v>40.920526315789466</c:v>
                </c:pt>
                <c:pt idx="126" formatCode="0.000">
                  <c:v>40.824210526315788</c:v>
                </c:pt>
                <c:pt idx="127" formatCode="0.000">
                  <c:v>40.728947368421053</c:v>
                </c:pt>
                <c:pt idx="128" formatCode="0.000">
                  <c:v>40.618947368421054</c:v>
                </c:pt>
                <c:pt idx="129" formatCode="0.000">
                  <c:v>40.485789473684214</c:v>
                </c:pt>
                <c:pt idx="130" formatCode="0.000">
                  <c:v>40.308421052631587</c:v>
                </c:pt>
                <c:pt idx="131" formatCode="0.000">
                  <c:v>40.149473684210534</c:v>
                </c:pt>
                <c:pt idx="132" formatCode="0.000">
                  <c:v>40.012105263157899</c:v>
                </c:pt>
                <c:pt idx="133" formatCode="0.000">
                  <c:v>39.845789473684214</c:v>
                </c:pt>
                <c:pt idx="134" formatCode="0.000">
                  <c:v>39.71</c:v>
                </c:pt>
                <c:pt idx="135" formatCode="0.000">
                  <c:v>39.554210526315785</c:v>
                </c:pt>
                <c:pt idx="136" formatCode="0.000">
                  <c:v>39.413157894736834</c:v>
                </c:pt>
                <c:pt idx="137" formatCode="0.000">
                  <c:v>39.248947368421042</c:v>
                </c:pt>
                <c:pt idx="138" formatCode="0.000">
                  <c:v>39.077894736842097</c:v>
                </c:pt>
                <c:pt idx="139" formatCode="0.000">
                  <c:v>38.930526315789464</c:v>
                </c:pt>
                <c:pt idx="140" formatCode="0.000">
                  <c:v>38.844736842105256</c:v>
                </c:pt>
                <c:pt idx="141" formatCode="0.000">
                  <c:v>38.783157894736839</c:v>
                </c:pt>
                <c:pt idx="142" formatCode="0.000">
                  <c:v>38.754210526315788</c:v>
                </c:pt>
                <c:pt idx="143" formatCode="0.000">
                  <c:v>38.796842105263153</c:v>
                </c:pt>
                <c:pt idx="144" formatCode="0.000">
                  <c:v>38.838947368421053</c:v>
                </c:pt>
                <c:pt idx="145" formatCode="0.000">
                  <c:v>38.840526315789475</c:v>
                </c:pt>
                <c:pt idx="146" formatCode="0.000">
                  <c:v>38.834210526315793</c:v>
                </c:pt>
                <c:pt idx="147" formatCode="0.000">
                  <c:v>38.843157894736841</c:v>
                </c:pt>
                <c:pt idx="148" formatCode="0.000">
                  <c:v>38.854210526315789</c:v>
                </c:pt>
                <c:pt idx="149" formatCode="0.000">
                  <c:v>38.902105263157893</c:v>
                </c:pt>
                <c:pt idx="150" formatCode="0.000">
                  <c:v>38.966315789473683</c:v>
                </c:pt>
                <c:pt idx="151" formatCode="0.000">
                  <c:v>38.999999999999993</c:v>
                </c:pt>
                <c:pt idx="152" formatCode="0.000">
                  <c:v>39.098421052631572</c:v>
                </c:pt>
                <c:pt idx="153" formatCode="0.000">
                  <c:v>39.209473684210522</c:v>
                </c:pt>
                <c:pt idx="154" formatCode="0.000">
                  <c:v>39.349473684210523</c:v>
                </c:pt>
                <c:pt idx="155" formatCode="0.000">
                  <c:v>39.512631578947364</c:v>
                </c:pt>
                <c:pt idx="156" formatCode="0.000">
                  <c:v>39.715263157894732</c:v>
                </c:pt>
                <c:pt idx="157" formatCode="0.000">
                  <c:v>39.921578947368424</c:v>
                </c:pt>
                <c:pt idx="158" formatCode="0.000">
                  <c:v>40.105789473684212</c:v>
                </c:pt>
                <c:pt idx="159" formatCode="0.000">
                  <c:v>40.237368421052629</c:v>
                </c:pt>
                <c:pt idx="160" formatCode="0.000">
                  <c:v>40.35842105263157</c:v>
                </c:pt>
                <c:pt idx="161" formatCode="0.000">
                  <c:v>40.513157894736835</c:v>
                </c:pt>
                <c:pt idx="162" formatCode="0.000">
                  <c:v>40.662105263157883</c:v>
                </c:pt>
                <c:pt idx="163" formatCode="0.000">
                  <c:v>40.830526315789463</c:v>
                </c:pt>
                <c:pt idx="164" formatCode="0.000">
                  <c:v>41.016315789473673</c:v>
                </c:pt>
                <c:pt idx="165" formatCode="0.000">
                  <c:v>41.176315789473676</c:v>
                </c:pt>
                <c:pt idx="166" formatCode="0.000">
                  <c:v>41.366842105263146</c:v>
                </c:pt>
                <c:pt idx="167" formatCode="0.000">
                  <c:v>41.53842105263157</c:v>
                </c:pt>
                <c:pt idx="168" formatCode="0.000">
                  <c:v>41.692631578947363</c:v>
                </c:pt>
                <c:pt idx="169" formatCode="0.000">
                  <c:v>41.823684210526309</c:v>
                </c:pt>
                <c:pt idx="170" formatCode="0.000">
                  <c:v>41.977894736842103</c:v>
                </c:pt>
                <c:pt idx="171" formatCode="0.000">
                  <c:v>42.104210526315789</c:v>
                </c:pt>
                <c:pt idx="172" formatCode="0.000">
                  <c:v>42.174736842105268</c:v>
                </c:pt>
                <c:pt idx="173" formatCode="0.000">
                  <c:v>42.242105263157903</c:v>
                </c:pt>
                <c:pt idx="174" formatCode="0.000">
                  <c:v>42.275789473684213</c:v>
                </c:pt>
                <c:pt idx="175" formatCode="0.000">
                  <c:v>42.275263157894742</c:v>
                </c:pt>
                <c:pt idx="176" formatCode="0.000">
                  <c:v>42.291578947368428</c:v>
                </c:pt>
                <c:pt idx="177" formatCode="0.000">
                  <c:v>42.289473684210535</c:v>
                </c:pt>
                <c:pt idx="178" formatCode="0.000">
                  <c:v>42.283684210526324</c:v>
                </c:pt>
                <c:pt idx="179" formatCode="0.000">
                  <c:v>42.288421052631577</c:v>
                </c:pt>
                <c:pt idx="180" formatCode="0.000">
                  <c:v>42.294736842105273</c:v>
                </c:pt>
                <c:pt idx="181" formatCode="0.000">
                  <c:v>42.271578947368425</c:v>
                </c:pt>
                <c:pt idx="182" formatCode="0.000">
                  <c:v>42.23947368421053</c:v>
                </c:pt>
                <c:pt idx="183" formatCode="0.000">
                  <c:v>42.222105263157893</c:v>
                </c:pt>
                <c:pt idx="184" formatCode="0.000">
                  <c:v>42.194736842105257</c:v>
                </c:pt>
                <c:pt idx="185" formatCode="0.000">
                  <c:v>42.144210526315788</c:v>
                </c:pt>
                <c:pt idx="186" formatCode="0.000">
                  <c:v>42.161052631578947</c:v>
                </c:pt>
                <c:pt idx="187" formatCode="0.000">
                  <c:v>42.152631578947364</c:v>
                </c:pt>
                <c:pt idx="188" formatCode="0.000">
                  <c:v>42.171052631578945</c:v>
                </c:pt>
                <c:pt idx="189" formatCode="0.000">
                  <c:v>42.204210526315784</c:v>
                </c:pt>
                <c:pt idx="190" formatCode="0.000">
                  <c:v>42.234210526315785</c:v>
                </c:pt>
                <c:pt idx="191" formatCode="0.000">
                  <c:v>42.276315789473685</c:v>
                </c:pt>
                <c:pt idx="192" formatCode="0.000">
                  <c:v>42.296315789473681</c:v>
                </c:pt>
                <c:pt idx="193" formatCode="0.000">
                  <c:v>42.334736842105265</c:v>
                </c:pt>
                <c:pt idx="194" formatCode="0.000">
                  <c:v>42.376842105263158</c:v>
                </c:pt>
                <c:pt idx="195" formatCode="0.000">
                  <c:v>42.383684210526312</c:v>
                </c:pt>
                <c:pt idx="196" formatCode="0.000">
                  <c:v>42.453684210526319</c:v>
                </c:pt>
                <c:pt idx="197" formatCode="0.000">
                  <c:v>42.54105263157895</c:v>
                </c:pt>
                <c:pt idx="198" formatCode="0.000">
                  <c:v>42.606315789473683</c:v>
                </c:pt>
                <c:pt idx="199" formatCode="0.000">
                  <c:v>42.63894736842105</c:v>
                </c:pt>
                <c:pt idx="200" formatCode="0.000">
                  <c:v>42.701052631578953</c:v>
                </c:pt>
                <c:pt idx="201" formatCode="0.000">
                  <c:v>42.747894736842099</c:v>
                </c:pt>
                <c:pt idx="202" formatCode="0.000">
                  <c:v>42.773684210526312</c:v>
                </c:pt>
                <c:pt idx="203" formatCode="0.000">
                  <c:v>42.847368421052636</c:v>
                </c:pt>
                <c:pt idx="204" formatCode="0.000">
                  <c:v>42.929473684210528</c:v>
                </c:pt>
                <c:pt idx="205" formatCode="0.000">
                  <c:v>42.949473684210531</c:v>
                </c:pt>
                <c:pt idx="206" formatCode="0.000">
                  <c:v>42.953157894736847</c:v>
                </c:pt>
                <c:pt idx="207" formatCode="0.000">
                  <c:v>42.943684210526321</c:v>
                </c:pt>
                <c:pt idx="208" formatCode="0.000">
                  <c:v>42.94</c:v>
                </c:pt>
                <c:pt idx="209" formatCode="0.000">
                  <c:v>42.956315789473685</c:v>
                </c:pt>
                <c:pt idx="210" formatCode="0.000">
                  <c:v>42.976842105263152</c:v>
                </c:pt>
                <c:pt idx="211" formatCode="0.000">
                  <c:v>43.022631578947362</c:v>
                </c:pt>
                <c:pt idx="212" formatCode="0.000">
                  <c:v>43.065789473684205</c:v>
                </c:pt>
                <c:pt idx="213" formatCode="0.000">
                  <c:v>43.107894736842105</c:v>
                </c:pt>
                <c:pt idx="214" formatCode="0.000">
                  <c:v>43.13421052631579</c:v>
                </c:pt>
                <c:pt idx="215" formatCode="0.000">
                  <c:v>43.087368421052631</c:v>
                </c:pt>
                <c:pt idx="216" formatCode="0.000">
                  <c:v>43.053157894736842</c:v>
                </c:pt>
                <c:pt idx="217" formatCode="0.000">
                  <c:v>43.016842105263159</c:v>
                </c:pt>
                <c:pt idx="218" formatCode="0.000">
                  <c:v>42.962105263157902</c:v>
                </c:pt>
                <c:pt idx="219" formatCode="0.000">
                  <c:v>42.89631578947369</c:v>
                </c:pt>
                <c:pt idx="220" formatCode="0.000">
                  <c:v>42.860000000000007</c:v>
                </c:pt>
                <c:pt idx="221" formatCode="0.000">
                  <c:v>42.842631578947376</c:v>
                </c:pt>
                <c:pt idx="222" formatCode="0.000">
                  <c:v>42.778421052631586</c:v>
                </c:pt>
                <c:pt idx="223" formatCode="0.000">
                  <c:v>42.67526315789474</c:v>
                </c:pt>
                <c:pt idx="224" formatCode="0.000">
                  <c:v>42.570526315789472</c:v>
                </c:pt>
                <c:pt idx="225" formatCode="0.000">
                  <c:v>42.54</c:v>
                </c:pt>
                <c:pt idx="226" formatCode="0.000">
                  <c:v>42.466315789473683</c:v>
                </c:pt>
                <c:pt idx="227" formatCode="0.000">
                  <c:v>42.366315789473681</c:v>
                </c:pt>
                <c:pt idx="228" formatCode="0.000">
                  <c:v>42.281578947368416</c:v>
                </c:pt>
                <c:pt idx="229" formatCode="0.000">
                  <c:v>42.20894736842105</c:v>
                </c:pt>
                <c:pt idx="230" formatCode="0.000">
                  <c:v>42.134736842105262</c:v>
                </c:pt>
                <c:pt idx="231" formatCode="0.000">
                  <c:v>42.049473684210525</c:v>
                </c:pt>
                <c:pt idx="232" formatCode="0.000">
                  <c:v>41.996842105263163</c:v>
                </c:pt>
                <c:pt idx="233" formatCode="0.000">
                  <c:v>41.994736842105262</c:v>
                </c:pt>
                <c:pt idx="234" formatCode="0.000">
                  <c:v>42.026315789473692</c:v>
                </c:pt>
                <c:pt idx="235" formatCode="0.000">
                  <c:v>42.020526315789482</c:v>
                </c:pt>
                <c:pt idx="236" formatCode="0.000">
                  <c:v>42.041578947368421</c:v>
                </c:pt>
                <c:pt idx="237" formatCode="0.000">
                  <c:v>42.089473684210532</c:v>
                </c:pt>
                <c:pt idx="238" formatCode="0.000">
                  <c:v>42.138421052631571</c:v>
                </c:pt>
                <c:pt idx="239" formatCode="0.000">
                  <c:v>42.194736842105257</c:v>
                </c:pt>
                <c:pt idx="240" formatCode="0.000">
                  <c:v>42.256842105263161</c:v>
                </c:pt>
                <c:pt idx="241" formatCode="0.000">
                  <c:v>42.293684210526308</c:v>
                </c:pt>
                <c:pt idx="242" formatCode="0.000">
                  <c:v>42.321578947368415</c:v>
                </c:pt>
                <c:pt idx="243" formatCode="0.000">
                  <c:v>42.40631578947368</c:v>
                </c:pt>
                <c:pt idx="244" formatCode="0.000">
                  <c:v>42.482105263157884</c:v>
                </c:pt>
                <c:pt idx="245" formatCode="0.000">
                  <c:v>42.593157894736834</c:v>
                </c:pt>
                <c:pt idx="246" formatCode="0.000">
                  <c:v>42.709999999999994</c:v>
                </c:pt>
                <c:pt idx="247" formatCode="0.000">
                  <c:v>42.8</c:v>
                </c:pt>
                <c:pt idx="248" formatCode="0.000">
                  <c:v>42.893684210526317</c:v>
                </c:pt>
                <c:pt idx="249" formatCode="0.000">
                  <c:v>42.978421052631589</c:v>
                </c:pt>
                <c:pt idx="250" formatCode="0.000">
                  <c:v>43.074210526315788</c:v>
                </c:pt>
                <c:pt idx="251" formatCode="0.000">
                  <c:v>43.157894736842103</c:v>
                </c:pt>
                <c:pt idx="252" formatCode="0.000">
                  <c:v>43.169473684210523</c:v>
                </c:pt>
                <c:pt idx="253" formatCode="0.000">
                  <c:v>43.176315789473676</c:v>
                </c:pt>
                <c:pt idx="254" formatCode="0.000">
                  <c:v>43.242105263157903</c:v>
                </c:pt>
                <c:pt idx="255" formatCode="0.000">
                  <c:v>43.297368421052639</c:v>
                </c:pt>
                <c:pt idx="256" formatCode="0.000">
                  <c:v>43.372631578947363</c:v>
                </c:pt>
                <c:pt idx="257" formatCode="0.000">
                  <c:v>43.460526315789465</c:v>
                </c:pt>
                <c:pt idx="258" formatCode="0.000">
                  <c:v>43.532105263157895</c:v>
                </c:pt>
                <c:pt idx="259" formatCode="0.000">
                  <c:v>43.585789473684216</c:v>
                </c:pt>
                <c:pt idx="260" formatCode="0.000">
                  <c:v>43.704736842105255</c:v>
                </c:pt>
                <c:pt idx="261" formatCode="0.000">
                  <c:v>43.853157894736846</c:v>
                </c:pt>
                <c:pt idx="262" formatCode="0.000">
                  <c:v>43.963157894736852</c:v>
                </c:pt>
                <c:pt idx="263" formatCode="0.000">
                  <c:v>44.064736842105262</c:v>
                </c:pt>
                <c:pt idx="264" formatCode="0.000">
                  <c:v>44.156842105263159</c:v>
                </c:pt>
                <c:pt idx="265" formatCode="0.000">
                  <c:v>44.23263157894737</c:v>
                </c:pt>
                <c:pt idx="266" formatCode="0.000">
                  <c:v>44.337894736842095</c:v>
                </c:pt>
                <c:pt idx="267" formatCode="0.000">
                  <c:v>44.425263157894733</c:v>
                </c:pt>
                <c:pt idx="268" formatCode="0.000">
                  <c:v>44.529473684210515</c:v>
                </c:pt>
                <c:pt idx="269" formatCode="0.000">
                  <c:v>44.613157894736844</c:v>
                </c:pt>
                <c:pt idx="270" formatCode="0.000">
                  <c:v>44.681578947368415</c:v>
                </c:pt>
                <c:pt idx="271" formatCode="0.000">
                  <c:v>44.81</c:v>
                </c:pt>
                <c:pt idx="272" formatCode="0.000">
                  <c:v>44.950526315789475</c:v>
                </c:pt>
                <c:pt idx="273" formatCode="0.000">
                  <c:v>45.097368421052636</c:v>
                </c:pt>
                <c:pt idx="274" formatCode="0.000">
                  <c:v>45.24526315789474</c:v>
                </c:pt>
                <c:pt idx="275" formatCode="0.000">
                  <c:v>45.373157894736849</c:v>
                </c:pt>
                <c:pt idx="276" formatCode="0.000">
                  <c:v>45.516315789473694</c:v>
                </c:pt>
                <c:pt idx="277" formatCode="0.000">
                  <c:v>45.667894736842108</c:v>
                </c:pt>
                <c:pt idx="278" formatCode="0.000">
                  <c:v>45.784210526315789</c:v>
                </c:pt>
                <c:pt idx="279" formatCode="0.000">
                  <c:v>45.88421052631579</c:v>
                </c:pt>
                <c:pt idx="280" formatCode="0.000">
                  <c:v>45.943684210526321</c:v>
                </c:pt>
                <c:pt idx="281" formatCode="0.000">
                  <c:v>46.031578947368423</c:v>
                </c:pt>
                <c:pt idx="282" formatCode="0.000">
                  <c:v>46.092105263157897</c:v>
                </c:pt>
                <c:pt idx="283" formatCode="0.000">
                  <c:v>46.166315789473686</c:v>
                </c:pt>
                <c:pt idx="284" formatCode="0.000">
                  <c:v>46.218421052631577</c:v>
                </c:pt>
                <c:pt idx="285" formatCode="0.000">
                  <c:v>46.221578947368421</c:v>
                </c:pt>
                <c:pt idx="286" formatCode="0.000">
                  <c:v>46.247894736842099</c:v>
                </c:pt>
                <c:pt idx="287" formatCode="0.000">
                  <c:v>46.27684210526315</c:v>
                </c:pt>
                <c:pt idx="288" formatCode="0.000">
                  <c:v>46.334736842105258</c:v>
                </c:pt>
                <c:pt idx="289" formatCode="0.000">
                  <c:v>46.277368421052628</c:v>
                </c:pt>
                <c:pt idx="290" formatCode="0.000">
                  <c:v>46.176315789473684</c:v>
                </c:pt>
                <c:pt idx="291" formatCode="0.000">
                  <c:v>46.109999999999992</c:v>
                </c:pt>
                <c:pt idx="292" formatCode="0.000">
                  <c:v>46.016842105263159</c:v>
                </c:pt>
                <c:pt idx="293" formatCode="0.000">
                  <c:v>45.908947368421053</c:v>
                </c:pt>
                <c:pt idx="294" formatCode="0.000">
                  <c:v>45.81894736842105</c:v>
                </c:pt>
                <c:pt idx="295" formatCode="0.000">
                  <c:v>45.70315789473684</c:v>
                </c:pt>
                <c:pt idx="296" formatCode="0.000">
                  <c:v>45.593157894736834</c:v>
                </c:pt>
                <c:pt idx="297" formatCode="0.000">
                  <c:v>45.511578947368413</c:v>
                </c:pt>
                <c:pt idx="298" formatCode="0.000">
                  <c:v>45.413157894736834</c:v>
                </c:pt>
                <c:pt idx="299" formatCode="0.000">
                  <c:v>45.340526315789468</c:v>
                </c:pt>
                <c:pt idx="300" formatCode="0.000">
                  <c:v>45.245263157894726</c:v>
                </c:pt>
                <c:pt idx="301" formatCode="0.000">
                  <c:v>45.186315789473689</c:v>
                </c:pt>
                <c:pt idx="302" formatCode="0.000">
                  <c:v>45.112105263157893</c:v>
                </c:pt>
                <c:pt idx="303" formatCode="0.000">
                  <c:v>45.096842105263157</c:v>
                </c:pt>
                <c:pt idx="304" formatCode="0.000">
                  <c:v>45.07736842105264</c:v>
                </c:pt>
                <c:pt idx="305" formatCode="0.000">
                  <c:v>45.063157894736854</c:v>
                </c:pt>
                <c:pt idx="306" formatCode="0.000">
                  <c:v>45.017368421052645</c:v>
                </c:pt>
                <c:pt idx="307" formatCode="0.000">
                  <c:v>44.965789473684218</c:v>
                </c:pt>
                <c:pt idx="308" formatCode="0.000">
                  <c:v>44.985789473684214</c:v>
                </c:pt>
                <c:pt idx="309" formatCode="0.000">
                  <c:v>45.028947368421065</c:v>
                </c:pt>
                <c:pt idx="310" formatCode="0.000">
                  <c:v>45.017368421052645</c:v>
                </c:pt>
                <c:pt idx="311" formatCode="0.000">
                  <c:v>44.977368421052638</c:v>
                </c:pt>
                <c:pt idx="312" formatCode="0.000">
                  <c:v>44.947894736842116</c:v>
                </c:pt>
                <c:pt idx="313" formatCode="0.000">
                  <c:v>44.931578947368422</c:v>
                </c:pt>
                <c:pt idx="314" formatCode="0.000">
                  <c:v>44.918421052631587</c:v>
                </c:pt>
                <c:pt idx="315" formatCode="0.000">
                  <c:v>44.912631578947376</c:v>
                </c:pt>
                <c:pt idx="316" formatCode="0.000">
                  <c:v>44.9021052631579</c:v>
                </c:pt>
                <c:pt idx="317" formatCode="0.000">
                  <c:v>44.889473684210536</c:v>
                </c:pt>
                <c:pt idx="318" formatCode="0.000">
                  <c:v>44.874736842105278</c:v>
                </c:pt>
                <c:pt idx="319" formatCode="0.000">
                  <c:v>44.856842105263162</c:v>
                </c:pt>
                <c:pt idx="320" formatCode="0.000">
                  <c:v>44.842105263157897</c:v>
                </c:pt>
                <c:pt idx="321" formatCode="0.000">
                  <c:v>44.848947368421058</c:v>
                </c:pt>
                <c:pt idx="322" formatCode="0.000">
                  <c:v>44.826315789473689</c:v>
                </c:pt>
                <c:pt idx="323" formatCode="0.000">
                  <c:v>44.831052631578949</c:v>
                </c:pt>
                <c:pt idx="324" formatCode="0.000">
                  <c:v>44.827368421052633</c:v>
                </c:pt>
                <c:pt idx="325" formatCode="0.000">
                  <c:v>44.861052631578957</c:v>
                </c:pt>
                <c:pt idx="326" formatCode="0.000">
                  <c:v>44.834736842105258</c:v>
                </c:pt>
                <c:pt idx="327" formatCode="0.000">
                  <c:v>44.85</c:v>
                </c:pt>
                <c:pt idx="328" formatCode="0.000">
                  <c:v>44.877894736842102</c:v>
                </c:pt>
                <c:pt idx="329" formatCode="0.000">
                  <c:v>44.929999999999993</c:v>
                </c:pt>
                <c:pt idx="330" formatCode="0.000">
                  <c:v>44.974210526315787</c:v>
                </c:pt>
                <c:pt idx="331" formatCode="0.000">
                  <c:v>45.027368421052628</c:v>
                </c:pt>
                <c:pt idx="332" formatCode="0.000">
                  <c:v>45.067368421052628</c:v>
                </c:pt>
                <c:pt idx="333" formatCode="0.000">
                  <c:v>45.092631578947369</c:v>
                </c:pt>
                <c:pt idx="334" formatCode="0.000">
                  <c:v>45.113157894736844</c:v>
                </c:pt>
                <c:pt idx="335" formatCode="0.000">
                  <c:v>45.068421052631578</c:v>
                </c:pt>
                <c:pt idx="336" formatCode="0.000">
                  <c:v>45.025263157894734</c:v>
                </c:pt>
                <c:pt idx="337" formatCode="0.000">
                  <c:v>44.997894736842099</c:v>
                </c:pt>
                <c:pt idx="338" formatCode="0.000">
                  <c:v>44.983157894736834</c:v>
                </c:pt>
                <c:pt idx="339" formatCode="0.000">
                  <c:v>44.998421052631585</c:v>
                </c:pt>
                <c:pt idx="340" formatCode="0.000">
                  <c:v>44.985263157894735</c:v>
                </c:pt>
                <c:pt idx="341" formatCode="0.000">
                  <c:v>44.991052631578953</c:v>
                </c:pt>
                <c:pt idx="342" formatCode="0.000">
                  <c:v>44.976315789473674</c:v>
                </c:pt>
                <c:pt idx="343" formatCode="0.000">
                  <c:v>44.941052631578941</c:v>
                </c:pt>
                <c:pt idx="344" formatCode="0.000">
                  <c:v>44.908947368421046</c:v>
                </c:pt>
                <c:pt idx="345" formatCode="0.000">
                  <c:v>44.932631578947372</c:v>
                </c:pt>
                <c:pt idx="346" formatCode="0.000">
                  <c:v>44.961052631578951</c:v>
                </c:pt>
                <c:pt idx="347" formatCode="0.000">
                  <c:v>44.999473684210528</c:v>
                </c:pt>
                <c:pt idx="348" formatCode="0.000">
                  <c:v>45.019473684210531</c:v>
                </c:pt>
                <c:pt idx="349" formatCode="0.000">
                  <c:v>45.063684210526326</c:v>
                </c:pt>
                <c:pt idx="350" formatCode="0.000">
                  <c:v>45.097894736842115</c:v>
                </c:pt>
                <c:pt idx="351" formatCode="0.000">
                  <c:v>45.124210526315792</c:v>
                </c:pt>
                <c:pt idx="352" formatCode="0.000">
                  <c:v>45.158421052631581</c:v>
                </c:pt>
                <c:pt idx="353" formatCode="0.000">
                  <c:v>45.177894736842106</c:v>
                </c:pt>
                <c:pt idx="354" formatCode="0.000">
                  <c:v>45.277894736842107</c:v>
                </c:pt>
                <c:pt idx="355" formatCode="0.000">
                  <c:v>45.372105263157898</c:v>
                </c:pt>
                <c:pt idx="356" formatCode="0.000">
                  <c:v>45.40894736842106</c:v>
                </c:pt>
                <c:pt idx="357" formatCode="0.000">
                  <c:v>45.354210526315796</c:v>
                </c:pt>
                <c:pt idx="358" formatCode="0.000">
                  <c:v>45.265789473684215</c:v>
                </c:pt>
                <c:pt idx="359" formatCode="0.000">
                  <c:v>45.187368421052632</c:v>
                </c:pt>
                <c:pt idx="360" formatCode="0.000">
                  <c:v>45.083157894736843</c:v>
                </c:pt>
                <c:pt idx="361" formatCode="0.000">
                  <c:v>44.991578947368424</c:v>
                </c:pt>
                <c:pt idx="362" formatCode="0.000">
                  <c:v>44.915263157894735</c:v>
                </c:pt>
                <c:pt idx="363" formatCode="0.000">
                  <c:v>44.816842105263156</c:v>
                </c:pt>
                <c:pt idx="364" formatCode="0.000">
                  <c:v>44.706842105263156</c:v>
                </c:pt>
                <c:pt idx="365" formatCode="0.000">
                  <c:v>44.594210526315784</c:v>
                </c:pt>
                <c:pt idx="366" formatCode="0.000">
                  <c:v>44.474736842105266</c:v>
                </c:pt>
                <c:pt idx="367" formatCode="0.000">
                  <c:v>44.365263157894731</c:v>
                </c:pt>
                <c:pt idx="368" formatCode="0.000">
                  <c:v>44.266315789473687</c:v>
                </c:pt>
                <c:pt idx="369" formatCode="0.000">
                  <c:v>44.182105263157894</c:v>
                </c:pt>
                <c:pt idx="370" formatCode="0.000">
                  <c:v>44.108947368421056</c:v>
                </c:pt>
                <c:pt idx="371" formatCode="0.000">
                  <c:v>44.020526315789482</c:v>
                </c:pt>
                <c:pt idx="372" formatCode="0.000">
                  <c:v>43.94736842105263</c:v>
                </c:pt>
                <c:pt idx="373" formatCode="0.000">
                  <c:v>43.85631578947369</c:v>
                </c:pt>
                <c:pt idx="374" formatCode="0.000">
                  <c:v>43.769473684210517</c:v>
                </c:pt>
                <c:pt idx="375" formatCode="0.000">
                  <c:v>43.709473684210529</c:v>
                </c:pt>
                <c:pt idx="376" formatCode="0.000">
                  <c:v>43.733157894736848</c:v>
                </c:pt>
                <c:pt idx="377" formatCode="0.000">
                  <c:v>43.743684210526318</c:v>
                </c:pt>
                <c:pt idx="378" formatCode="0.000">
                  <c:v>43.745789473684205</c:v>
                </c:pt>
                <c:pt idx="379" formatCode="0.000">
                  <c:v>43.738947368421059</c:v>
                </c:pt>
                <c:pt idx="380" formatCode="0.000">
                  <c:v>43.739473684210523</c:v>
                </c:pt>
                <c:pt idx="381" formatCode="0.000">
                  <c:v>43.718421052631577</c:v>
                </c:pt>
                <c:pt idx="382" formatCode="0.000">
                  <c:v>43.714210526315789</c:v>
                </c:pt>
                <c:pt idx="383" formatCode="0.000">
                  <c:v>43.707368421052628</c:v>
                </c:pt>
                <c:pt idx="384" formatCode="0.000">
                  <c:v>43.718947368421048</c:v>
                </c:pt>
                <c:pt idx="385" formatCode="0.000">
                  <c:v>43.735789473684214</c:v>
                </c:pt>
                <c:pt idx="386" formatCode="0.000">
                  <c:v>43.737368421052629</c:v>
                </c:pt>
                <c:pt idx="387" formatCode="0.000">
                  <c:v>43.731052631578947</c:v>
                </c:pt>
                <c:pt idx="388" formatCode="0.000">
                  <c:v>43.638421052631571</c:v>
                </c:pt>
                <c:pt idx="389" formatCode="0.000">
                  <c:v>43.583157894736836</c:v>
                </c:pt>
                <c:pt idx="390" formatCode="0.000">
                  <c:v>43.501578947368422</c:v>
                </c:pt>
                <c:pt idx="391" formatCode="0.000">
                  <c:v>43.398947368421055</c:v>
                </c:pt>
                <c:pt idx="392" formatCode="0.000">
                  <c:v>43.30736842105263</c:v>
                </c:pt>
                <c:pt idx="393" formatCode="0.000">
                  <c:v>43.213684210526317</c:v>
                </c:pt>
                <c:pt idx="394" formatCode="0.000">
                  <c:v>43.127368421052637</c:v>
                </c:pt>
                <c:pt idx="395" formatCode="0.000">
                  <c:v>43.047894736842117</c:v>
                </c:pt>
                <c:pt idx="396" formatCode="0.000">
                  <c:v>42.978421052631582</c:v>
                </c:pt>
                <c:pt idx="397" formatCode="0.000">
                  <c:v>42.941052631578948</c:v>
                </c:pt>
                <c:pt idx="398" formatCode="0.000">
                  <c:v>42.910526315789475</c:v>
                </c:pt>
                <c:pt idx="399" formatCode="0.000">
                  <c:v>42.832105263157899</c:v>
                </c:pt>
                <c:pt idx="400" formatCode="0.000">
                  <c:v>42.79789473684211</c:v>
                </c:pt>
                <c:pt idx="401" formatCode="0.000">
                  <c:v>42.730526315789476</c:v>
                </c:pt>
                <c:pt idx="402" formatCode="0.000">
                  <c:v>42.661052631578947</c:v>
                </c:pt>
                <c:pt idx="403" formatCode="0.000">
                  <c:v>42.590526315789475</c:v>
                </c:pt>
                <c:pt idx="404" formatCode="0.000">
                  <c:v>42.497894736842099</c:v>
                </c:pt>
                <c:pt idx="405" formatCode="0.000">
                  <c:v>42.403157894736843</c:v>
                </c:pt>
                <c:pt idx="406" formatCode="0.000">
                  <c:v>42.307368421052637</c:v>
                </c:pt>
                <c:pt idx="407" formatCode="0.000">
                  <c:v>42.277894736842107</c:v>
                </c:pt>
                <c:pt idx="408" formatCode="0.000">
                  <c:v>42.201052631578953</c:v>
                </c:pt>
                <c:pt idx="409" formatCode="0.000">
                  <c:v>42.172105263157903</c:v>
                </c:pt>
                <c:pt idx="410" formatCode="0.000">
                  <c:v>42.142105263157895</c:v>
                </c:pt>
                <c:pt idx="411" formatCode="0.000">
                  <c:v>42.111578947368429</c:v>
                </c:pt>
                <c:pt idx="412" formatCode="0.000">
                  <c:v>42.091578947368419</c:v>
                </c:pt>
                <c:pt idx="413" formatCode="0.000">
                  <c:v>42.06894736842105</c:v>
                </c:pt>
                <c:pt idx="414" formatCode="0.000">
                  <c:v>42.03</c:v>
                </c:pt>
                <c:pt idx="415" formatCode="0.000">
                  <c:v>42.000526315789472</c:v>
                </c:pt>
                <c:pt idx="416" formatCode="0.000">
                  <c:v>41.952631578947361</c:v>
                </c:pt>
                <c:pt idx="417" formatCode="0.000">
                  <c:v>41.91</c:v>
                </c:pt>
                <c:pt idx="418" formatCode="0.000">
                  <c:v>41.914210526315784</c:v>
                </c:pt>
                <c:pt idx="419" formatCode="0.000">
                  <c:v>41.912631578947362</c:v>
                </c:pt>
                <c:pt idx="420" formatCode="0.000">
                  <c:v>41.933157894736844</c:v>
                </c:pt>
                <c:pt idx="421" formatCode="0.000">
                  <c:v>41.954736842105255</c:v>
                </c:pt>
                <c:pt idx="422" formatCode="0.000">
                  <c:v>41.944210526315786</c:v>
                </c:pt>
                <c:pt idx="423" formatCode="0.000">
                  <c:v>41.954736842105262</c:v>
                </c:pt>
                <c:pt idx="424" formatCode="0.000">
                  <c:v>41.984210526315792</c:v>
                </c:pt>
                <c:pt idx="425" formatCode="0.000">
                  <c:v>42.000526315789479</c:v>
                </c:pt>
                <c:pt idx="426" formatCode="0.000">
                  <c:v>42.018421052631581</c:v>
                </c:pt>
                <c:pt idx="427" formatCode="0.000">
                  <c:v>42.034210526315789</c:v>
                </c:pt>
                <c:pt idx="428" formatCode="0.000">
                  <c:v>42.032105263157888</c:v>
                </c:pt>
                <c:pt idx="429" formatCode="0.000">
                  <c:v>42.08052631578947</c:v>
                </c:pt>
                <c:pt idx="430" formatCode="0.000">
                  <c:v>42.138421052631578</c:v>
                </c:pt>
                <c:pt idx="431" formatCode="0.000">
                  <c:v>42.165263157894735</c:v>
                </c:pt>
                <c:pt idx="432" formatCode="0.000">
                  <c:v>42.126842105263151</c:v>
                </c:pt>
                <c:pt idx="433" formatCode="0.000">
                  <c:v>42.096842105263157</c:v>
                </c:pt>
                <c:pt idx="434" formatCode="0.000">
                  <c:v>42.054736842105257</c:v>
                </c:pt>
                <c:pt idx="435" formatCode="0.000">
                  <c:v>42.022631578947362</c:v>
                </c:pt>
                <c:pt idx="436" formatCode="0.000">
                  <c:v>41.987368421052622</c:v>
                </c:pt>
                <c:pt idx="437" formatCode="0.000">
                  <c:v>41.93421052631578</c:v>
                </c:pt>
                <c:pt idx="438" formatCode="0.000">
                  <c:v>41.847368421052614</c:v>
                </c:pt>
                <c:pt idx="439" formatCode="0.000">
                  <c:v>41.785263157894732</c:v>
                </c:pt>
                <c:pt idx="440" formatCode="0.000">
                  <c:v>41.728947368421046</c:v>
                </c:pt>
                <c:pt idx="441" formatCode="0.000">
                  <c:v>41.676315789473684</c:v>
                </c:pt>
                <c:pt idx="442" formatCode="0.000">
                  <c:v>41.639473684210522</c:v>
                </c:pt>
                <c:pt idx="443" formatCode="0.000">
                  <c:v>41.60526315789474</c:v>
                </c:pt>
                <c:pt idx="444" formatCode="0.000">
                  <c:v>41.554210526315785</c:v>
                </c:pt>
                <c:pt idx="445" formatCode="0.000">
                  <c:v>41.464736842105268</c:v>
                </c:pt>
                <c:pt idx="446" formatCode="0.000">
                  <c:v>41.366842105263153</c:v>
                </c:pt>
                <c:pt idx="447" formatCode="0.000">
                  <c:v>41.29684210526316</c:v>
                </c:pt>
                <c:pt idx="448" formatCode="0.000">
                  <c:v>41.199999999999996</c:v>
                </c:pt>
                <c:pt idx="449" formatCode="0.000">
                  <c:v>41.078421052631576</c:v>
                </c:pt>
                <c:pt idx="450" formatCode="0.000">
                  <c:v>41.026842105263157</c:v>
                </c:pt>
                <c:pt idx="451" formatCode="0.000">
                  <c:v>41.028947368421058</c:v>
                </c:pt>
                <c:pt idx="452" formatCode="0.000">
                  <c:v>41.08</c:v>
                </c:pt>
                <c:pt idx="453" formatCode="0.000">
                  <c:v>41.118421052631582</c:v>
                </c:pt>
                <c:pt idx="454" formatCode="0.000">
                  <c:v>41.135263157894734</c:v>
                </c:pt>
                <c:pt idx="455" formatCode="0.000">
                  <c:v>41.132631578947368</c:v>
                </c:pt>
                <c:pt idx="456" formatCode="0.000">
                  <c:v>41.155263157894737</c:v>
                </c:pt>
                <c:pt idx="457" formatCode="0.000">
                  <c:v>41.198947368421052</c:v>
                </c:pt>
                <c:pt idx="458" formatCode="0.000">
                  <c:v>41.215263157894732</c:v>
                </c:pt>
                <c:pt idx="459" formatCode="0.000">
                  <c:v>41.230526315789476</c:v>
                </c:pt>
                <c:pt idx="460" formatCode="0.000">
                  <c:v>41.254210526315795</c:v>
                </c:pt>
                <c:pt idx="461" formatCode="0.000">
                  <c:v>41.255263157894731</c:v>
                </c:pt>
                <c:pt idx="462" formatCode="0.000">
                  <c:v>41.247368421052627</c:v>
                </c:pt>
                <c:pt idx="463" formatCode="0.000">
                  <c:v>41.271578947368411</c:v>
                </c:pt>
                <c:pt idx="464" formatCode="0.000">
                  <c:v>41.326315789473682</c:v>
                </c:pt>
                <c:pt idx="465" formatCode="0.000">
                  <c:v>41.401578947368421</c:v>
                </c:pt>
                <c:pt idx="466" formatCode="0.000">
                  <c:v>41.459473684210536</c:v>
                </c:pt>
                <c:pt idx="467" formatCode="0.000">
                  <c:v>41.521578947368425</c:v>
                </c:pt>
                <c:pt idx="468" formatCode="0.000">
                  <c:v>41.578421052631576</c:v>
                </c:pt>
                <c:pt idx="469" formatCode="0.000">
                  <c:v>41.602631578947374</c:v>
                </c:pt>
                <c:pt idx="470" formatCode="0.000">
                  <c:v>41.642631578947373</c:v>
                </c:pt>
                <c:pt idx="471" formatCode="0.000">
                  <c:v>41.606842105263162</c:v>
                </c:pt>
                <c:pt idx="472" formatCode="0.000">
                  <c:v>41.561578947368425</c:v>
                </c:pt>
                <c:pt idx="473" formatCode="0.000">
                  <c:v>41.524210526315784</c:v>
                </c:pt>
                <c:pt idx="474" formatCode="0.000">
                  <c:v>41.510526315789477</c:v>
                </c:pt>
                <c:pt idx="475" formatCode="0.000">
                  <c:v>41.475263157894737</c:v>
                </c:pt>
                <c:pt idx="476" formatCode="0.000">
                  <c:v>41.447894736842102</c:v>
                </c:pt>
                <c:pt idx="477" formatCode="0.000">
                  <c:v>41.427894736842106</c:v>
                </c:pt>
                <c:pt idx="478" formatCode="0.000">
                  <c:v>41.40052631578947</c:v>
                </c:pt>
                <c:pt idx="479" formatCode="0.000">
                  <c:v>41.387368421052635</c:v>
                </c:pt>
                <c:pt idx="480" formatCode="0.000">
                  <c:v>41.381052631578946</c:v>
                </c:pt>
                <c:pt idx="481" formatCode="0.000">
                  <c:v>41.396842105263154</c:v>
                </c:pt>
                <c:pt idx="482" formatCode="0.000">
                  <c:v>41.423684210526311</c:v>
                </c:pt>
                <c:pt idx="483" formatCode="0.000">
                  <c:v>41.445789473684215</c:v>
                </c:pt>
                <c:pt idx="484" formatCode="0.000">
                  <c:v>41.437894736842111</c:v>
                </c:pt>
                <c:pt idx="485" formatCode="0.000">
                  <c:v>41.433684210526309</c:v>
                </c:pt>
                <c:pt idx="486" formatCode="0.000">
                  <c:v>41.421578947368424</c:v>
                </c:pt>
                <c:pt idx="487" formatCode="0.000">
                  <c:v>41.401052631578956</c:v>
                </c:pt>
                <c:pt idx="488" formatCode="0.000">
                  <c:v>41.382631578947361</c:v>
                </c:pt>
                <c:pt idx="489" formatCode="0.000">
                  <c:v>41.372105263157898</c:v>
                </c:pt>
                <c:pt idx="490" formatCode="0.000">
                  <c:v>41.384736842105262</c:v>
                </c:pt>
                <c:pt idx="491" formatCode="0.000">
                  <c:v>41.43</c:v>
                </c:pt>
                <c:pt idx="492" formatCode="0.000">
                  <c:v>41.481052631578947</c:v>
                </c:pt>
                <c:pt idx="493" formatCode="0.000">
                  <c:v>41.496842105263156</c:v>
                </c:pt>
                <c:pt idx="494" formatCode="0.000">
                  <c:v>41.48105263157894</c:v>
                </c:pt>
                <c:pt idx="495" formatCode="0.000">
                  <c:v>41.449473684210517</c:v>
                </c:pt>
                <c:pt idx="496" formatCode="0.000">
                  <c:v>41.409473684210525</c:v>
                </c:pt>
                <c:pt idx="497" formatCode="0.000">
                  <c:v>41.372631578947363</c:v>
                </c:pt>
                <c:pt idx="498" formatCode="0.000">
                  <c:v>41.366315789473688</c:v>
                </c:pt>
                <c:pt idx="499" formatCode="0.000">
                  <c:v>41.355789473684212</c:v>
                </c:pt>
                <c:pt idx="500" formatCode="0.000">
                  <c:v>41.332631578947378</c:v>
                </c:pt>
                <c:pt idx="501" formatCode="0.000">
                  <c:v>41.305263157894743</c:v>
                </c:pt>
                <c:pt idx="502" formatCode="0.000">
                  <c:v>41.297368421052639</c:v>
                </c:pt>
                <c:pt idx="503" formatCode="0.000">
                  <c:v>41.314736842105262</c:v>
                </c:pt>
                <c:pt idx="504" formatCode="0.000">
                  <c:v>41.33</c:v>
                </c:pt>
                <c:pt idx="505" formatCode="0.000">
                  <c:v>41.350526315789473</c:v>
                </c:pt>
                <c:pt idx="506" formatCode="0.000">
                  <c:v>41.397894736842105</c:v>
                </c:pt>
                <c:pt idx="507" formatCode="0.000">
                  <c:v>41.454210526315784</c:v>
                </c:pt>
                <c:pt idx="508" formatCode="0.000">
                  <c:v>41.503684210526316</c:v>
                </c:pt>
                <c:pt idx="509" formatCode="0.000">
                  <c:v>41.536315789473683</c:v>
                </c:pt>
                <c:pt idx="510" formatCode="0.000">
                  <c:v>41.541052631578943</c:v>
                </c:pt>
                <c:pt idx="511" formatCode="0.000">
                  <c:v>41.539473684210527</c:v>
                </c:pt>
                <c:pt idx="512" formatCode="0.000">
                  <c:v>41.58052631578947</c:v>
                </c:pt>
                <c:pt idx="513" formatCode="0.000">
                  <c:v>41.670526315789466</c:v>
                </c:pt>
                <c:pt idx="514" formatCode="0.000">
                  <c:v>41.744736842105254</c:v>
                </c:pt>
                <c:pt idx="515" formatCode="0.000">
                  <c:v>41.820526315789472</c:v>
                </c:pt>
                <c:pt idx="516" formatCode="0.000">
                  <c:v>41.908947368421053</c:v>
                </c:pt>
                <c:pt idx="517" formatCode="0.000">
                  <c:v>41.964210526315789</c:v>
                </c:pt>
                <c:pt idx="518" formatCode="0.000">
                  <c:v>42.006315789473682</c:v>
                </c:pt>
                <c:pt idx="519" formatCode="0.000">
                  <c:v>42.044210526315787</c:v>
                </c:pt>
                <c:pt idx="520" formatCode="0.000">
                  <c:v>42.091578947368419</c:v>
                </c:pt>
                <c:pt idx="521" formatCode="0.000">
                  <c:v>42.129473684210531</c:v>
                </c:pt>
                <c:pt idx="522" formatCode="0.000">
                  <c:v>42.15</c:v>
                </c:pt>
                <c:pt idx="523" formatCode="0.000">
                  <c:v>42.173684210526311</c:v>
                </c:pt>
                <c:pt idx="524" formatCode="0.000">
                  <c:v>42.192631578947363</c:v>
                </c:pt>
                <c:pt idx="525" formatCode="0.000">
                  <c:v>42.206842105263156</c:v>
                </c:pt>
                <c:pt idx="526" formatCode="0.000">
                  <c:v>42.204210526315784</c:v>
                </c:pt>
                <c:pt idx="527" formatCode="0.000">
                  <c:v>42.210526315789473</c:v>
                </c:pt>
                <c:pt idx="528" formatCode="0.000">
                  <c:v>42.224210526315787</c:v>
                </c:pt>
                <c:pt idx="529" formatCode="0.000">
                  <c:v>42.246315789473684</c:v>
                </c:pt>
                <c:pt idx="530" formatCode="0.000">
                  <c:v>42.28263157894736</c:v>
                </c:pt>
                <c:pt idx="531" formatCode="0.000">
                  <c:v>42.311052631578946</c:v>
                </c:pt>
                <c:pt idx="532" formatCode="0.000">
                  <c:v>42.331052631578949</c:v>
                </c:pt>
                <c:pt idx="533" formatCode="0.000">
                  <c:v>42.361578947368422</c:v>
                </c:pt>
                <c:pt idx="534" formatCode="0.000">
                  <c:v>42.39947368421052</c:v>
                </c:pt>
                <c:pt idx="535" formatCode="0.000">
                  <c:v>42.427894736842106</c:v>
                </c:pt>
                <c:pt idx="536" formatCode="0.000">
                  <c:v>42.464210526315789</c:v>
                </c:pt>
                <c:pt idx="537" formatCode="0.000">
                  <c:v>42.504210526315788</c:v>
                </c:pt>
                <c:pt idx="538" formatCode="0.000">
                  <c:v>42.551052631578941</c:v>
                </c:pt>
                <c:pt idx="539" formatCode="0.000">
                  <c:v>42.602631578947367</c:v>
                </c:pt>
                <c:pt idx="540" formatCode="0.000">
                  <c:v>42.647368421052633</c:v>
                </c:pt>
                <c:pt idx="541" formatCode="0.000">
                  <c:v>42.695789473684215</c:v>
                </c:pt>
                <c:pt idx="542" formatCode="0.000">
                  <c:v>42.745789473684219</c:v>
                </c:pt>
                <c:pt idx="543" formatCode="0.000">
                  <c:v>42.796315789473695</c:v>
                </c:pt>
                <c:pt idx="544" formatCode="0.000">
                  <c:v>42.832105263157906</c:v>
                </c:pt>
                <c:pt idx="545" formatCode="0.000">
                  <c:v>42.87526315789475</c:v>
                </c:pt>
                <c:pt idx="546" formatCode="0.000">
                  <c:v>42.896842105263161</c:v>
                </c:pt>
                <c:pt idx="547" formatCode="0.000">
                  <c:v>42.934210526315788</c:v>
                </c:pt>
                <c:pt idx="548" formatCode="0.000">
                  <c:v>42.97684210526316</c:v>
                </c:pt>
                <c:pt idx="549" formatCode="0.000">
                  <c:v>43.014210526315793</c:v>
                </c:pt>
                <c:pt idx="550" formatCode="0.000">
                  <c:v>43.05368421052632</c:v>
                </c:pt>
                <c:pt idx="551" formatCode="0.000">
                  <c:v>43.105789473684219</c:v>
                </c:pt>
                <c:pt idx="552" formatCode="0.000">
                  <c:v>43.162631578947376</c:v>
                </c:pt>
                <c:pt idx="553" formatCode="0.000">
                  <c:v>43.225789473684216</c:v>
                </c:pt>
                <c:pt idx="554" formatCode="0.000">
                  <c:v>43.270526315789475</c:v>
                </c:pt>
                <c:pt idx="555" formatCode="0.000">
                  <c:v>43.303684210526313</c:v>
                </c:pt>
                <c:pt idx="556" formatCode="0.000">
                  <c:v>43.35</c:v>
                </c:pt>
                <c:pt idx="557" formatCode="0.000">
                  <c:v>43.377368421052637</c:v>
                </c:pt>
                <c:pt idx="558" formatCode="0.000">
                  <c:v>43.390526315789479</c:v>
                </c:pt>
                <c:pt idx="559" formatCode="0.000">
                  <c:v>43.423157894736846</c:v>
                </c:pt>
                <c:pt idx="560" formatCode="0.000">
                  <c:v>43.467368421052633</c:v>
                </c:pt>
                <c:pt idx="561" formatCode="0.000">
                  <c:v>43.50578947368421</c:v>
                </c:pt>
                <c:pt idx="562" formatCode="0.000">
                  <c:v>43.538421052631577</c:v>
                </c:pt>
                <c:pt idx="563" formatCode="0.000">
                  <c:v>43.594736842105256</c:v>
                </c:pt>
                <c:pt idx="564" formatCode="0.000">
                  <c:v>43.65526315789473</c:v>
                </c:pt>
                <c:pt idx="565" formatCode="0.000">
                  <c:v>43.761578947368413</c:v>
                </c:pt>
                <c:pt idx="566" formatCode="0.000">
                  <c:v>43.88052631578946</c:v>
                </c:pt>
                <c:pt idx="567" formatCode="0.000">
                  <c:v>43.994736842105247</c:v>
                </c:pt>
                <c:pt idx="568" formatCode="0.000">
                  <c:v>44.102105263157888</c:v>
                </c:pt>
                <c:pt idx="569" formatCode="0.000">
                  <c:v>44.215263157894732</c:v>
                </c:pt>
                <c:pt idx="570" formatCode="0.000">
                  <c:v>44.327368421052618</c:v>
                </c:pt>
                <c:pt idx="571" formatCode="0.000">
                  <c:v>44.443157894736835</c:v>
                </c:pt>
                <c:pt idx="572" formatCode="0.000">
                  <c:v>44.553684210526306</c:v>
                </c:pt>
                <c:pt idx="573" formatCode="0.000">
                  <c:v>44.683684210526309</c:v>
                </c:pt>
                <c:pt idx="574" formatCode="0.000">
                  <c:v>44.785789473684204</c:v>
                </c:pt>
                <c:pt idx="575" formatCode="0.000">
                  <c:v>44.862631578947365</c:v>
                </c:pt>
                <c:pt idx="576" formatCode="0.000">
                  <c:v>44.953684210526312</c:v>
                </c:pt>
                <c:pt idx="577" formatCode="0.000">
                  <c:v>45.037894736842105</c:v>
                </c:pt>
                <c:pt idx="578" formatCode="0.000">
                  <c:v>45.1</c:v>
                </c:pt>
                <c:pt idx="579" formatCode="0.000">
                  <c:v>45.172105263157896</c:v>
                </c:pt>
                <c:pt idx="580" formatCode="0.000">
                  <c:v>45.248421052631578</c:v>
                </c:pt>
                <c:pt idx="581" formatCode="0.000">
                  <c:v>45.322631578947373</c:v>
                </c:pt>
                <c:pt idx="582" formatCode="0.000">
                  <c:v>45.385789473684213</c:v>
                </c:pt>
                <c:pt idx="583" formatCode="0.000">
                  <c:v>45.449999999999996</c:v>
                </c:pt>
                <c:pt idx="584" formatCode="0.000">
                  <c:v>45.46</c:v>
                </c:pt>
                <c:pt idx="585" formatCode="0.000">
                  <c:v>45.442105263157892</c:v>
                </c:pt>
                <c:pt idx="586" formatCode="0.000">
                  <c:v>45.434736842105266</c:v>
                </c:pt>
                <c:pt idx="587" formatCode="0.000">
                  <c:v>45.434736842105259</c:v>
                </c:pt>
                <c:pt idx="588" formatCode="0.000">
                  <c:v>45.412631578947369</c:v>
                </c:pt>
                <c:pt idx="589" formatCode="0.000">
                  <c:v>45.387894736842107</c:v>
                </c:pt>
                <c:pt idx="590" formatCode="0.000">
                  <c:v>45.332105263157899</c:v>
                </c:pt>
                <c:pt idx="591" formatCode="0.000">
                  <c:v>45.272105263157897</c:v>
                </c:pt>
                <c:pt idx="592" formatCode="0.000">
                  <c:v>45.207894736842107</c:v>
                </c:pt>
                <c:pt idx="593" formatCode="0.000">
                  <c:v>45.171578947368424</c:v>
                </c:pt>
                <c:pt idx="594" formatCode="0.000">
                  <c:v>45.133157894736847</c:v>
                </c:pt>
                <c:pt idx="595" formatCode="0.000">
                  <c:v>45.084210526315793</c:v>
                </c:pt>
                <c:pt idx="596" formatCode="0.000">
                  <c:v>45.034210526315796</c:v>
                </c:pt>
                <c:pt idx="597" formatCode="0.000">
                  <c:v>44.997368421052641</c:v>
                </c:pt>
                <c:pt idx="598" formatCode="0.000">
                  <c:v>44.955789473684213</c:v>
                </c:pt>
                <c:pt idx="599" formatCode="0.000">
                  <c:v>44.912631578947369</c:v>
                </c:pt>
                <c:pt idx="600" formatCode="0.000">
                  <c:v>44.879473684210524</c:v>
                </c:pt>
                <c:pt idx="601" formatCode="0.000">
                  <c:v>44.845263157894735</c:v>
                </c:pt>
                <c:pt idx="602" formatCode="0.000">
                  <c:v>44.795789473684202</c:v>
                </c:pt>
                <c:pt idx="603" formatCode="0.000">
                  <c:v>44.775263157894734</c:v>
                </c:pt>
                <c:pt idx="604" formatCode="0.000">
                  <c:v>44.762105263157892</c:v>
                </c:pt>
                <c:pt idx="605" formatCode="0.000">
                  <c:v>44.750526315789465</c:v>
                </c:pt>
                <c:pt idx="606" formatCode="0.000">
                  <c:v>44.719473684210527</c:v>
                </c:pt>
                <c:pt idx="607" formatCode="0.000">
                  <c:v>44.729473684210525</c:v>
                </c:pt>
                <c:pt idx="608" formatCode="0.000">
                  <c:v>44.751578947368422</c:v>
                </c:pt>
                <c:pt idx="609" formatCode="0.000">
                  <c:v>44.819473684210536</c:v>
                </c:pt>
                <c:pt idx="610" formatCode="0.000">
                  <c:v>44.880526315789481</c:v>
                </c:pt>
                <c:pt idx="611" formatCode="0.000">
                  <c:v>44.937368421052632</c:v>
                </c:pt>
                <c:pt idx="612" formatCode="0.000">
                  <c:v>44.983684210526327</c:v>
                </c:pt>
                <c:pt idx="613" formatCode="0.000">
                  <c:v>45.046315789473695</c:v>
                </c:pt>
                <c:pt idx="614" formatCode="0.000">
                  <c:v>45.113684210526323</c:v>
                </c:pt>
                <c:pt idx="615" formatCode="0.000">
                  <c:v>45.172631578947374</c:v>
                </c:pt>
                <c:pt idx="616" formatCode="0.000">
                  <c:v>45.241578947368424</c:v>
                </c:pt>
                <c:pt idx="617" formatCode="0.000">
                  <c:v>45.298947368421054</c:v>
                </c:pt>
                <c:pt idx="618" formatCode="0.000">
                  <c:v>45.360000000000007</c:v>
                </c:pt>
                <c:pt idx="619" formatCode="0.000">
                  <c:v>45.415789473684214</c:v>
                </c:pt>
                <c:pt idx="620" formatCode="0.000">
                  <c:v>45.461052631578944</c:v>
                </c:pt>
                <c:pt idx="621" formatCode="0.000">
                  <c:v>45.520526315789475</c:v>
                </c:pt>
                <c:pt idx="622" formatCode="0.000">
                  <c:v>45.592105263157897</c:v>
                </c:pt>
                <c:pt idx="623" formatCode="0.000">
                  <c:v>45.66473684210527</c:v>
                </c:pt>
                <c:pt idx="624" formatCode="0.000">
                  <c:v>45.708421052631586</c:v>
                </c:pt>
                <c:pt idx="625" formatCode="0.000">
                  <c:v>45.752105263157894</c:v>
                </c:pt>
                <c:pt idx="626" formatCode="0.000">
                  <c:v>45.775263157894734</c:v>
                </c:pt>
                <c:pt idx="627" formatCode="0.000">
                  <c:v>45.767894736842102</c:v>
                </c:pt>
                <c:pt idx="628" formatCode="0.000">
                  <c:v>45.737368421052629</c:v>
                </c:pt>
                <c:pt idx="629" formatCode="0.000">
                  <c:v>45.705789473684206</c:v>
                </c:pt>
                <c:pt idx="630" formatCode="0.000">
                  <c:v>45.691578947368427</c:v>
                </c:pt>
                <c:pt idx="631" formatCode="0.000">
                  <c:v>45.676842105263148</c:v>
                </c:pt>
                <c:pt idx="632" formatCode="0.000">
                  <c:v>45.66947368421053</c:v>
                </c:pt>
                <c:pt idx="633" formatCode="0.000">
                  <c:v>45.654736842105265</c:v>
                </c:pt>
                <c:pt idx="634" formatCode="0.000">
                  <c:v>45.657368421052631</c:v>
                </c:pt>
                <c:pt idx="635" formatCode="0.000">
                  <c:v>45.664736842105263</c:v>
                </c:pt>
                <c:pt idx="636" formatCode="0.000">
                  <c:v>45.681578947368422</c:v>
                </c:pt>
                <c:pt idx="637" formatCode="0.000">
                  <c:v>45.701052631578953</c:v>
                </c:pt>
                <c:pt idx="638" formatCode="0.000">
                  <c:v>45.729473684210525</c:v>
                </c:pt>
                <c:pt idx="639" formatCode="0.000">
                  <c:v>45.766842105263152</c:v>
                </c:pt>
                <c:pt idx="640" formatCode="0.000">
                  <c:v>45.804736842105264</c:v>
                </c:pt>
                <c:pt idx="641" formatCode="0.000">
                  <c:v>45.832631578947364</c:v>
                </c:pt>
                <c:pt idx="642" formatCode="0.000">
                  <c:v>45.867894736842096</c:v>
                </c:pt>
                <c:pt idx="643" formatCode="0.000">
                  <c:v>45.881052631578939</c:v>
                </c:pt>
                <c:pt idx="644" formatCode="0.000">
                  <c:v>45.907894736842103</c:v>
                </c:pt>
                <c:pt idx="645" formatCode="0.000">
                  <c:v>45.930526315789471</c:v>
                </c:pt>
                <c:pt idx="646" formatCode="0.000">
                  <c:v>45.950526315789467</c:v>
                </c:pt>
                <c:pt idx="647" formatCode="0.000">
                  <c:v>45.963157894736838</c:v>
                </c:pt>
                <c:pt idx="648" formatCode="0.000">
                  <c:v>45.962631578947359</c:v>
                </c:pt>
                <c:pt idx="649" formatCode="0.000">
                  <c:v>45.958421052631572</c:v>
                </c:pt>
                <c:pt idx="650" formatCode="0.000">
                  <c:v>45.972631578947357</c:v>
                </c:pt>
                <c:pt idx="651" formatCode="0.000">
                  <c:v>45.978947368421053</c:v>
                </c:pt>
                <c:pt idx="652" formatCode="0.000">
                  <c:v>45.939473684210519</c:v>
                </c:pt>
                <c:pt idx="653" formatCode="0.000">
                  <c:v>45.905789473684209</c:v>
                </c:pt>
                <c:pt idx="654" formatCode="0.000">
                  <c:v>45.865263157894731</c:v>
                </c:pt>
                <c:pt idx="655" formatCode="0.000">
                  <c:v>45.806315789473686</c:v>
                </c:pt>
                <c:pt idx="656" formatCode="0.000">
                  <c:v>45.765789473684208</c:v>
                </c:pt>
                <c:pt idx="657" formatCode="0.000">
                  <c:v>45.724736842105266</c:v>
                </c:pt>
                <c:pt idx="658" formatCode="0.000">
                  <c:v>45.683684210526316</c:v>
                </c:pt>
                <c:pt idx="659" formatCode="0.000">
                  <c:v>45.629473684210517</c:v>
                </c:pt>
                <c:pt idx="660" formatCode="0.000">
                  <c:v>45.56052631578946</c:v>
                </c:pt>
                <c:pt idx="661" formatCode="0.000">
                  <c:v>45.507894736842097</c:v>
                </c:pt>
                <c:pt idx="662" formatCode="0.000">
                  <c:v>45.507368421052632</c:v>
                </c:pt>
                <c:pt idx="663" formatCode="0.000">
                  <c:v>45.503684210526316</c:v>
                </c:pt>
                <c:pt idx="664" formatCode="0.000">
                  <c:v>45.507368421052632</c:v>
                </c:pt>
                <c:pt idx="665" formatCode="0.000">
                  <c:v>45.541052631578943</c:v>
                </c:pt>
                <c:pt idx="666" formatCode="0.000">
                  <c:v>45.579999999999991</c:v>
                </c:pt>
                <c:pt idx="667" formatCode="0.000">
                  <c:v>45.632631578947368</c:v>
                </c:pt>
                <c:pt idx="668" formatCode="0.000">
                  <c:v>45.690526315789469</c:v>
                </c:pt>
                <c:pt idx="669" formatCode="0.000">
                  <c:v>45.726842105263152</c:v>
                </c:pt>
                <c:pt idx="670" formatCode="0.000">
                  <c:v>45.766315789473687</c:v>
                </c:pt>
                <c:pt idx="671" formatCode="0.000">
                  <c:v>45.847368421052629</c:v>
                </c:pt>
                <c:pt idx="672" formatCode="0.000">
                  <c:v>45.907368421052624</c:v>
                </c:pt>
                <c:pt idx="673" formatCode="0.000">
                  <c:v>45.971578947368421</c:v>
                </c:pt>
                <c:pt idx="674" formatCode="0.000">
                  <c:v>46.038421052631584</c:v>
                </c:pt>
                <c:pt idx="675" formatCode="0.000">
                  <c:v>46.073684210526324</c:v>
                </c:pt>
                <c:pt idx="676" formatCode="0.000">
                  <c:v>46.098947368421051</c:v>
                </c:pt>
                <c:pt idx="677" formatCode="0.000">
                  <c:v>46.113684210526316</c:v>
                </c:pt>
                <c:pt idx="678" formatCode="0.000">
                  <c:v>46.13421052631579</c:v>
                </c:pt>
                <c:pt idx="679" formatCode="0.000">
                  <c:v>46.16368421052632</c:v>
                </c:pt>
                <c:pt idx="680" formatCode="0.000">
                  <c:v>46.142631578947373</c:v>
                </c:pt>
                <c:pt idx="681" formatCode="0.000">
                  <c:v>46.134210526315798</c:v>
                </c:pt>
                <c:pt idx="682" formatCode="0.000">
                  <c:v>46.137894736842107</c:v>
                </c:pt>
                <c:pt idx="683" formatCode="0.000">
                  <c:v>46.140526315789472</c:v>
                </c:pt>
                <c:pt idx="684" formatCode="0.000">
                  <c:v>46.136315789473684</c:v>
                </c:pt>
                <c:pt idx="685" formatCode="0.000">
                  <c:v>46.146842105263161</c:v>
                </c:pt>
                <c:pt idx="686" formatCode="0.000">
                  <c:v>46.201052631578946</c:v>
                </c:pt>
                <c:pt idx="687" formatCode="0.000">
                  <c:v>46.212631578947367</c:v>
                </c:pt>
                <c:pt idx="688" formatCode="0.000">
                  <c:v>46.221578947368414</c:v>
                </c:pt>
                <c:pt idx="689" formatCode="0.000">
                  <c:v>46.189473684210519</c:v>
                </c:pt>
                <c:pt idx="690" formatCode="0.000">
                  <c:v>46.151578947368414</c:v>
                </c:pt>
                <c:pt idx="691" formatCode="0.000">
                  <c:v>46.137368421052628</c:v>
                </c:pt>
                <c:pt idx="692" formatCode="0.000">
                  <c:v>46.116842105263153</c:v>
                </c:pt>
                <c:pt idx="693" formatCode="0.000">
                  <c:v>46.106842105263155</c:v>
                </c:pt>
                <c:pt idx="694" formatCode="0.000">
                  <c:v>46.108947368421056</c:v>
                </c:pt>
                <c:pt idx="695" formatCode="0.000">
                  <c:v>46.101052631578952</c:v>
                </c:pt>
                <c:pt idx="696" formatCode="0.000">
                  <c:v>46.085263157894744</c:v>
                </c:pt>
                <c:pt idx="697" formatCode="0.000">
                  <c:v>46.079473684210527</c:v>
                </c:pt>
                <c:pt idx="698" formatCode="0.000">
                  <c:v>46.079473684210527</c:v>
                </c:pt>
                <c:pt idx="699" formatCode="0.000">
                  <c:v>46.119473684210526</c:v>
                </c:pt>
                <c:pt idx="700" formatCode="0.000">
                  <c:v>46.136315789473684</c:v>
                </c:pt>
                <c:pt idx="701" formatCode="0.000">
                  <c:v>46.150526315789477</c:v>
                </c:pt>
                <c:pt idx="702" formatCode="0.000">
                  <c:v>46.126842105263165</c:v>
                </c:pt>
                <c:pt idx="703" formatCode="0.000">
                  <c:v>46.062105263157896</c:v>
                </c:pt>
                <c:pt idx="704" formatCode="0.000">
                  <c:v>45.988947368421059</c:v>
                </c:pt>
                <c:pt idx="705" formatCode="0.000">
                  <c:v>45.876315789473686</c:v>
                </c:pt>
                <c:pt idx="706" formatCode="0.000">
                  <c:v>45.828421052631576</c:v>
                </c:pt>
                <c:pt idx="707" formatCode="0.000">
                  <c:v>45.801052631578948</c:v>
                </c:pt>
                <c:pt idx="708" formatCode="0.000">
                  <c:v>45.826315789473689</c:v>
                </c:pt>
                <c:pt idx="709" formatCode="0.000">
                  <c:v>45.851052631578945</c:v>
                </c:pt>
                <c:pt idx="710" formatCode="0.000">
                  <c:v>45.869473684210526</c:v>
                </c:pt>
                <c:pt idx="711" formatCode="0.000">
                  <c:v>45.882105263157889</c:v>
                </c:pt>
                <c:pt idx="712" formatCode="0.000">
                  <c:v>45.867368421052618</c:v>
                </c:pt>
                <c:pt idx="713" formatCode="0.000">
                  <c:v>45.851052631578945</c:v>
                </c:pt>
                <c:pt idx="714" formatCode="0.000">
                  <c:v>45.85</c:v>
                </c:pt>
                <c:pt idx="715" formatCode="0.000">
                  <c:v>45.87263157894737</c:v>
                </c:pt>
                <c:pt idx="716" formatCode="0.000">
                  <c:v>45.870000000000005</c:v>
                </c:pt>
                <c:pt idx="717" formatCode="0.000">
                  <c:v>45.865263157894738</c:v>
                </c:pt>
                <c:pt idx="718" formatCode="0.000">
                  <c:v>45.828947368421055</c:v>
                </c:pt>
                <c:pt idx="719" formatCode="0.000">
                  <c:v>45.785789473684211</c:v>
                </c:pt>
                <c:pt idx="720" formatCode="0.000">
                  <c:v>45.766315789473687</c:v>
                </c:pt>
                <c:pt idx="721" formatCode="0.000">
                  <c:v>45.78157894736843</c:v>
                </c:pt>
                <c:pt idx="722" formatCode="0.000">
                  <c:v>45.817894736842113</c:v>
                </c:pt>
                <c:pt idx="723" formatCode="0.000">
                  <c:v>45.865263157894738</c:v>
                </c:pt>
                <c:pt idx="724" formatCode="0.000">
                  <c:v>45.906315789473695</c:v>
                </c:pt>
                <c:pt idx="725" formatCode="0.000">
                  <c:v>45.913684210526327</c:v>
                </c:pt>
                <c:pt idx="726" formatCode="0.000">
                  <c:v>45.920000000000009</c:v>
                </c:pt>
                <c:pt idx="727" formatCode="0.000">
                  <c:v>45.937894736842111</c:v>
                </c:pt>
                <c:pt idx="728" formatCode="0.000">
                  <c:v>45.984736842105264</c:v>
                </c:pt>
                <c:pt idx="729" formatCode="0.000">
                  <c:v>46.024210526315791</c:v>
                </c:pt>
                <c:pt idx="730" formatCode="0.000">
                  <c:v>46.081052631578949</c:v>
                </c:pt>
                <c:pt idx="731" formatCode="0.000">
                  <c:v>46.174736842105261</c:v>
                </c:pt>
                <c:pt idx="732" formatCode="0.000">
                  <c:v>46.272631578947369</c:v>
                </c:pt>
                <c:pt idx="733" formatCode="0.000">
                  <c:v>46.378947368421052</c:v>
                </c:pt>
                <c:pt idx="734" formatCode="0.000">
                  <c:v>46.479473684210532</c:v>
                </c:pt>
                <c:pt idx="735" formatCode="0.000">
                  <c:v>46.627368421052637</c:v>
                </c:pt>
                <c:pt idx="736" formatCode="0.000">
                  <c:v>46.72315789473685</c:v>
                </c:pt>
                <c:pt idx="737" formatCode="0.000">
                  <c:v>46.82157894736843</c:v>
                </c:pt>
                <c:pt idx="738" formatCode="0.000">
                  <c:v>46.934736842105266</c:v>
                </c:pt>
                <c:pt idx="739" formatCode="0.000">
                  <c:v>47.006842105263161</c:v>
                </c:pt>
                <c:pt idx="740" formatCode="0.000">
                  <c:v>47.041578947368428</c:v>
                </c:pt>
                <c:pt idx="741" formatCode="0.000">
                  <c:v>46.983157894736848</c:v>
                </c:pt>
                <c:pt idx="742" formatCode="0.000">
                  <c:v>46.901052631578949</c:v>
                </c:pt>
                <c:pt idx="743" formatCode="0.000">
                  <c:v>46.821578947368415</c:v>
                </c:pt>
                <c:pt idx="744" formatCode="0.000">
                  <c:v>46.666842105263157</c:v>
                </c:pt>
                <c:pt idx="745" formatCode="0.000">
                  <c:v>46.507894736842111</c:v>
                </c:pt>
                <c:pt idx="746" formatCode="0.000">
                  <c:v>46.373157894736849</c:v>
                </c:pt>
                <c:pt idx="747" formatCode="0.000">
                  <c:v>46.234736842105264</c:v>
                </c:pt>
                <c:pt idx="748" formatCode="0.000">
                  <c:v>46.088421052631574</c:v>
                </c:pt>
                <c:pt idx="749" formatCode="0.000">
                  <c:v>45.963157894736845</c:v>
                </c:pt>
                <c:pt idx="750" formatCode="0.000">
                  <c:v>45.836842105263166</c:v>
                </c:pt>
                <c:pt idx="751" formatCode="0.000">
                  <c:v>45.654736842105272</c:v>
                </c:pt>
                <c:pt idx="752" formatCode="0.000">
                  <c:v>45.418421052631579</c:v>
                </c:pt>
                <c:pt idx="753" formatCode="0.000">
                  <c:v>45.191052631578955</c:v>
                </c:pt>
                <c:pt idx="754" formatCode="0.000">
                  <c:v>44.95473684210527</c:v>
                </c:pt>
                <c:pt idx="755" formatCode="0.000">
                  <c:v>44.761578947368413</c:v>
                </c:pt>
                <c:pt idx="756" formatCode="0.000">
                  <c:v>44.562105263157896</c:v>
                </c:pt>
                <c:pt idx="757" formatCode="0.000">
                  <c:v>44.332105263157899</c:v>
                </c:pt>
                <c:pt idx="758" formatCode="0.000">
                  <c:v>44.120526315789476</c:v>
                </c:pt>
                <c:pt idx="759" formatCode="0.000">
                  <c:v>43.962105263157895</c:v>
                </c:pt>
                <c:pt idx="760" formatCode="0.000">
                  <c:v>43.909473684210525</c:v>
                </c:pt>
                <c:pt idx="761" formatCode="0.000">
                  <c:v>43.870526315789469</c:v>
                </c:pt>
                <c:pt idx="762" formatCode="0.000">
                  <c:v>43.831578947368428</c:v>
                </c:pt>
                <c:pt idx="763" formatCode="0.000">
                  <c:v>43.902631578947371</c:v>
                </c:pt>
                <c:pt idx="764" formatCode="0.000">
                  <c:v>43.991578947368431</c:v>
                </c:pt>
                <c:pt idx="765" formatCode="0.000">
                  <c:v>44.021052631578954</c:v>
                </c:pt>
                <c:pt idx="766" formatCode="0.000">
                  <c:v>44.04105263157895</c:v>
                </c:pt>
                <c:pt idx="767" formatCode="0.000">
                  <c:v>44.024210526315798</c:v>
                </c:pt>
                <c:pt idx="768" formatCode="0.000">
                  <c:v>43.965789473684211</c:v>
                </c:pt>
                <c:pt idx="769" formatCode="0.000">
                  <c:v>43.885789473684213</c:v>
                </c:pt>
                <c:pt idx="770" formatCode="0.000">
                  <c:v>43.847368421052636</c:v>
                </c:pt>
                <c:pt idx="771" formatCode="0.000">
                  <c:v>43.837894736842102</c:v>
                </c:pt>
                <c:pt idx="772" formatCode="0.000">
                  <c:v>43.810526315789474</c:v>
                </c:pt>
                <c:pt idx="773" formatCode="0.000">
                  <c:v>43.743157894736839</c:v>
                </c:pt>
                <c:pt idx="774" formatCode="0.000">
                  <c:v>43.653684210526315</c:v>
                </c:pt>
                <c:pt idx="775" formatCode="0.000">
                  <c:v>43.604736842105261</c:v>
                </c:pt>
                <c:pt idx="776" formatCode="0.000">
                  <c:v>43.587368421052631</c:v>
                </c:pt>
                <c:pt idx="777" formatCode="0.000">
                  <c:v>43.581578947368421</c:v>
                </c:pt>
                <c:pt idx="778" formatCode="0.000">
                  <c:v>43.566315789473677</c:v>
                </c:pt>
                <c:pt idx="779" formatCode="0.000">
                  <c:v>43.502105263157894</c:v>
                </c:pt>
                <c:pt idx="780" formatCode="0.000">
                  <c:v>43.473157894736836</c:v>
                </c:pt>
                <c:pt idx="781" formatCode="0.000">
                  <c:v>43.495263157894733</c:v>
                </c:pt>
                <c:pt idx="782" formatCode="0.000">
                  <c:v>43.492631578947361</c:v>
                </c:pt>
                <c:pt idx="783" formatCode="0.000">
                  <c:v>43.445263157894736</c:v>
                </c:pt>
                <c:pt idx="784" formatCode="0.000">
                  <c:v>43.408421052631574</c:v>
                </c:pt>
                <c:pt idx="785" formatCode="0.000">
                  <c:v>43.377894736842094</c:v>
                </c:pt>
                <c:pt idx="786" formatCode="0.000">
                  <c:v>43.38894736842105</c:v>
                </c:pt>
                <c:pt idx="787" formatCode="0.000">
                  <c:v>43.407894736842103</c:v>
                </c:pt>
                <c:pt idx="788" formatCode="0.000">
                  <c:v>43.463157894736838</c:v>
                </c:pt>
                <c:pt idx="789" formatCode="0.000">
                  <c:v>43.537894736842098</c:v>
                </c:pt>
                <c:pt idx="790" formatCode="0.000">
                  <c:v>43.628421052631573</c:v>
                </c:pt>
                <c:pt idx="791" formatCode="0.000">
                  <c:v>43.7078947368421</c:v>
                </c:pt>
                <c:pt idx="792" formatCode="0.000">
                  <c:v>43.789473684210513</c:v>
                </c:pt>
                <c:pt idx="793" formatCode="0.000">
                  <c:v>43.863684210526309</c:v>
                </c:pt>
                <c:pt idx="794" formatCode="0.000">
                  <c:v>43.931578947368422</c:v>
                </c:pt>
                <c:pt idx="795" formatCode="0.000">
                  <c:v>43.941052631578948</c:v>
                </c:pt>
                <c:pt idx="796" formatCode="0.000">
                  <c:v>43.894210526315788</c:v>
                </c:pt>
                <c:pt idx="797" formatCode="0.000">
                  <c:v>43.858421052631591</c:v>
                </c:pt>
                <c:pt idx="798" formatCode="0.000">
                  <c:v>43.892105263157895</c:v>
                </c:pt>
                <c:pt idx="799" formatCode="0.000">
                  <c:v>43.88315789473684</c:v>
                </c:pt>
                <c:pt idx="800" formatCode="0.000">
                  <c:v>43.796315789473681</c:v>
                </c:pt>
                <c:pt idx="801" formatCode="0.000">
                  <c:v>43.673157894736853</c:v>
                </c:pt>
                <c:pt idx="802" formatCode="0.000">
                  <c:v>43.566315789473691</c:v>
                </c:pt>
                <c:pt idx="803" formatCode="0.000">
                  <c:v>43.488947368421066</c:v>
                </c:pt>
                <c:pt idx="804" formatCode="0.000">
                  <c:v>43.39157894736843</c:v>
                </c:pt>
                <c:pt idx="805" formatCode="0.000">
                  <c:v>43.276842105263171</c:v>
                </c:pt>
                <c:pt idx="806" formatCode="0.000">
                  <c:v>43.158421052631581</c:v>
                </c:pt>
                <c:pt idx="807" formatCode="0.000">
                  <c:v>43.035789473684211</c:v>
                </c:pt>
                <c:pt idx="808" formatCode="0.000">
                  <c:v>42.902105263157885</c:v>
                </c:pt>
                <c:pt idx="809" formatCode="0.000">
                  <c:v>42.752631578947366</c:v>
                </c:pt>
                <c:pt idx="810" formatCode="0.000">
                  <c:v>42.605789473684197</c:v>
                </c:pt>
                <c:pt idx="811" formatCode="0.000">
                  <c:v>42.460526315789458</c:v>
                </c:pt>
                <c:pt idx="812" formatCode="0.000">
                  <c:v>42.384736842105255</c:v>
                </c:pt>
                <c:pt idx="813" formatCode="0.000">
                  <c:v>42.289999999999985</c:v>
                </c:pt>
                <c:pt idx="814" formatCode="0.000">
                  <c:v>42.255263157894731</c:v>
                </c:pt>
                <c:pt idx="815" formatCode="0.000">
                  <c:v>42.245789473684205</c:v>
                </c:pt>
                <c:pt idx="816" formatCode="0.000">
                  <c:v>42.227368421052624</c:v>
                </c:pt>
                <c:pt idx="817" formatCode="0.000">
                  <c:v>42.175263157894733</c:v>
                </c:pt>
                <c:pt idx="818" formatCode="0.000">
                  <c:v>42.132631578947368</c:v>
                </c:pt>
                <c:pt idx="819" formatCode="0.000">
                  <c:v>42.137368421052628</c:v>
                </c:pt>
                <c:pt idx="820" formatCode="0.000">
                  <c:v>42.193684210526321</c:v>
                </c:pt>
                <c:pt idx="821" formatCode="0.000">
                  <c:v>42.252105263157901</c:v>
                </c:pt>
                <c:pt idx="822" formatCode="0.000">
                  <c:v>42.292105263157893</c:v>
                </c:pt>
                <c:pt idx="823" formatCode="0.000">
                  <c:v>42.363157894736844</c:v>
                </c:pt>
                <c:pt idx="824" formatCode="0.000">
                  <c:v>42.431578947368422</c:v>
                </c:pt>
                <c:pt idx="825" formatCode="0.000">
                  <c:v>42.52</c:v>
                </c:pt>
                <c:pt idx="826" formatCode="0.000">
                  <c:v>42.586315789473687</c:v>
                </c:pt>
                <c:pt idx="827" formatCode="0.000">
                  <c:v>42.681578947368422</c:v>
                </c:pt>
                <c:pt idx="828" formatCode="0.000">
                  <c:v>42.791578947368428</c:v>
                </c:pt>
                <c:pt idx="829" formatCode="0.000">
                  <c:v>42.933157894736844</c:v>
                </c:pt>
                <c:pt idx="830" formatCode="0.000">
                  <c:v>43.071578947368423</c:v>
                </c:pt>
                <c:pt idx="831" formatCode="0.000">
                  <c:v>43.138947368421057</c:v>
                </c:pt>
                <c:pt idx="832" formatCode="0.000">
                  <c:v>43.241052631578953</c:v>
                </c:pt>
                <c:pt idx="833" formatCode="0.000">
                  <c:v>43.301052631578941</c:v>
                </c:pt>
                <c:pt idx="834" formatCode="0.000">
                  <c:v>43.372105263157891</c:v>
                </c:pt>
                <c:pt idx="835" formatCode="0.000">
                  <c:v>43.417368421052629</c:v>
                </c:pt>
                <c:pt idx="836" formatCode="0.000">
                  <c:v>43.4578947368421</c:v>
                </c:pt>
                <c:pt idx="837" formatCode="0.000">
                  <c:v>43.502631578947366</c:v>
                </c:pt>
                <c:pt idx="838" formatCode="0.000">
                  <c:v>43.550000000000004</c:v>
                </c:pt>
                <c:pt idx="839" formatCode="0.000">
                  <c:v>43.560526315789481</c:v>
                </c:pt>
                <c:pt idx="840" formatCode="0.000">
                  <c:v>43.564210526315797</c:v>
                </c:pt>
                <c:pt idx="841" formatCode="0.000">
                  <c:v>43.582631578947378</c:v>
                </c:pt>
                <c:pt idx="842" formatCode="0.000">
                  <c:v>43.60210526315791</c:v>
                </c:pt>
                <c:pt idx="843" formatCode="0.000">
                  <c:v>43.63578947368422</c:v>
                </c:pt>
                <c:pt idx="844" formatCode="0.000">
                  <c:v>43.663684210526327</c:v>
                </c:pt>
                <c:pt idx="845" formatCode="0.000">
                  <c:v>43.72789473684211</c:v>
                </c:pt>
                <c:pt idx="846" formatCode="0.000">
                  <c:v>43.764210526315793</c:v>
                </c:pt>
                <c:pt idx="847" formatCode="0.000">
                  <c:v>43.778421052631586</c:v>
                </c:pt>
                <c:pt idx="848" formatCode="0.000">
                  <c:v>43.807894736842101</c:v>
                </c:pt>
                <c:pt idx="849" formatCode="0.000">
                  <c:v>43.839999999999996</c:v>
                </c:pt>
                <c:pt idx="850" formatCode="0.000">
                  <c:v>43.897368421052626</c:v>
                </c:pt>
                <c:pt idx="851" formatCode="0.000">
                  <c:v>43.929999999999993</c:v>
                </c:pt>
                <c:pt idx="852" formatCode="0.000">
                  <c:v>43.992105263157889</c:v>
                </c:pt>
                <c:pt idx="853" formatCode="0.000">
                  <c:v>44.078947368421048</c:v>
                </c:pt>
                <c:pt idx="854" formatCode="0.000">
                  <c:v>44.176842105263155</c:v>
                </c:pt>
                <c:pt idx="855" formatCode="0.000">
                  <c:v>44.283157894736839</c:v>
                </c:pt>
                <c:pt idx="856" formatCode="0.000">
                  <c:v>44.39</c:v>
                </c:pt>
                <c:pt idx="857" formatCode="0.000">
                  <c:v>44.462105263157902</c:v>
                </c:pt>
                <c:pt idx="858" formatCode="0.000">
                  <c:v>44.563684210526318</c:v>
                </c:pt>
                <c:pt idx="859" formatCode="0.000">
                  <c:v>44.722631578947379</c:v>
                </c:pt>
                <c:pt idx="860" formatCode="0.000">
                  <c:v>44.868421052631582</c:v>
                </c:pt>
                <c:pt idx="861" formatCode="0.000">
                  <c:v>44.992105263157903</c:v>
                </c:pt>
                <c:pt idx="862" formatCode="0.000">
                  <c:v>45.122631578947377</c:v>
                </c:pt>
                <c:pt idx="863" formatCode="0.000">
                  <c:v>45.261578947368427</c:v>
                </c:pt>
                <c:pt idx="864" formatCode="0.000">
                  <c:v>45.352631578947374</c:v>
                </c:pt>
                <c:pt idx="865" formatCode="0.000">
                  <c:v>45.433684210526323</c:v>
                </c:pt>
                <c:pt idx="866" formatCode="0.000">
                  <c:v>45.550526315789469</c:v>
                </c:pt>
                <c:pt idx="867" formatCode="0.000">
                  <c:v>45.63894736842105</c:v>
                </c:pt>
                <c:pt idx="868" formatCode="0.000">
                  <c:v>45.728947368421046</c:v>
                </c:pt>
                <c:pt idx="869" formatCode="0.000">
                  <c:v>45.806842105263151</c:v>
                </c:pt>
                <c:pt idx="870" formatCode="0.000">
                  <c:v>45.891578947368416</c:v>
                </c:pt>
                <c:pt idx="871" formatCode="0.000">
                  <c:v>45.962631578947374</c:v>
                </c:pt>
                <c:pt idx="872" formatCode="0.000">
                  <c:v>45.993157894736839</c:v>
                </c:pt>
                <c:pt idx="873" formatCode="0.000">
                  <c:v>46.033684210526317</c:v>
                </c:pt>
                <c:pt idx="874" formatCode="0.000">
                  <c:v>46.084736842105272</c:v>
                </c:pt>
                <c:pt idx="875" formatCode="0.000">
                  <c:v>46.134210526315798</c:v>
                </c:pt>
                <c:pt idx="876" formatCode="0.000">
                  <c:v>46.221052631578956</c:v>
                </c:pt>
                <c:pt idx="877" formatCode="0.000">
                  <c:v>46.298421052631589</c:v>
                </c:pt>
                <c:pt idx="878" formatCode="0.000">
                  <c:v>46.30526315789475</c:v>
                </c:pt>
                <c:pt idx="879" formatCode="0.000">
                  <c:v>46.288947368421056</c:v>
                </c:pt>
                <c:pt idx="880" formatCode="0.000">
                  <c:v>46.262105263157899</c:v>
                </c:pt>
                <c:pt idx="881" formatCode="0.000">
                  <c:v>46.230526315789483</c:v>
                </c:pt>
                <c:pt idx="882" formatCode="0.000">
                  <c:v>46.18105263157895</c:v>
                </c:pt>
                <c:pt idx="883" formatCode="0.000">
                  <c:v>46.12736842105263</c:v>
                </c:pt>
                <c:pt idx="884" formatCode="0.000">
                  <c:v>46.082631578947364</c:v>
                </c:pt>
                <c:pt idx="885" formatCode="0.000">
                  <c:v>45.994736842105269</c:v>
                </c:pt>
                <c:pt idx="886" formatCode="0.000">
                  <c:v>45.885263157894741</c:v>
                </c:pt>
                <c:pt idx="887" formatCode="0.000">
                  <c:v>45.793684210526315</c:v>
                </c:pt>
                <c:pt idx="888" formatCode="0.000">
                  <c:v>45.753157894736852</c:v>
                </c:pt>
                <c:pt idx="889" formatCode="0.000">
                  <c:v>45.722631578947372</c:v>
                </c:pt>
                <c:pt idx="890" formatCode="0.000">
                  <c:v>45.703684210526319</c:v>
                </c:pt>
                <c:pt idx="891" formatCode="0.000">
                  <c:v>45.715789473684218</c:v>
                </c:pt>
                <c:pt idx="892" formatCode="0.000">
                  <c:v>45.722631578947372</c:v>
                </c:pt>
                <c:pt idx="893" formatCode="0.000">
                  <c:v>45.73105263157894</c:v>
                </c:pt>
                <c:pt idx="894" formatCode="0.000">
                  <c:v>45.71052631578948</c:v>
                </c:pt>
                <c:pt idx="895" formatCode="0.000">
                  <c:v>45.678421052631577</c:v>
                </c:pt>
                <c:pt idx="896" formatCode="0.000">
                  <c:v>45.656842105263159</c:v>
                </c:pt>
                <c:pt idx="897" formatCode="0.000">
                  <c:v>45.641578947368416</c:v>
                </c:pt>
                <c:pt idx="898" formatCode="0.000">
                  <c:v>45.643157894736852</c:v>
                </c:pt>
                <c:pt idx="899" formatCode="0.000">
                  <c:v>45.69263157894737</c:v>
                </c:pt>
                <c:pt idx="900" formatCode="0.000">
                  <c:v>45.742631578947368</c:v>
                </c:pt>
                <c:pt idx="901" formatCode="0.000">
                  <c:v>45.762631578947371</c:v>
                </c:pt>
                <c:pt idx="902" formatCode="0.000">
                  <c:v>45.778947368421058</c:v>
                </c:pt>
                <c:pt idx="903" formatCode="0.000">
                  <c:v>45.806315789473686</c:v>
                </c:pt>
                <c:pt idx="904" formatCode="0.000">
                  <c:v>45.862105263157893</c:v>
                </c:pt>
                <c:pt idx="905" formatCode="0.000">
                  <c:v>45.94736842105263</c:v>
                </c:pt>
                <c:pt idx="906" formatCode="0.000">
                  <c:v>46.024736842105263</c:v>
                </c:pt>
                <c:pt idx="907" formatCode="0.000">
                  <c:v>46.084210526315793</c:v>
                </c:pt>
                <c:pt idx="908" formatCode="0.000">
                  <c:v>46.089473684210525</c:v>
                </c:pt>
                <c:pt idx="909" formatCode="0.000">
                  <c:v>46.096315789473678</c:v>
                </c:pt>
                <c:pt idx="910" formatCode="0.000">
                  <c:v>46.086842105263159</c:v>
                </c:pt>
                <c:pt idx="911" formatCode="0.000">
                  <c:v>46.11105263157895</c:v>
                </c:pt>
                <c:pt idx="912" formatCode="0.000">
                  <c:v>46.118947368421054</c:v>
                </c:pt>
                <c:pt idx="913" formatCode="0.000">
                  <c:v>46.11105263157895</c:v>
                </c:pt>
                <c:pt idx="914" formatCode="0.000">
                  <c:v>46.04</c:v>
                </c:pt>
                <c:pt idx="915" formatCode="0.000">
                  <c:v>45.953684210526312</c:v>
                </c:pt>
                <c:pt idx="916" formatCode="0.000">
                  <c:v>45.9</c:v>
                </c:pt>
                <c:pt idx="917" formatCode="0.000">
                  <c:v>45.875263157894729</c:v>
                </c:pt>
                <c:pt idx="918" formatCode="0.000">
                  <c:v>45.834210526315786</c:v>
                </c:pt>
                <c:pt idx="919" formatCode="0.000">
                  <c:v>45.783157894736839</c:v>
                </c:pt>
                <c:pt idx="920" formatCode="0.000">
                  <c:v>45.79684210526316</c:v>
                </c:pt>
                <c:pt idx="921" formatCode="0.000">
                  <c:v>45.812105263157896</c:v>
                </c:pt>
                <c:pt idx="922" formatCode="0.000">
                  <c:v>45.838947368421053</c:v>
                </c:pt>
                <c:pt idx="923" formatCode="0.000">
                  <c:v>45.876842105263165</c:v>
                </c:pt>
                <c:pt idx="924" formatCode="0.000">
                  <c:v>45.893684210526324</c:v>
                </c:pt>
                <c:pt idx="925" formatCode="0.000">
                  <c:v>45.877368421052637</c:v>
                </c:pt>
                <c:pt idx="926" formatCode="0.000">
                  <c:v>45.874736842105271</c:v>
                </c:pt>
                <c:pt idx="927" formatCode="0.000">
                  <c:v>45.96736842105264</c:v>
                </c:pt>
                <c:pt idx="928" formatCode="0.000">
                  <c:v>46.074210526315788</c:v>
                </c:pt>
                <c:pt idx="929" formatCode="0.000">
                  <c:v>46.172105263157896</c:v>
                </c:pt>
                <c:pt idx="930" formatCode="0.000">
                  <c:v>46.252105263157894</c:v>
                </c:pt>
                <c:pt idx="931" formatCode="0.000">
                  <c:v>46.373157894736835</c:v>
                </c:pt>
                <c:pt idx="932" formatCode="0.000">
                  <c:v>46.55368421052632</c:v>
                </c:pt>
                <c:pt idx="933" formatCode="0.000">
                  <c:v>46.80263157894737</c:v>
                </c:pt>
                <c:pt idx="934" formatCode="0.000">
                  <c:v>47.047368421052632</c:v>
                </c:pt>
                <c:pt idx="935" formatCode="0.000">
                  <c:v>47.298421052631582</c:v>
                </c:pt>
                <c:pt idx="936" formatCode="0.000">
                  <c:v>47.528947368421058</c:v>
                </c:pt>
                <c:pt idx="937" formatCode="0.000">
                  <c:v>47.739473684210523</c:v>
                </c:pt>
                <c:pt idx="938" formatCode="0.000">
                  <c:v>47.957894736842107</c:v>
                </c:pt>
                <c:pt idx="939" formatCode="0.000">
                  <c:v>48.137368421052635</c:v>
                </c:pt>
                <c:pt idx="940" formatCode="0.000">
                  <c:v>48.358421052631577</c:v>
                </c:pt>
                <c:pt idx="941" formatCode="0.000">
                  <c:v>48.576842105263154</c:v>
                </c:pt>
                <c:pt idx="942" formatCode="0.000">
                  <c:v>48.716315789473676</c:v>
                </c:pt>
                <c:pt idx="943" formatCode="0.000">
                  <c:v>48.833157894736836</c:v>
                </c:pt>
                <c:pt idx="944" formatCode="0.000">
                  <c:v>48.996315789473684</c:v>
                </c:pt>
                <c:pt idx="945" formatCode="0.000">
                  <c:v>49.123157894736835</c:v>
                </c:pt>
                <c:pt idx="946" formatCode="0.000">
                  <c:v>49.214736842105268</c:v>
                </c:pt>
                <c:pt idx="947" formatCode="0.000">
                  <c:v>49.311052631578946</c:v>
                </c:pt>
                <c:pt idx="948" formatCode="0.000">
                  <c:v>49.376315789473686</c:v>
                </c:pt>
                <c:pt idx="949" formatCode="0.000">
                  <c:v>49.502631578947373</c:v>
                </c:pt>
                <c:pt idx="950" formatCode="0.000">
                  <c:v>49.55526315789475</c:v>
                </c:pt>
                <c:pt idx="951" formatCode="0.000">
                  <c:v>49.580000000000005</c:v>
                </c:pt>
                <c:pt idx="952" formatCode="0.000">
                  <c:v>49.580526315789484</c:v>
                </c:pt>
                <c:pt idx="953" formatCode="0.000">
                  <c:v>49.567894736842106</c:v>
                </c:pt>
                <c:pt idx="954" formatCode="0.000">
                  <c:v>49.544736842105266</c:v>
                </c:pt>
                <c:pt idx="955" formatCode="0.000">
                  <c:v>49.527368421052635</c:v>
                </c:pt>
                <c:pt idx="956" formatCode="0.000">
                  <c:v>49.493684210526318</c:v>
                </c:pt>
                <c:pt idx="957" formatCode="0.000">
                  <c:v>49.478421052631582</c:v>
                </c:pt>
                <c:pt idx="958" formatCode="0.000">
                  <c:v>49.457368421052635</c:v>
                </c:pt>
                <c:pt idx="959" formatCode="0.000">
                  <c:v>49.360526315789478</c:v>
                </c:pt>
                <c:pt idx="960" formatCode="0.000">
                  <c:v>49.245263157894748</c:v>
                </c:pt>
                <c:pt idx="961" formatCode="0.000">
                  <c:v>49.167368421052636</c:v>
                </c:pt>
                <c:pt idx="962" formatCode="0.000">
                  <c:v>49.104736842105261</c:v>
                </c:pt>
                <c:pt idx="963" formatCode="0.000">
                  <c:v>49.028421052631586</c:v>
                </c:pt>
                <c:pt idx="964" formatCode="0.000">
                  <c:v>48.87526315789475</c:v>
                </c:pt>
                <c:pt idx="965" formatCode="0.000">
                  <c:v>48.747368421052649</c:v>
                </c:pt>
                <c:pt idx="966" formatCode="0.000">
                  <c:v>48.632631578947382</c:v>
                </c:pt>
                <c:pt idx="967" formatCode="0.000">
                  <c:v>48.538947368421063</c:v>
                </c:pt>
                <c:pt idx="968" formatCode="0.000">
                  <c:v>48.378421052631587</c:v>
                </c:pt>
                <c:pt idx="969" formatCode="0.000">
                  <c:v>48.233157894736848</c:v>
                </c:pt>
                <c:pt idx="970" formatCode="0.000">
                  <c:v>48.078421052631576</c:v>
                </c:pt>
                <c:pt idx="971" formatCode="0.000">
                  <c:v>47.983157894736848</c:v>
                </c:pt>
                <c:pt idx="972" formatCode="0.000">
                  <c:v>47.870526315789469</c:v>
                </c:pt>
                <c:pt idx="973" formatCode="0.000">
                  <c:v>47.777894736842107</c:v>
                </c:pt>
                <c:pt idx="974" formatCode="0.000">
                  <c:v>47.621578947368427</c:v>
                </c:pt>
                <c:pt idx="975" formatCode="0.000">
                  <c:v>47.50842105263159</c:v>
                </c:pt>
                <c:pt idx="976" formatCode="0.000">
                  <c:v>47.39631578947369</c:v>
                </c:pt>
                <c:pt idx="977" formatCode="0.000">
                  <c:v>47.281052631578959</c:v>
                </c:pt>
                <c:pt idx="978" formatCode="0.000">
                  <c:v>47.24105263157896</c:v>
                </c:pt>
                <c:pt idx="979" formatCode="0.000">
                  <c:v>47.167368421052643</c:v>
                </c:pt>
                <c:pt idx="980" formatCode="0.000">
                  <c:v>47.123157894736849</c:v>
                </c:pt>
                <c:pt idx="981" formatCode="0.000">
                  <c:v>47.126842105263165</c:v>
                </c:pt>
                <c:pt idx="982" formatCode="0.000">
                  <c:v>47.134736842105269</c:v>
                </c:pt>
                <c:pt idx="983" formatCode="0.000">
                  <c:v>47.256315789473682</c:v>
                </c:pt>
                <c:pt idx="984" formatCode="0.000">
                  <c:v>47.295789473684202</c:v>
                </c:pt>
                <c:pt idx="985" formatCode="0.000">
                  <c:v>47.287368421052626</c:v>
                </c:pt>
                <c:pt idx="986" formatCode="0.000">
                  <c:v>47.285789473684204</c:v>
                </c:pt>
                <c:pt idx="987" formatCode="0.000">
                  <c:v>47.288421052631577</c:v>
                </c:pt>
                <c:pt idx="988" formatCode="0.000">
                  <c:v>47.337368421052624</c:v>
                </c:pt>
                <c:pt idx="989" formatCode="0.000">
                  <c:v>47.415789473684207</c:v>
                </c:pt>
                <c:pt idx="990" formatCode="0.000">
                  <c:v>47.475263157894744</c:v>
                </c:pt>
                <c:pt idx="991" formatCode="0.000">
                  <c:v>47.596315789473685</c:v>
                </c:pt>
                <c:pt idx="992" formatCode="0.000">
                  <c:v>47.69</c:v>
                </c:pt>
                <c:pt idx="993" formatCode="0.000">
                  <c:v>47.831578947368421</c:v>
                </c:pt>
                <c:pt idx="994" formatCode="0.000">
                  <c:v>47.955263157894734</c:v>
                </c:pt>
                <c:pt idx="995" formatCode="0.000">
                  <c:v>48.06894736842105</c:v>
                </c:pt>
                <c:pt idx="996" formatCode="0.000">
                  <c:v>48.198421052631581</c:v>
                </c:pt>
                <c:pt idx="997" formatCode="0.000">
                  <c:v>48.30842105263158</c:v>
                </c:pt>
                <c:pt idx="998" formatCode="0.000">
                  <c:v>48.459473684210522</c:v>
                </c:pt>
                <c:pt idx="999" formatCode="0.000">
                  <c:v>48.382105263157889</c:v>
                </c:pt>
                <c:pt idx="1000" formatCode="0.000">
                  <c:v>48.257368421052632</c:v>
                </c:pt>
                <c:pt idx="1001" formatCode="0.000">
                  <c:v>48.10526315789474</c:v>
                </c:pt>
                <c:pt idx="1002" formatCode="0.000">
                  <c:v>47.938421052631583</c:v>
                </c:pt>
                <c:pt idx="1003" formatCode="0.000">
                  <c:v>47.842105263157897</c:v>
                </c:pt>
                <c:pt idx="1004" formatCode="0.000">
                  <c:v>47.732105263157891</c:v>
                </c:pt>
                <c:pt idx="1005" formatCode="0.000">
                  <c:v>47.614736842105266</c:v>
                </c:pt>
                <c:pt idx="1006" formatCode="0.000">
                  <c:v>47.472105263157893</c:v>
                </c:pt>
                <c:pt idx="1007" formatCode="0.000">
                  <c:v>47.318421052631585</c:v>
                </c:pt>
                <c:pt idx="1008" formatCode="0.000">
                  <c:v>47.171578947368424</c:v>
                </c:pt>
                <c:pt idx="1009" formatCode="0.000">
                  <c:v>46.99684210526317</c:v>
                </c:pt>
                <c:pt idx="1010" formatCode="0.000">
                  <c:v>46.807368421052637</c:v>
                </c:pt>
                <c:pt idx="1011" formatCode="0.000">
                  <c:v>46.614736842105266</c:v>
                </c:pt>
                <c:pt idx="1012" formatCode="0.000">
                  <c:v>46.414210526315799</c:v>
                </c:pt>
                <c:pt idx="1013" formatCode="0.000">
                  <c:v>46.196315789473694</c:v>
                </c:pt>
                <c:pt idx="1014" formatCode="0.000">
                  <c:v>45.951052631578953</c:v>
                </c:pt>
                <c:pt idx="1015" formatCode="0.000">
                  <c:v>45.770526315789475</c:v>
                </c:pt>
                <c:pt idx="1016" formatCode="0.000">
                  <c:v>45.580526315789463</c:v>
                </c:pt>
                <c:pt idx="1017" formatCode="0.000">
                  <c:v>45.392631578947366</c:v>
                </c:pt>
                <c:pt idx="1018" formatCode="0.000">
                  <c:v>45.398421052631583</c:v>
                </c:pt>
                <c:pt idx="1019" formatCode="0.000">
                  <c:v>45.401578947368421</c:v>
                </c:pt>
                <c:pt idx="1020" formatCode="0.000">
                  <c:v>45.432105263157894</c:v>
                </c:pt>
                <c:pt idx="1021" formatCode="0.000">
                  <c:v>45.456315789473678</c:v>
                </c:pt>
                <c:pt idx="1022" formatCode="0.000">
                  <c:v>45.438947368421047</c:v>
                </c:pt>
                <c:pt idx="1023" formatCode="0.000">
                  <c:v>45.451052631578946</c:v>
                </c:pt>
                <c:pt idx="1024" formatCode="0.000">
                  <c:v>45.503157894736844</c:v>
                </c:pt>
                <c:pt idx="1025" formatCode="0.000">
                  <c:v>45.573684210526316</c:v>
                </c:pt>
                <c:pt idx="1026" formatCode="0.000">
                  <c:v>45.663157894736834</c:v>
                </c:pt>
                <c:pt idx="1027" formatCode="0.000">
                  <c:v>45.72999999999999</c:v>
                </c:pt>
                <c:pt idx="1028" formatCode="0.000">
                  <c:v>45.793157894736837</c:v>
                </c:pt>
                <c:pt idx="1029" formatCode="0.000">
                  <c:v>45.856842105263155</c:v>
                </c:pt>
                <c:pt idx="1030" formatCode="0.000">
                  <c:v>45.915789473684207</c:v>
                </c:pt>
                <c:pt idx="1031" formatCode="0.000">
                  <c:v>45.974736842105266</c:v>
                </c:pt>
                <c:pt idx="1032" formatCode="0.000">
                  <c:v>46.022105263157904</c:v>
                </c:pt>
                <c:pt idx="1033" formatCode="0.000">
                  <c:v>46.108421052631591</c:v>
                </c:pt>
                <c:pt idx="1034" formatCode="0.000">
                  <c:v>46.123684210526321</c:v>
                </c:pt>
                <c:pt idx="1035" formatCode="0.000">
                  <c:v>46.150000000000006</c:v>
                </c:pt>
                <c:pt idx="1036" formatCode="0.000">
                  <c:v>46.173684210526311</c:v>
                </c:pt>
                <c:pt idx="1037" formatCode="0.000">
                  <c:v>46.223157894736836</c:v>
                </c:pt>
                <c:pt idx="1038" formatCode="0.000">
                  <c:v>46.297368421052632</c:v>
                </c:pt>
                <c:pt idx="1039" formatCode="0.000">
                  <c:v>46.367368421052632</c:v>
                </c:pt>
                <c:pt idx="1040" formatCode="0.000">
                  <c:v>46.443157894736842</c:v>
                </c:pt>
                <c:pt idx="1041" formatCode="0.000">
                  <c:v>46.517894736842109</c:v>
                </c:pt>
                <c:pt idx="1042" formatCode="0.000">
                  <c:v>46.61105263157895</c:v>
                </c:pt>
                <c:pt idx="1043" formatCode="0.000">
                  <c:v>46.692631578947378</c:v>
                </c:pt>
                <c:pt idx="1044" formatCode="0.000">
                  <c:v>46.764736842105265</c:v>
                </c:pt>
                <c:pt idx="1045" formatCode="0.000">
                  <c:v>46.847368421052636</c:v>
                </c:pt>
                <c:pt idx="1046" formatCode="0.000">
                  <c:v>46.919473684210537</c:v>
                </c:pt>
                <c:pt idx="1047" formatCode="0.000">
                  <c:v>46.985789473684214</c:v>
                </c:pt>
                <c:pt idx="1048" formatCode="0.000">
                  <c:v>47.059473684210531</c:v>
                </c:pt>
                <c:pt idx="1049" formatCode="0.000">
                  <c:v>47.148947368421055</c:v>
                </c:pt>
                <c:pt idx="1050" formatCode="0.000">
                  <c:v>47.279999999999994</c:v>
                </c:pt>
                <c:pt idx="1051" formatCode="0.000">
                  <c:v>47.406842105263166</c:v>
                </c:pt>
                <c:pt idx="1052" formatCode="0.000">
                  <c:v>47.507368421052639</c:v>
                </c:pt>
                <c:pt idx="1053" formatCode="0.000">
                  <c:v>47.625789473684215</c:v>
                </c:pt>
                <c:pt idx="1054" formatCode="0.000">
                  <c:v>47.726842105263152</c:v>
                </c:pt>
                <c:pt idx="1055" formatCode="0.000">
                  <c:v>47.79684210526316</c:v>
                </c:pt>
                <c:pt idx="1056" formatCode="0.000">
                  <c:v>47.860526315789478</c:v>
                </c:pt>
                <c:pt idx="1057" formatCode="0.000">
                  <c:v>47.896842105263154</c:v>
                </c:pt>
                <c:pt idx="1058" formatCode="0.000">
                  <c:v>47.973157894736843</c:v>
                </c:pt>
                <c:pt idx="1059" formatCode="0.000">
                  <c:v>48.028421052631579</c:v>
                </c:pt>
                <c:pt idx="1060" formatCode="0.000">
                  <c:v>48.12</c:v>
                </c:pt>
                <c:pt idx="1061" formatCode="0.000">
                  <c:v>48.22</c:v>
                </c:pt>
                <c:pt idx="1062" formatCode="0.000">
                  <c:v>48.33052631578947</c:v>
                </c:pt>
                <c:pt idx="1063" formatCode="0.000">
                  <c:v>48.425263157894747</c:v>
                </c:pt>
                <c:pt idx="1064" formatCode="0.000">
                  <c:v>48.458947368421057</c:v>
                </c:pt>
                <c:pt idx="1065" formatCode="0.000">
                  <c:v>48.491578947368431</c:v>
                </c:pt>
                <c:pt idx="1066" formatCode="0.000">
                  <c:v>48.586842105263166</c:v>
                </c:pt>
                <c:pt idx="1067" formatCode="0.000">
                  <c:v>48.670526315789473</c:v>
                </c:pt>
                <c:pt idx="1068" formatCode="0.000">
                  <c:v>48.733157894736848</c:v>
                </c:pt>
                <c:pt idx="1069" formatCode="0.000">
                  <c:v>48.735263157894742</c:v>
                </c:pt>
                <c:pt idx="1070" formatCode="0.000">
                  <c:v>48.736315789473693</c:v>
                </c:pt>
                <c:pt idx="1071" formatCode="0.000">
                  <c:v>48.78157894736843</c:v>
                </c:pt>
                <c:pt idx="1072" formatCode="0.000">
                  <c:v>48.803157894736842</c:v>
                </c:pt>
                <c:pt idx="1073" formatCode="0.000">
                  <c:v>48.882631578947375</c:v>
                </c:pt>
                <c:pt idx="1074" formatCode="0.000">
                  <c:v>48.987894736842108</c:v>
                </c:pt>
                <c:pt idx="1075" formatCode="0.000">
                  <c:v>49.142105263157895</c:v>
                </c:pt>
                <c:pt idx="1076" formatCode="0.000">
                  <c:v>49.352631578947374</c:v>
                </c:pt>
                <c:pt idx="1077" formatCode="0.000">
                  <c:v>49.526315789473685</c:v>
                </c:pt>
                <c:pt idx="1078" formatCode="0.000">
                  <c:v>49.701578947368418</c:v>
                </c:pt>
                <c:pt idx="1079" formatCode="0.000">
                  <c:v>49.840526315789475</c:v>
                </c:pt>
                <c:pt idx="1080" formatCode="0.000">
                  <c:v>49.970000000000006</c:v>
                </c:pt>
                <c:pt idx="1081" formatCode="0.000">
                  <c:v>50.051578947368419</c:v>
                </c:pt>
                <c:pt idx="1082" formatCode="0.000">
                  <c:v>50.162631578947376</c:v>
                </c:pt>
                <c:pt idx="1083" formatCode="0.000">
                  <c:v>50.268947368421053</c:v>
                </c:pt>
                <c:pt idx="1084" formatCode="0.000">
                  <c:v>50.376315789473686</c:v>
                </c:pt>
                <c:pt idx="1085" formatCode="0.000">
                  <c:v>50.453684210526319</c:v>
                </c:pt>
                <c:pt idx="1086" formatCode="0.000">
                  <c:v>50.548947368421054</c:v>
                </c:pt>
                <c:pt idx="1087" formatCode="0.000">
                  <c:v>50.651052631578942</c:v>
                </c:pt>
                <c:pt idx="1088" formatCode="0.000">
                  <c:v>50.799473684210525</c:v>
                </c:pt>
                <c:pt idx="1089" formatCode="0.000">
                  <c:v>50.965263157894725</c:v>
                </c:pt>
                <c:pt idx="1090" formatCode="0.000">
                  <c:v>51.063684210526304</c:v>
                </c:pt>
                <c:pt idx="1091" formatCode="0.000">
                  <c:v>51.166315789473678</c:v>
                </c:pt>
                <c:pt idx="1092" formatCode="0.000">
                  <c:v>51.215789473684204</c:v>
                </c:pt>
                <c:pt idx="1093" formatCode="0.000">
                  <c:v>51.29999999999999</c:v>
                </c:pt>
                <c:pt idx="1094" formatCode="0.000">
                  <c:v>51.363157894736837</c:v>
                </c:pt>
                <c:pt idx="1095" formatCode="0.000">
                  <c:v>51.4</c:v>
                </c:pt>
                <c:pt idx="1096" formatCode="0.000">
                  <c:v>51.432631578947372</c:v>
                </c:pt>
                <c:pt idx="1097" formatCode="0.000">
                  <c:v>51.465263157894739</c:v>
                </c:pt>
                <c:pt idx="1098" formatCode="0.000">
                  <c:v>51.478947368421061</c:v>
                </c:pt>
                <c:pt idx="1099" formatCode="0.000">
                  <c:v>51.488421052631587</c:v>
                </c:pt>
                <c:pt idx="1100" formatCode="0.000">
                  <c:v>51.53631578947369</c:v>
                </c:pt>
                <c:pt idx="1101" formatCode="0.000">
                  <c:v>51.578947368421062</c:v>
                </c:pt>
                <c:pt idx="1102" formatCode="0.000">
                  <c:v>51.645263157894739</c:v>
                </c:pt>
                <c:pt idx="1103" formatCode="0.000">
                  <c:v>51.724210526315794</c:v>
                </c:pt>
                <c:pt idx="1104" formatCode="0.000">
                  <c:v>51.78</c:v>
                </c:pt>
                <c:pt idx="1105" formatCode="0.000">
                  <c:v>51.799473684210533</c:v>
                </c:pt>
                <c:pt idx="1106" formatCode="0.000">
                  <c:v>51.79105263157895</c:v>
                </c:pt>
                <c:pt idx="1107" formatCode="0.000">
                  <c:v>51.754210526315795</c:v>
                </c:pt>
                <c:pt idx="1108" formatCode="0.000">
                  <c:v>51.889473684210522</c:v>
                </c:pt>
                <c:pt idx="1109" formatCode="0.000">
                  <c:v>52.029473684210522</c:v>
                </c:pt>
                <c:pt idx="1110" formatCode="0.000">
                  <c:v>52.13421052631579</c:v>
                </c:pt>
                <c:pt idx="1111" formatCode="0.000">
                  <c:v>52.305263157894736</c:v>
                </c:pt>
                <c:pt idx="1112" formatCode="0.000">
                  <c:v>52.431052631578943</c:v>
                </c:pt>
                <c:pt idx="1113" formatCode="0.000">
                  <c:v>52.522631578947369</c:v>
                </c:pt>
                <c:pt idx="1114" formatCode="0.000">
                  <c:v>52.550526315789476</c:v>
                </c:pt>
                <c:pt idx="1115" formatCode="0.000">
                  <c:v>52.546315789473681</c:v>
                </c:pt>
                <c:pt idx="1116" formatCode="0.000">
                  <c:v>52.563684210526318</c:v>
                </c:pt>
                <c:pt idx="1117" formatCode="0.000">
                  <c:v>52.566842105263163</c:v>
                </c:pt>
                <c:pt idx="1118" formatCode="0.000">
                  <c:v>52.590526315789475</c:v>
                </c:pt>
                <c:pt idx="1119" formatCode="0.000">
                  <c:v>52.650526315789477</c:v>
                </c:pt>
                <c:pt idx="1120" formatCode="0.000">
                  <c:v>52.733157894736848</c:v>
                </c:pt>
                <c:pt idx="1121" formatCode="0.000">
                  <c:v>52.801052631578941</c:v>
                </c:pt>
                <c:pt idx="1122" formatCode="0.000">
                  <c:v>52.856842105263162</c:v>
                </c:pt>
                <c:pt idx="1123" formatCode="0.000">
                  <c:v>52.926315789473684</c:v>
                </c:pt>
                <c:pt idx="1124" formatCode="0.000">
                  <c:v>52.97684210526316</c:v>
                </c:pt>
                <c:pt idx="1125" formatCode="0.000">
                  <c:v>53.107368421052627</c:v>
                </c:pt>
                <c:pt idx="1126" formatCode="0.000">
                  <c:v>53.275263157894734</c:v>
                </c:pt>
                <c:pt idx="1127" formatCode="0.000">
                  <c:v>53.294210526315787</c:v>
                </c:pt>
                <c:pt idx="1128" formatCode="0.000">
                  <c:v>53.299473684210525</c:v>
                </c:pt>
                <c:pt idx="1129" formatCode="0.000">
                  <c:v>53.353684210526303</c:v>
                </c:pt>
                <c:pt idx="1130" formatCode="0.000">
                  <c:v>53.370526315789469</c:v>
                </c:pt>
                <c:pt idx="1131" formatCode="0.000">
                  <c:v>53.357368421052627</c:v>
                </c:pt>
                <c:pt idx="1132" formatCode="0.000">
                  <c:v>53.400526315789477</c:v>
                </c:pt>
                <c:pt idx="1133" formatCode="0.000">
                  <c:v>53.510526315789477</c:v>
                </c:pt>
                <c:pt idx="1134" formatCode="0.000">
                  <c:v>53.672631578947374</c:v>
                </c:pt>
                <c:pt idx="1135" formatCode="0.000">
                  <c:v>53.815789473684205</c:v>
                </c:pt>
                <c:pt idx="1136" formatCode="0.000">
                  <c:v>53.994210526315797</c:v>
                </c:pt>
                <c:pt idx="1137" formatCode="0.000">
                  <c:v>54.153684210526322</c:v>
                </c:pt>
                <c:pt idx="1138" formatCode="0.000">
                  <c:v>54.29</c:v>
                </c:pt>
                <c:pt idx="1139" formatCode="0.000">
                  <c:v>54.365263157894731</c:v>
                </c:pt>
                <c:pt idx="1140" formatCode="0.000">
                  <c:v>54.460526315789458</c:v>
                </c:pt>
                <c:pt idx="1141" formatCode="0.000">
                  <c:v>54.529999999999994</c:v>
                </c:pt>
                <c:pt idx="1142" formatCode="0.000">
                  <c:v>54.577368421052633</c:v>
                </c:pt>
                <c:pt idx="1143" formatCode="0.000">
                  <c:v>54.671052631578945</c:v>
                </c:pt>
                <c:pt idx="1144" formatCode="0.000">
                  <c:v>54.736315789473672</c:v>
                </c:pt>
                <c:pt idx="1145" formatCode="0.000">
                  <c:v>54.728421052631575</c:v>
                </c:pt>
                <c:pt idx="1146" formatCode="0.000">
                  <c:v>54.69</c:v>
                </c:pt>
                <c:pt idx="1147" formatCode="0.000">
                  <c:v>54.708947368421057</c:v>
                </c:pt>
                <c:pt idx="1148" formatCode="0.000">
                  <c:v>54.715789473684204</c:v>
                </c:pt>
                <c:pt idx="1149" formatCode="0.000">
                  <c:v>54.71736842105264</c:v>
                </c:pt>
                <c:pt idx="1150" formatCode="0.000">
                  <c:v>54.726315789473695</c:v>
                </c:pt>
                <c:pt idx="1151" formatCode="0.000">
                  <c:v>54.705263157894741</c:v>
                </c:pt>
                <c:pt idx="1152" formatCode="0.000">
                  <c:v>54.683157894736844</c:v>
                </c:pt>
                <c:pt idx="1153" formatCode="0.000">
                  <c:v>54.633684210526312</c:v>
                </c:pt>
                <c:pt idx="1154" formatCode="0.000">
                  <c:v>54.598947368421044</c:v>
                </c:pt>
                <c:pt idx="1155" formatCode="0.000">
                  <c:v>54.560526315789467</c:v>
                </c:pt>
                <c:pt idx="1156" formatCode="0.000">
                  <c:v>54.515263157894736</c:v>
                </c:pt>
                <c:pt idx="1157" formatCode="0.000">
                  <c:v>54.456315789473685</c:v>
                </c:pt>
                <c:pt idx="1158" formatCode="0.000">
                  <c:v>54.348947368421044</c:v>
                </c:pt>
                <c:pt idx="1159" formatCode="0.000">
                  <c:v>54.275789473684199</c:v>
                </c:pt>
                <c:pt idx="1160" formatCode="0.000">
                  <c:v>54.276842105263157</c:v>
                </c:pt>
                <c:pt idx="1161" formatCode="0.000">
                  <c:v>54.248947368421057</c:v>
                </c:pt>
                <c:pt idx="1162" formatCode="0.000">
                  <c:v>54.186315789473682</c:v>
                </c:pt>
                <c:pt idx="1163" formatCode="0.000">
                  <c:v>54.118947368421061</c:v>
                </c:pt>
                <c:pt idx="1164" formatCode="0.000">
                  <c:v>54.087368421052645</c:v>
                </c:pt>
                <c:pt idx="1165" formatCode="0.000">
                  <c:v>54.052631578947377</c:v>
                </c:pt>
                <c:pt idx="1166" formatCode="0.000">
                  <c:v>54.003157894736852</c:v>
                </c:pt>
                <c:pt idx="1167" formatCode="0.000">
                  <c:v>53.965263157894732</c:v>
                </c:pt>
                <c:pt idx="1168" formatCode="0.000">
                  <c:v>53.911052631578933</c:v>
                </c:pt>
                <c:pt idx="1169" formatCode="0.000">
                  <c:v>53.904736842105251</c:v>
                </c:pt>
                <c:pt idx="1170" formatCode="0.000">
                  <c:v>53.938421052631575</c:v>
                </c:pt>
                <c:pt idx="1171" formatCode="0.000">
                  <c:v>53.934736842105252</c:v>
                </c:pt>
                <c:pt idx="1172" formatCode="0.000">
                  <c:v>53.917894736842094</c:v>
                </c:pt>
                <c:pt idx="1173" formatCode="0.000">
                  <c:v>53.93105263157895</c:v>
                </c:pt>
                <c:pt idx="1174" formatCode="0.000">
                  <c:v>53.946842105263144</c:v>
                </c:pt>
                <c:pt idx="1175" formatCode="0.000">
                  <c:v>53.910526315789468</c:v>
                </c:pt>
                <c:pt idx="1176" formatCode="0.000">
                  <c:v>53.853684210526318</c:v>
                </c:pt>
                <c:pt idx="1177" formatCode="0.000">
                  <c:v>53.871052631578948</c:v>
                </c:pt>
                <c:pt idx="1178" formatCode="0.000">
                  <c:v>53.876315789473686</c:v>
                </c:pt>
                <c:pt idx="1179" formatCode="0.000">
                  <c:v>53.870526315789476</c:v>
                </c:pt>
                <c:pt idx="1180" formatCode="0.000">
                  <c:v>53.872105263157891</c:v>
                </c:pt>
                <c:pt idx="1181" formatCode="0.000">
                  <c:v>53.848947368421051</c:v>
                </c:pt>
                <c:pt idx="1182" formatCode="0.000">
                  <c:v>53.774736842105263</c:v>
                </c:pt>
                <c:pt idx="1183" formatCode="0.000">
                  <c:v>53.729473684210518</c:v>
                </c:pt>
                <c:pt idx="1184" formatCode="0.000">
                  <c:v>53.676315789473676</c:v>
                </c:pt>
                <c:pt idx="1185" formatCode="0.000">
                  <c:v>53.61894736842104</c:v>
                </c:pt>
                <c:pt idx="1186" formatCode="0.000">
                  <c:v>53.531052631578937</c:v>
                </c:pt>
                <c:pt idx="1187" formatCode="0.000">
                  <c:v>53.437368421052625</c:v>
                </c:pt>
                <c:pt idx="1188" formatCode="0.000">
                  <c:v>53.364736842105259</c:v>
                </c:pt>
                <c:pt idx="1189" formatCode="0.000">
                  <c:v>53.251578947368415</c:v>
                </c:pt>
                <c:pt idx="1190" formatCode="0.000">
                  <c:v>53.169473684210523</c:v>
                </c:pt>
                <c:pt idx="1191" formatCode="0.000">
                  <c:v>53.126315789473679</c:v>
                </c:pt>
                <c:pt idx="1192" formatCode="0.000">
                  <c:v>53.044210526315787</c:v>
                </c:pt>
                <c:pt idx="1193" formatCode="0.000">
                  <c:v>52.971052631578949</c:v>
                </c:pt>
                <c:pt idx="1194" formatCode="0.000">
                  <c:v>52.929473684210528</c:v>
                </c:pt>
                <c:pt idx="1195" formatCode="0.000">
                  <c:v>52.901052631578949</c:v>
                </c:pt>
                <c:pt idx="1196" formatCode="0.000">
                  <c:v>52.891052631578951</c:v>
                </c:pt>
                <c:pt idx="1197" formatCode="0.000">
                  <c:v>52.88894736842105</c:v>
                </c:pt>
                <c:pt idx="1198" formatCode="0.000">
                  <c:v>52.863684210526323</c:v>
                </c:pt>
                <c:pt idx="1199" formatCode="0.000">
                  <c:v>52.837368421052638</c:v>
                </c:pt>
                <c:pt idx="1200" formatCode="0.000">
                  <c:v>52.869473684210533</c:v>
                </c:pt>
                <c:pt idx="1201" formatCode="0.000">
                  <c:v>52.942105263157899</c:v>
                </c:pt>
                <c:pt idx="1202" formatCode="0.000">
                  <c:v>53.020526315789475</c:v>
                </c:pt>
                <c:pt idx="1203" formatCode="0.000">
                  <c:v>53.120526315789469</c:v>
                </c:pt>
                <c:pt idx="1204" formatCode="0.000">
                  <c:v>53.23684210526315</c:v>
                </c:pt>
                <c:pt idx="1205" formatCode="0.000">
                  <c:v>53.354210526315789</c:v>
                </c:pt>
                <c:pt idx="1206" formatCode="0.000">
                  <c:v>53.462631578947367</c:v>
                </c:pt>
                <c:pt idx="1207" formatCode="0.000">
                  <c:v>53.543684210526315</c:v>
                </c:pt>
                <c:pt idx="1208" formatCode="0.000">
                  <c:v>53.623157894736842</c:v>
                </c:pt>
                <c:pt idx="1209" formatCode="0.000">
                  <c:v>53.715263157894732</c:v>
                </c:pt>
                <c:pt idx="1210" formatCode="0.000">
                  <c:v>53.788421052631577</c:v>
                </c:pt>
                <c:pt idx="1211" formatCode="0.000">
                  <c:v>53.858947368421049</c:v>
                </c:pt>
                <c:pt idx="1212" formatCode="0.000">
                  <c:v>53.895263157894739</c:v>
                </c:pt>
                <c:pt idx="1213" formatCode="0.000">
                  <c:v>53.966842105263154</c:v>
                </c:pt>
                <c:pt idx="1214" formatCode="0.000">
                  <c:v>54.06894736842105</c:v>
                </c:pt>
                <c:pt idx="1215" formatCode="0.000">
                  <c:v>54.157894736842103</c:v>
                </c:pt>
                <c:pt idx="1216" formatCode="0.000">
                  <c:v>54.200526315789467</c:v>
                </c:pt>
                <c:pt idx="1217" formatCode="0.000">
                  <c:v>54.256842105263154</c:v>
                </c:pt>
                <c:pt idx="1218" formatCode="0.000">
                  <c:v>54.359473684210521</c:v>
                </c:pt>
                <c:pt idx="1219" formatCode="0.000">
                  <c:v>54.439473684210519</c:v>
                </c:pt>
                <c:pt idx="1220" formatCode="0.000">
                  <c:v>54.521052631578939</c:v>
                </c:pt>
                <c:pt idx="1221" formatCode="0.000">
                  <c:v>54.557894736842115</c:v>
                </c:pt>
                <c:pt idx="1222" formatCode="0.000">
                  <c:v>54.584210526315793</c:v>
                </c:pt>
                <c:pt idx="1223" formatCode="0.000">
                  <c:v>54.597368421052636</c:v>
                </c:pt>
                <c:pt idx="1224" formatCode="0.000">
                  <c:v>54.606842105263169</c:v>
                </c:pt>
                <c:pt idx="1225" formatCode="0.000">
                  <c:v>54.637368421052628</c:v>
                </c:pt>
                <c:pt idx="1226" formatCode="0.000">
                  <c:v>54.710526315789473</c:v>
                </c:pt>
                <c:pt idx="1227" formatCode="0.000">
                  <c:v>54.783684210526324</c:v>
                </c:pt>
                <c:pt idx="1228" formatCode="0.000">
                  <c:v>54.873684210526314</c:v>
                </c:pt>
                <c:pt idx="1229" formatCode="0.000">
                  <c:v>54.956842105263149</c:v>
                </c:pt>
                <c:pt idx="1230" formatCode="0.000">
                  <c:v>55.076842105263161</c:v>
                </c:pt>
                <c:pt idx="1231" formatCode="0.000">
                  <c:v>55.230000000000004</c:v>
                </c:pt>
                <c:pt idx="1232" formatCode="0.000">
                  <c:v>55.367894736842118</c:v>
                </c:pt>
                <c:pt idx="1233" formatCode="0.000">
                  <c:v>55.483684210526327</c:v>
                </c:pt>
                <c:pt idx="1234" formatCode="0.000">
                  <c:v>55.625789473684215</c:v>
                </c:pt>
                <c:pt idx="1235" formatCode="0.000">
                  <c:v>55.79</c:v>
                </c:pt>
                <c:pt idx="1236" formatCode="0.000">
                  <c:v>55.930000000000007</c:v>
                </c:pt>
                <c:pt idx="1237" formatCode="0.000">
                  <c:v>56.042105263157907</c:v>
                </c:pt>
                <c:pt idx="1238" formatCode="0.000">
                  <c:v>56.133684210526312</c:v>
                </c:pt>
                <c:pt idx="1239" formatCode="0.000">
                  <c:v>56.221052631578949</c:v>
                </c:pt>
                <c:pt idx="1240" formatCode="0.000">
                  <c:v>56.424736842105261</c:v>
                </c:pt>
                <c:pt idx="1241" formatCode="0.000">
                  <c:v>56.62</c:v>
                </c:pt>
                <c:pt idx="1242" formatCode="0.000">
                  <c:v>56.82578947368421</c:v>
                </c:pt>
                <c:pt idx="1243" formatCode="0.000">
                  <c:v>57.067368421052628</c:v>
                </c:pt>
                <c:pt idx="1244" formatCode="0.000">
                  <c:v>57.304210526315785</c:v>
                </c:pt>
                <c:pt idx="1245" formatCode="0.000">
                  <c:v>57.496315789473691</c:v>
                </c:pt>
                <c:pt idx="1246" formatCode="0.000">
                  <c:v>57.688947368421061</c:v>
                </c:pt>
                <c:pt idx="1247" formatCode="0.000">
                  <c:v>57.879473684210531</c:v>
                </c:pt>
                <c:pt idx="1248" formatCode="0.000">
                  <c:v>58.068421052631578</c:v>
                </c:pt>
                <c:pt idx="1249" formatCode="0.000">
                  <c:v>58.211052631578958</c:v>
                </c:pt>
                <c:pt idx="1250" formatCode="0.000">
                  <c:v>58.357894736842105</c:v>
                </c:pt>
                <c:pt idx="1251" formatCode="0.000">
                  <c:v>58.516315789473694</c:v>
                </c:pt>
                <c:pt idx="1252" formatCode="0.000">
                  <c:v>58.640526315789479</c:v>
                </c:pt>
                <c:pt idx="1253" formatCode="0.000">
                  <c:v>58.754210526315795</c:v>
                </c:pt>
                <c:pt idx="1254" formatCode="0.000">
                  <c:v>58.853684210526318</c:v>
                </c:pt>
                <c:pt idx="1255" formatCode="0.000">
                  <c:v>58.98263157894737</c:v>
                </c:pt>
                <c:pt idx="1256" formatCode="0.000">
                  <c:v>59.044210526315794</c:v>
                </c:pt>
                <c:pt idx="1257" formatCode="0.000">
                  <c:v>59.086842105263166</c:v>
                </c:pt>
                <c:pt idx="1258" formatCode="0.000">
                  <c:v>59.117894736842096</c:v>
                </c:pt>
                <c:pt idx="1259" formatCode="0.000">
                  <c:v>58.911052631578947</c:v>
                </c:pt>
                <c:pt idx="1260" formatCode="0.000">
                  <c:v>58.652631578947371</c:v>
                </c:pt>
                <c:pt idx="1261" formatCode="0.000">
                  <c:v>58.512631578947371</c:v>
                </c:pt>
                <c:pt idx="1262" formatCode="0.000">
                  <c:v>58.366315789473688</c:v>
                </c:pt>
                <c:pt idx="1263" formatCode="0.000">
                  <c:v>58.37</c:v>
                </c:pt>
                <c:pt idx="1264" formatCode="0.000">
                  <c:v>58.251578947368422</c:v>
                </c:pt>
                <c:pt idx="1265" formatCode="0.000">
                  <c:v>58.044736842105259</c:v>
                </c:pt>
                <c:pt idx="1266" formatCode="0.000">
                  <c:v>57.629473684210531</c:v>
                </c:pt>
                <c:pt idx="1267" formatCode="0.000">
                  <c:v>57.317368421052628</c:v>
                </c:pt>
                <c:pt idx="1268" formatCode="0.000">
                  <c:v>56.938421052631575</c:v>
                </c:pt>
                <c:pt idx="1269" formatCode="0.000">
                  <c:v>56.283157894736839</c:v>
                </c:pt>
                <c:pt idx="1270" formatCode="0.000">
                  <c:v>55.678947368421042</c:v>
                </c:pt>
                <c:pt idx="1271" formatCode="0.000">
                  <c:v>54.927894736842113</c:v>
                </c:pt>
                <c:pt idx="1272" formatCode="0.000">
                  <c:v>54.265263157894736</c:v>
                </c:pt>
                <c:pt idx="1273" formatCode="0.000">
                  <c:v>53.48263157894737</c:v>
                </c:pt>
                <c:pt idx="1274" formatCode="0.000">
                  <c:v>52.519473684210531</c:v>
                </c:pt>
                <c:pt idx="1275" formatCode="0.000">
                  <c:v>51.448421052631581</c:v>
                </c:pt>
                <c:pt idx="1276" formatCode="0.000">
                  <c:v>50.382105263157897</c:v>
                </c:pt>
                <c:pt idx="1277" formatCode="0.000">
                  <c:v>49.426842105263162</c:v>
                </c:pt>
                <c:pt idx="1278" formatCode="0.000">
                  <c:v>48.725789473684216</c:v>
                </c:pt>
                <c:pt idx="1279" formatCode="0.000">
                  <c:v>48.241578947368424</c:v>
                </c:pt>
                <c:pt idx="1280" formatCode="0.000">
                  <c:v>47.551578947368419</c:v>
                </c:pt>
                <c:pt idx="1281" formatCode="0.000">
                  <c:v>46.969473684210527</c:v>
                </c:pt>
                <c:pt idx="1282" formatCode="0.000">
                  <c:v>46.19736842105263</c:v>
                </c:pt>
                <c:pt idx="1283" formatCode="0.000">
                  <c:v>45.427894736842106</c:v>
                </c:pt>
                <c:pt idx="1284" formatCode="0.000">
                  <c:v>44.832631578947371</c:v>
                </c:pt>
                <c:pt idx="1285" formatCode="0.000">
                  <c:v>44.41</c:v>
                </c:pt>
                <c:pt idx="1286" formatCode="0.000">
                  <c:v>44.0421052631579</c:v>
                </c:pt>
                <c:pt idx="1287" formatCode="0.000">
                  <c:v>43.742105263157896</c:v>
                </c:pt>
                <c:pt idx="1288" formatCode="0.000">
                  <c:v>43.776842105263164</c:v>
                </c:pt>
                <c:pt idx="1289" formatCode="0.000">
                  <c:v>43.804736842105271</c:v>
                </c:pt>
                <c:pt idx="1290" formatCode="0.000">
                  <c:v>43.892631578947373</c:v>
                </c:pt>
                <c:pt idx="1291" formatCode="0.000">
                  <c:v>43.984210526315785</c:v>
                </c:pt>
                <c:pt idx="1292" formatCode="0.000">
                  <c:v>44.129473684210524</c:v>
                </c:pt>
                <c:pt idx="1293" formatCode="0.000">
                  <c:v>44.406842105263159</c:v>
                </c:pt>
                <c:pt idx="1294" formatCode="0.000">
                  <c:v>44.920526315789473</c:v>
                </c:pt>
                <c:pt idx="1295" formatCode="0.000">
                  <c:v>45.392631578947359</c:v>
                </c:pt>
                <c:pt idx="1296" formatCode="0.000">
                  <c:v>45.704736842105248</c:v>
                </c:pt>
                <c:pt idx="1297" formatCode="0.000">
                  <c:v>45.918947368421044</c:v>
                </c:pt>
                <c:pt idx="1298" formatCode="0.000">
                  <c:v>45.959999999999994</c:v>
                </c:pt>
                <c:pt idx="1299" formatCode="0.000">
                  <c:v>46.0978947368421</c:v>
                </c:pt>
                <c:pt idx="1300" formatCode="0.000">
                  <c:v>46.191578947368413</c:v>
                </c:pt>
                <c:pt idx="1301" formatCode="0.000">
                  <c:v>46.322631578947359</c:v>
                </c:pt>
                <c:pt idx="1302" formatCode="0.000">
                  <c:v>46.585789473684208</c:v>
                </c:pt>
                <c:pt idx="1303" formatCode="0.000">
                  <c:v>46.687894736842104</c:v>
                </c:pt>
                <c:pt idx="1304" formatCode="0.000">
                  <c:v>46.781052631578952</c:v>
                </c:pt>
                <c:pt idx="1305" formatCode="0.000">
                  <c:v>46.700526315789467</c:v>
                </c:pt>
                <c:pt idx="1306" formatCode="0.000">
                  <c:v>46.642105263157895</c:v>
                </c:pt>
                <c:pt idx="1307" formatCode="0.000">
                  <c:v>46.480526315789469</c:v>
                </c:pt>
                <c:pt idx="1308" formatCode="0.000">
                  <c:v>46.248947368421057</c:v>
                </c:pt>
                <c:pt idx="1309" formatCode="0.000">
                  <c:v>46.205789473684213</c:v>
                </c:pt>
                <c:pt idx="1310" formatCode="0.000">
                  <c:v>46.027894736842107</c:v>
                </c:pt>
                <c:pt idx="1311" formatCode="0.000">
                  <c:v>45.881052631578946</c:v>
                </c:pt>
                <c:pt idx="1312" formatCode="0.000">
                  <c:v>45.71473684210526</c:v>
                </c:pt>
                <c:pt idx="1313" formatCode="0.000">
                  <c:v>45.485263157894735</c:v>
                </c:pt>
                <c:pt idx="1314" formatCode="0.000">
                  <c:v>45.313157894736847</c:v>
                </c:pt>
                <c:pt idx="1315" formatCode="0.000">
                  <c:v>45.291578947368421</c:v>
                </c:pt>
                <c:pt idx="1316" formatCode="0.000">
                  <c:v>45.231578947368426</c:v>
                </c:pt>
                <c:pt idx="1317" formatCode="0.000">
                  <c:v>45.27473684210527</c:v>
                </c:pt>
                <c:pt idx="1318" formatCode="0.000">
                  <c:v>45.261052631578949</c:v>
                </c:pt>
                <c:pt idx="1319" formatCode="0.000">
                  <c:v>45.168947368421051</c:v>
                </c:pt>
                <c:pt idx="1320" formatCode="0.000">
                  <c:v>45.134736842105262</c:v>
                </c:pt>
                <c:pt idx="1321" formatCode="0.000">
                  <c:v>45.114210526315787</c:v>
                </c:pt>
                <c:pt idx="1322" formatCode="0.000">
                  <c:v>45.177368421052634</c:v>
                </c:pt>
                <c:pt idx="1323" formatCode="0.000">
                  <c:v>45.234210526315785</c:v>
                </c:pt>
                <c:pt idx="1324" formatCode="0.000">
                  <c:v>45.331578947368428</c:v>
                </c:pt>
                <c:pt idx="1325" formatCode="0.000">
                  <c:v>45.410526315789468</c:v>
                </c:pt>
                <c:pt idx="1326" formatCode="0.000">
                  <c:v>45.576315789473682</c:v>
                </c:pt>
                <c:pt idx="1327" formatCode="0.000">
                  <c:v>45.751052631578943</c:v>
                </c:pt>
                <c:pt idx="1328" formatCode="0.000">
                  <c:v>45.907894736842103</c:v>
                </c:pt>
                <c:pt idx="1329" formatCode="0.000">
                  <c:v>46.134736842105262</c:v>
                </c:pt>
                <c:pt idx="1330" formatCode="0.000">
                  <c:v>46.354736842105261</c:v>
                </c:pt>
                <c:pt idx="1331" formatCode="0.000">
                  <c:v>46.601052631578952</c:v>
                </c:pt>
                <c:pt idx="1332" formatCode="0.000">
                  <c:v>46.697894736842109</c:v>
                </c:pt>
                <c:pt idx="1333" formatCode="0.000">
                  <c:v>46.821052631578951</c:v>
                </c:pt>
                <c:pt idx="1334" formatCode="0.000">
                  <c:v>46.891052631578951</c:v>
                </c:pt>
                <c:pt idx="1335" formatCode="0.000">
                  <c:v>47.008421052631576</c:v>
                </c:pt>
                <c:pt idx="1336" formatCode="0.000">
                  <c:v>47.044736842105266</c:v>
                </c:pt>
                <c:pt idx="1337" formatCode="0.000">
                  <c:v>47.140526315789472</c:v>
                </c:pt>
                <c:pt idx="1338" formatCode="0.000">
                  <c:v>47.192631578947363</c:v>
                </c:pt>
                <c:pt idx="1339" formatCode="0.000">
                  <c:v>47.17421052631579</c:v>
                </c:pt>
                <c:pt idx="1340" formatCode="0.000">
                  <c:v>47.11684210526316</c:v>
                </c:pt>
                <c:pt idx="1341" formatCode="0.000">
                  <c:v>46.98842105263158</c:v>
                </c:pt>
                <c:pt idx="1342" formatCode="0.000">
                  <c:v>46.896315789473682</c:v>
                </c:pt>
                <c:pt idx="1343" formatCode="0.000">
                  <c:v>46.716315789473683</c:v>
                </c:pt>
                <c:pt idx="1344" formatCode="0.000">
                  <c:v>46.582631578947371</c:v>
                </c:pt>
                <c:pt idx="1345" formatCode="0.000">
                  <c:v>46.413157894736834</c:v>
                </c:pt>
                <c:pt idx="1346" formatCode="0.000">
                  <c:v>46.25</c:v>
                </c:pt>
                <c:pt idx="1347" formatCode="0.000">
                  <c:v>46.028421052631572</c:v>
                </c:pt>
                <c:pt idx="1348" formatCode="0.000">
                  <c:v>45.785263157894732</c:v>
                </c:pt>
                <c:pt idx="1349" formatCode="0.000">
                  <c:v>45.585789473684216</c:v>
                </c:pt>
                <c:pt idx="1350" formatCode="0.000">
                  <c:v>45.398947368421062</c:v>
                </c:pt>
                <c:pt idx="1351" formatCode="0.000">
                  <c:v>45.313157894736847</c:v>
                </c:pt>
                <c:pt idx="1352" formatCode="0.000">
                  <c:v>45.289473684210527</c:v>
                </c:pt>
                <c:pt idx="1353" formatCode="0.000">
                  <c:v>45.234210526315792</c:v>
                </c:pt>
                <c:pt idx="1354" formatCode="0.000">
                  <c:v>45.18684210526316</c:v>
                </c:pt>
                <c:pt idx="1355" formatCode="0.000">
                  <c:v>45.177368421052634</c:v>
                </c:pt>
                <c:pt idx="1356" formatCode="0.000">
                  <c:v>45.13315789473684</c:v>
                </c:pt>
                <c:pt idx="1357" formatCode="0.000">
                  <c:v>45.175263157894733</c:v>
                </c:pt>
                <c:pt idx="1358" formatCode="0.000">
                  <c:v>45.195263157894736</c:v>
                </c:pt>
                <c:pt idx="1359" formatCode="0.000">
                  <c:v>45.277368421052628</c:v>
                </c:pt>
                <c:pt idx="1360" formatCode="0.000">
                  <c:v>45.478947368421053</c:v>
                </c:pt>
                <c:pt idx="1361" formatCode="0.000">
                  <c:v>45.655263157894737</c:v>
                </c:pt>
                <c:pt idx="1362" formatCode="0.000">
                  <c:v>45.914210526315792</c:v>
                </c:pt>
                <c:pt idx="1363" formatCode="0.000">
                  <c:v>46.131052631578946</c:v>
                </c:pt>
                <c:pt idx="1364" formatCode="0.000">
                  <c:v>46.315263157894741</c:v>
                </c:pt>
                <c:pt idx="1365" formatCode="0.000">
                  <c:v>46.483684210526313</c:v>
                </c:pt>
                <c:pt idx="1366" formatCode="0.000">
                  <c:v>46.631578947368418</c:v>
                </c:pt>
                <c:pt idx="1367" formatCode="0.000">
                  <c:v>46.737368421052622</c:v>
                </c:pt>
                <c:pt idx="1368" formatCode="0.000">
                  <c:v>46.794736842105259</c:v>
                </c:pt>
                <c:pt idx="1369" formatCode="0.000">
                  <c:v>46.88</c:v>
                </c:pt>
                <c:pt idx="1370" formatCode="0.000">
                  <c:v>47.054210526315785</c:v>
                </c:pt>
                <c:pt idx="1371" formatCode="0.000">
                  <c:v>47.176842105263162</c:v>
                </c:pt>
                <c:pt idx="1372" formatCode="0.000">
                  <c:v>47.311052631578953</c:v>
                </c:pt>
                <c:pt idx="1373" formatCode="0.000">
                  <c:v>47.408421052631589</c:v>
                </c:pt>
                <c:pt idx="1374" formatCode="0.000">
                  <c:v>47.488947368421059</c:v>
                </c:pt>
                <c:pt idx="1375" formatCode="0.000">
                  <c:v>47.608947368421049</c:v>
                </c:pt>
                <c:pt idx="1376" formatCode="0.000">
                  <c:v>47.691052631578948</c:v>
                </c:pt>
                <c:pt idx="1377" formatCode="0.000">
                  <c:v>47.813684210526311</c:v>
                </c:pt>
                <c:pt idx="1378" formatCode="0.000">
                  <c:v>47.86684210526316</c:v>
                </c:pt>
                <c:pt idx="1379" formatCode="0.000">
                  <c:v>47.863684210526316</c:v>
                </c:pt>
                <c:pt idx="1380" formatCode="0.000">
                  <c:v>47.815789473684212</c:v>
                </c:pt>
                <c:pt idx="1381" formatCode="0.000">
                  <c:v>47.75578947368421</c:v>
                </c:pt>
                <c:pt idx="1382" formatCode="0.000">
                  <c:v>47.692631578947363</c:v>
                </c:pt>
                <c:pt idx="1383" formatCode="0.000">
                  <c:v>47.681578947368422</c:v>
                </c:pt>
                <c:pt idx="1384" formatCode="0.000">
                  <c:v>47.675789473684212</c:v>
                </c:pt>
                <c:pt idx="1385" formatCode="0.000">
                  <c:v>47.700526315789467</c:v>
                </c:pt>
                <c:pt idx="1386" formatCode="0.000">
                  <c:v>47.752631578947359</c:v>
                </c:pt>
                <c:pt idx="1387" formatCode="0.000">
                  <c:v>47.938421052631575</c:v>
                </c:pt>
                <c:pt idx="1388" formatCode="0.000">
                  <c:v>48.087894736842102</c:v>
                </c:pt>
                <c:pt idx="1389" formatCode="0.000">
                  <c:v>48.187894736842104</c:v>
                </c:pt>
                <c:pt idx="1390" formatCode="0.000">
                  <c:v>48.38315789473684</c:v>
                </c:pt>
                <c:pt idx="1391" formatCode="0.000">
                  <c:v>48.524210526315791</c:v>
                </c:pt>
                <c:pt idx="1392" formatCode="0.000">
                  <c:v>48.698947368421052</c:v>
                </c:pt>
                <c:pt idx="1393" formatCode="0.000">
                  <c:v>48.797894736842096</c:v>
                </c:pt>
                <c:pt idx="1394" formatCode="0.000">
                  <c:v>48.890526315789479</c:v>
                </c:pt>
                <c:pt idx="1395" formatCode="0.000">
                  <c:v>48.975789473684209</c:v>
                </c:pt>
                <c:pt idx="1396" formatCode="0.000">
                  <c:v>49.113157894736837</c:v>
                </c:pt>
                <c:pt idx="1397" formatCode="0.000">
                  <c:v>49.244736842105254</c:v>
                </c:pt>
                <c:pt idx="1398" formatCode="0.000">
                  <c:v>49.38315789473684</c:v>
                </c:pt>
                <c:pt idx="1399" formatCode="0.000">
                  <c:v>49.563157894736833</c:v>
                </c:pt>
                <c:pt idx="1400" formatCode="0.000">
                  <c:v>49.731578947368412</c:v>
                </c:pt>
                <c:pt idx="1401" formatCode="0.000">
                  <c:v>49.898421052631576</c:v>
                </c:pt>
                <c:pt idx="1402" formatCode="0.000">
                  <c:v>49.957368421052628</c:v>
                </c:pt>
                <c:pt idx="1403" formatCode="0.000">
                  <c:v>50.049473684210518</c:v>
                </c:pt>
                <c:pt idx="1404" formatCode="0.000">
                  <c:v>50.052105263157898</c:v>
                </c:pt>
                <c:pt idx="1405" formatCode="0.000">
                  <c:v>50.076842105263161</c:v>
                </c:pt>
                <c:pt idx="1406" formatCode="0.000">
                  <c:v>50.018421052631581</c:v>
                </c:pt>
                <c:pt idx="1407" formatCode="0.000">
                  <c:v>50.005263157894738</c:v>
                </c:pt>
                <c:pt idx="1408" formatCode="0.000">
                  <c:v>49.994736842105269</c:v>
                </c:pt>
                <c:pt idx="1409" formatCode="0.000">
                  <c:v>49.898947368421055</c:v>
                </c:pt>
                <c:pt idx="1410" formatCode="0.000">
                  <c:v>49.83052631578947</c:v>
                </c:pt>
                <c:pt idx="1411" formatCode="0.000">
                  <c:v>49.742105263157896</c:v>
                </c:pt>
                <c:pt idx="1412" formatCode="0.000">
                  <c:v>49.719473684210527</c:v>
                </c:pt>
                <c:pt idx="1413" formatCode="0.000">
                  <c:v>49.653684210526308</c:v>
                </c:pt>
                <c:pt idx="1414" formatCode="0.000">
                  <c:v>49.63052631578946</c:v>
                </c:pt>
                <c:pt idx="1415" formatCode="0.000">
                  <c:v>49.598947368421044</c:v>
                </c:pt>
                <c:pt idx="1416" formatCode="0.000">
                  <c:v>49.604210526315775</c:v>
                </c:pt>
                <c:pt idx="1417" formatCode="0.000">
                  <c:v>49.606315789473676</c:v>
                </c:pt>
                <c:pt idx="1418" formatCode="0.000">
                  <c:v>49.576315789473682</c:v>
                </c:pt>
                <c:pt idx="1419" formatCode="0.000">
                  <c:v>49.553684210526313</c:v>
                </c:pt>
                <c:pt idx="1420" formatCode="0.000">
                  <c:v>49.529473684210537</c:v>
                </c:pt>
                <c:pt idx="1421" formatCode="0.000">
                  <c:v>49.578947368421055</c:v>
                </c:pt>
                <c:pt idx="1422" formatCode="0.000">
                  <c:v>49.576842105263168</c:v>
                </c:pt>
                <c:pt idx="1423" formatCode="0.000">
                  <c:v>49.684210526315795</c:v>
                </c:pt>
                <c:pt idx="1424" formatCode="0.000">
                  <c:v>49.752105263157901</c:v>
                </c:pt>
                <c:pt idx="1425" formatCode="0.000">
                  <c:v>49.85526315789474</c:v>
                </c:pt>
                <c:pt idx="1426" formatCode="0.000">
                  <c:v>49.920526315789466</c:v>
                </c:pt>
                <c:pt idx="1427" formatCode="0.000">
                  <c:v>49.966842105263154</c:v>
                </c:pt>
                <c:pt idx="1428" formatCode="0.000">
                  <c:v>49.994736842105254</c:v>
                </c:pt>
                <c:pt idx="1429" formatCode="0.000">
                  <c:v>49.930526315789471</c:v>
                </c:pt>
                <c:pt idx="1430" formatCode="0.000">
                  <c:v>49.859999999999992</c:v>
                </c:pt>
                <c:pt idx="1431" formatCode="0.000">
                  <c:v>49.790526315789471</c:v>
                </c:pt>
                <c:pt idx="1432" formatCode="0.000">
                  <c:v>49.773684210526312</c:v>
                </c:pt>
                <c:pt idx="1433" formatCode="0.000">
                  <c:v>49.762631578947371</c:v>
                </c:pt>
                <c:pt idx="1434" formatCode="0.000">
                  <c:v>49.694736842105257</c:v>
                </c:pt>
                <c:pt idx="1435" formatCode="0.000">
                  <c:v>49.622631578947363</c:v>
                </c:pt>
                <c:pt idx="1436" formatCode="0.000">
                  <c:v>49.53631578947369</c:v>
                </c:pt>
                <c:pt idx="1437" formatCode="0.000">
                  <c:v>49.660000000000004</c:v>
                </c:pt>
                <c:pt idx="1438" formatCode="0.000">
                  <c:v>49.863157894736844</c:v>
                </c:pt>
                <c:pt idx="1439" formatCode="0.000">
                  <c:v>50.052105263157898</c:v>
                </c:pt>
                <c:pt idx="1440" formatCode="0.000">
                  <c:v>50.208947368421057</c:v>
                </c:pt>
                <c:pt idx="1441" formatCode="0.000">
                  <c:v>50.410526315789483</c:v>
                </c:pt>
                <c:pt idx="1442" formatCode="0.000">
                  <c:v>50.600000000000009</c:v>
                </c:pt>
                <c:pt idx="1443" formatCode="0.000">
                  <c:v>50.794210526315794</c:v>
                </c:pt>
                <c:pt idx="1444" formatCode="0.000">
                  <c:v>50.895789473684225</c:v>
                </c:pt>
                <c:pt idx="1445" formatCode="0.000">
                  <c:v>51.033157894736846</c:v>
                </c:pt>
                <c:pt idx="1446" formatCode="0.000">
                  <c:v>51.184210526315788</c:v>
                </c:pt>
                <c:pt idx="1447" formatCode="0.000">
                  <c:v>51.33052631578947</c:v>
                </c:pt>
                <c:pt idx="1448" formatCode="0.000">
                  <c:v>51.607368421052627</c:v>
                </c:pt>
                <c:pt idx="1449" formatCode="0.000">
                  <c:v>51.865789473684202</c:v>
                </c:pt>
                <c:pt idx="1450" formatCode="0.000">
                  <c:v>52.109999999999992</c:v>
                </c:pt>
                <c:pt idx="1451" formatCode="0.000">
                  <c:v>52.266842105263152</c:v>
                </c:pt>
                <c:pt idx="1452" formatCode="0.000">
                  <c:v>52.408421052631574</c:v>
                </c:pt>
                <c:pt idx="1453" formatCode="0.000">
                  <c:v>52.56315789473684</c:v>
                </c:pt>
                <c:pt idx="1454" formatCode="0.000">
                  <c:v>52.738947368421051</c:v>
                </c:pt>
                <c:pt idx="1455" formatCode="0.000">
                  <c:v>52.970526315789471</c:v>
                </c:pt>
                <c:pt idx="1456" formatCode="0.000">
                  <c:v>52.992631578947368</c:v>
                </c:pt>
                <c:pt idx="1457" formatCode="0.000">
                  <c:v>52.950526315789467</c:v>
                </c:pt>
                <c:pt idx="1458" formatCode="0.000">
                  <c:v>52.937368421052632</c:v>
                </c:pt>
                <c:pt idx="1459" formatCode="0.000">
                  <c:v>52.939473684210526</c:v>
                </c:pt>
                <c:pt idx="1460" formatCode="0.000">
                  <c:v>52.934210526315788</c:v>
                </c:pt>
                <c:pt idx="1461" formatCode="0.000">
                  <c:v>52.903684210526315</c:v>
                </c:pt>
                <c:pt idx="1462" formatCode="0.000">
                  <c:v>52.912105263157898</c:v>
                </c:pt>
                <c:pt idx="1463" formatCode="0.000">
                  <c:v>52.93578947368421</c:v>
                </c:pt>
                <c:pt idx="1464" formatCode="0.000">
                  <c:v>52.943157894736849</c:v>
                </c:pt>
                <c:pt idx="1465" formatCode="0.000">
                  <c:v>52.999473684210528</c:v>
                </c:pt>
                <c:pt idx="1466" formatCode="0.000">
                  <c:v>53.006315789473682</c:v>
                </c:pt>
                <c:pt idx="1467" formatCode="0.000">
                  <c:v>52.982105263157884</c:v>
                </c:pt>
                <c:pt idx="1468" formatCode="0.000">
                  <c:v>52.99</c:v>
                </c:pt>
                <c:pt idx="1469" formatCode="0.000">
                  <c:v>53.028947368421051</c:v>
                </c:pt>
                <c:pt idx="1470" formatCode="0.000">
                  <c:v>53.16368421052632</c:v>
                </c:pt>
                <c:pt idx="1471" formatCode="0.000">
                  <c:v>53.273684210526305</c:v>
                </c:pt>
                <c:pt idx="1472" formatCode="0.000">
                  <c:v>53.396315789473682</c:v>
                </c:pt>
                <c:pt idx="1473" formatCode="0.000">
                  <c:v>53.504736842105267</c:v>
                </c:pt>
                <c:pt idx="1474" formatCode="0.000">
                  <c:v>53.447368421052623</c:v>
                </c:pt>
                <c:pt idx="1475" formatCode="0.000">
                  <c:v>53.404736842105265</c:v>
                </c:pt>
                <c:pt idx="1476" formatCode="0.000">
                  <c:v>53.264736842105265</c:v>
                </c:pt>
                <c:pt idx="1477" formatCode="0.000">
                  <c:v>53.087368421052638</c:v>
                </c:pt>
                <c:pt idx="1478" formatCode="0.000">
                  <c:v>52.983684210526313</c:v>
                </c:pt>
                <c:pt idx="1479" formatCode="0.000">
                  <c:v>52.817894736842106</c:v>
                </c:pt>
                <c:pt idx="1480" formatCode="0.000">
                  <c:v>52.651578947368428</c:v>
                </c:pt>
                <c:pt idx="1481" formatCode="0.000">
                  <c:v>52.457894736842114</c:v>
                </c:pt>
                <c:pt idx="1482" formatCode="0.000">
                  <c:v>52.256315789473682</c:v>
                </c:pt>
                <c:pt idx="1483" formatCode="0.000">
                  <c:v>52.015789473684215</c:v>
                </c:pt>
                <c:pt idx="1484" formatCode="0.000">
                  <c:v>51.740526315789474</c:v>
                </c:pt>
                <c:pt idx="1485" formatCode="0.000">
                  <c:v>51.523157894736848</c:v>
                </c:pt>
                <c:pt idx="1486" formatCode="0.000">
                  <c:v>51.322631578947373</c:v>
                </c:pt>
                <c:pt idx="1487" formatCode="0.000">
                  <c:v>51.081052631578949</c:v>
                </c:pt>
                <c:pt idx="1488" formatCode="0.000">
                  <c:v>50.835789473684208</c:v>
                </c:pt>
                <c:pt idx="1489" formatCode="0.000">
                  <c:v>50.579473684210519</c:v>
                </c:pt>
                <c:pt idx="1490" formatCode="0.000">
                  <c:v>50.284736842105261</c:v>
                </c:pt>
                <c:pt idx="1491" formatCode="0.000">
                  <c:v>50.006315789473682</c:v>
                </c:pt>
                <c:pt idx="1492" formatCode="0.000">
                  <c:v>49.654210526315786</c:v>
                </c:pt>
                <c:pt idx="1493" formatCode="0.000">
                  <c:v>49.428947368421049</c:v>
                </c:pt>
                <c:pt idx="1494" formatCode="0.000">
                  <c:v>49.259473684210526</c:v>
                </c:pt>
                <c:pt idx="1495" formatCode="0.000">
                  <c:v>49.167368421052622</c:v>
                </c:pt>
                <c:pt idx="1496" formatCode="0.000">
                  <c:v>49.117368421052625</c:v>
                </c:pt>
                <c:pt idx="1497" formatCode="0.000">
                  <c:v>49.042105263157886</c:v>
                </c:pt>
                <c:pt idx="1498" formatCode="0.000">
                  <c:v>49.027368421052628</c:v>
                </c:pt>
                <c:pt idx="1499" formatCode="0.000">
                  <c:v>49.00578947368421</c:v>
                </c:pt>
                <c:pt idx="1500" formatCode="0.000">
                  <c:v>48.976315789473688</c:v>
                </c:pt>
                <c:pt idx="1501" formatCode="0.000">
                  <c:v>49.032631578947367</c:v>
                </c:pt>
                <c:pt idx="1502" formatCode="0.000">
                  <c:v>49.137368421052628</c:v>
                </c:pt>
                <c:pt idx="1503" formatCode="0.000">
                  <c:v>49.23</c:v>
                </c:pt>
                <c:pt idx="1504" formatCode="0.000">
                  <c:v>49.306315789473672</c:v>
                </c:pt>
                <c:pt idx="1505" formatCode="0.000">
                  <c:v>49.402105263157893</c:v>
                </c:pt>
                <c:pt idx="1506" formatCode="0.000">
                  <c:v>49.487368421052629</c:v>
                </c:pt>
                <c:pt idx="1507" formatCode="0.000">
                  <c:v>49.584736842105265</c:v>
                </c:pt>
                <c:pt idx="1508" formatCode="0.000">
                  <c:v>49.650526315789463</c:v>
                </c:pt>
                <c:pt idx="1509" formatCode="0.000">
                  <c:v>49.765263157894744</c:v>
                </c:pt>
                <c:pt idx="1510" formatCode="0.000">
                  <c:v>49.81894736842105</c:v>
                </c:pt>
                <c:pt idx="1511" formatCode="0.000">
                  <c:v>49.863157894736844</c:v>
                </c:pt>
                <c:pt idx="1512" formatCode="0.000">
                  <c:v>49.937894736842104</c:v>
                </c:pt>
                <c:pt idx="1513" formatCode="0.000">
                  <c:v>49.997894736842106</c:v>
                </c:pt>
                <c:pt idx="1514" formatCode="0.000">
                  <c:v>50.06157894736841</c:v>
                </c:pt>
                <c:pt idx="1515" formatCode="0.000">
                  <c:v>50.110526315789471</c:v>
                </c:pt>
                <c:pt idx="1516" formatCode="0.000">
                  <c:v>50.170526315789473</c:v>
                </c:pt>
                <c:pt idx="1517" formatCode="0.000">
                  <c:v>50.261052631578941</c:v>
                </c:pt>
                <c:pt idx="1518" formatCode="0.000">
                  <c:v>50.322105263157887</c:v>
                </c:pt>
                <c:pt idx="1519" formatCode="0.000">
                  <c:v>50.418947368421051</c:v>
                </c:pt>
                <c:pt idx="1520" formatCode="0.000">
                  <c:v>50.449473684210531</c:v>
                </c:pt>
                <c:pt idx="1521" formatCode="0.000">
                  <c:v>50.432105263157894</c:v>
                </c:pt>
                <c:pt idx="1522" formatCode="0.000">
                  <c:v>50.472105263157893</c:v>
                </c:pt>
                <c:pt idx="1523" formatCode="0.000">
                  <c:v>50.529473684210522</c:v>
                </c:pt>
                <c:pt idx="1524" formatCode="0.000">
                  <c:v>50.554210526315785</c:v>
                </c:pt>
                <c:pt idx="1525" formatCode="0.000">
                  <c:v>50.578421052631583</c:v>
                </c:pt>
                <c:pt idx="1526" formatCode="0.000">
                  <c:v>50.587894736842109</c:v>
                </c:pt>
                <c:pt idx="1527" formatCode="0.000">
                  <c:v>50.6121052631579</c:v>
                </c:pt>
                <c:pt idx="1528" formatCode="0.000">
                  <c:v>50.647894736842112</c:v>
                </c:pt>
                <c:pt idx="1529" formatCode="0.000">
                  <c:v>50.718947368421048</c:v>
                </c:pt>
                <c:pt idx="1530" formatCode="0.000">
                  <c:v>50.878421052631573</c:v>
                </c:pt>
                <c:pt idx="1531" formatCode="0.000">
                  <c:v>51.043684210526315</c:v>
                </c:pt>
                <c:pt idx="1532" formatCode="0.000">
                  <c:v>51.241052631578945</c:v>
                </c:pt>
                <c:pt idx="1533" formatCode="0.000">
                  <c:v>51.40789473684211</c:v>
                </c:pt>
                <c:pt idx="1534" formatCode="0.000">
                  <c:v>51.553684210526313</c:v>
                </c:pt>
                <c:pt idx="1535" formatCode="0.000">
                  <c:v>51.644210526315788</c:v>
                </c:pt>
                <c:pt idx="1536" formatCode="0.000">
                  <c:v>51.705789473684213</c:v>
                </c:pt>
                <c:pt idx="1537" formatCode="0.000">
                  <c:v>51.828421052631576</c:v>
                </c:pt>
                <c:pt idx="1538" formatCode="0.000">
                  <c:v>51.925263157894733</c:v>
                </c:pt>
                <c:pt idx="1539" formatCode="0.000">
                  <c:v>52.043157894736844</c:v>
                </c:pt>
                <c:pt idx="1540" formatCode="0.000">
                  <c:v>52.191578947368413</c:v>
                </c:pt>
                <c:pt idx="1541" formatCode="0.000">
                  <c:v>52.313684210526311</c:v>
                </c:pt>
                <c:pt idx="1542" formatCode="0.000">
                  <c:v>52.412105263157905</c:v>
                </c:pt>
                <c:pt idx="1543" formatCode="0.000">
                  <c:v>52.508947368421062</c:v>
                </c:pt>
                <c:pt idx="1544" formatCode="0.000">
                  <c:v>52.654210526315794</c:v>
                </c:pt>
                <c:pt idx="1545" formatCode="0.000">
                  <c:v>52.805263157894743</c:v>
                </c:pt>
                <c:pt idx="1546" formatCode="0.000">
                  <c:v>52.963157894736838</c:v>
                </c:pt>
                <c:pt idx="1547" formatCode="0.000">
                  <c:v>53.109473684210521</c:v>
                </c:pt>
                <c:pt idx="1548" formatCode="0.000">
                  <c:v>53.27210526315789</c:v>
                </c:pt>
                <c:pt idx="1549" formatCode="0.000">
                  <c:v>53.39947368421052</c:v>
                </c:pt>
                <c:pt idx="1550" formatCode="0.000">
                  <c:v>53.474736842105266</c:v>
                </c:pt>
                <c:pt idx="1551" formatCode="0.000">
                  <c:v>53.464736842105268</c:v>
                </c:pt>
                <c:pt idx="1552" formatCode="0.000">
                  <c:v>53.487368421052629</c:v>
                </c:pt>
                <c:pt idx="1553" formatCode="0.000">
                  <c:v>53.533684210526317</c:v>
                </c:pt>
                <c:pt idx="1554" formatCode="0.000">
                  <c:v>53.625789473684208</c:v>
                </c:pt>
                <c:pt idx="1555" formatCode="0.000">
                  <c:v>53.687368421052632</c:v>
                </c:pt>
                <c:pt idx="1556" formatCode="0.000">
                  <c:v>53.755263157894738</c:v>
                </c:pt>
                <c:pt idx="1557" formatCode="0.000">
                  <c:v>53.800526315789476</c:v>
                </c:pt>
                <c:pt idx="1558" formatCode="0.000">
                  <c:v>53.846842105263164</c:v>
                </c:pt>
                <c:pt idx="1559" formatCode="0.000">
                  <c:v>53.918421052631579</c:v>
                </c:pt>
                <c:pt idx="1560" formatCode="0.000">
                  <c:v>53.979473684210532</c:v>
                </c:pt>
                <c:pt idx="1561" formatCode="0.000">
                  <c:v>54.075263157894739</c:v>
                </c:pt>
                <c:pt idx="1562" formatCode="0.000">
                  <c:v>54.140526315789465</c:v>
                </c:pt>
                <c:pt idx="1563" formatCode="0.000">
                  <c:v>54.177894736842099</c:v>
                </c:pt>
                <c:pt idx="1564" formatCode="0.000">
                  <c:v>54.221578947368421</c:v>
                </c:pt>
                <c:pt idx="1565" formatCode="0.000">
                  <c:v>54.259999999999991</c:v>
                </c:pt>
                <c:pt idx="1566" formatCode="0.000">
                  <c:v>54.284736842105268</c:v>
                </c:pt>
                <c:pt idx="1567" formatCode="0.000">
                  <c:v>54.270526315789468</c:v>
                </c:pt>
                <c:pt idx="1568" formatCode="0.000">
                  <c:v>54.256315789473689</c:v>
                </c:pt>
                <c:pt idx="1569" formatCode="0.000">
                  <c:v>54.265789473684208</c:v>
                </c:pt>
                <c:pt idx="1570" formatCode="0.000">
                  <c:v>54.316315789473684</c:v>
                </c:pt>
                <c:pt idx="1571" formatCode="0.000">
                  <c:v>54.380526315789474</c:v>
                </c:pt>
                <c:pt idx="1572" formatCode="0.000">
                  <c:v>54.443684210526321</c:v>
                </c:pt>
                <c:pt idx="1573" formatCode="0.000">
                  <c:v>54.484210526315778</c:v>
                </c:pt>
                <c:pt idx="1574" formatCode="0.000">
                  <c:v>54.563684210526304</c:v>
                </c:pt>
                <c:pt idx="1575" formatCode="0.000">
                  <c:v>54.606315789473683</c:v>
                </c:pt>
                <c:pt idx="1576" formatCode="0.000">
                  <c:v>54.666315789473678</c:v>
                </c:pt>
                <c:pt idx="1577" formatCode="0.000">
                  <c:v>54.745263157894726</c:v>
                </c:pt>
                <c:pt idx="1578" formatCode="0.000">
                  <c:v>54.803157894736842</c:v>
                </c:pt>
                <c:pt idx="1579" formatCode="0.000">
                  <c:v>54.894210526315781</c:v>
                </c:pt>
                <c:pt idx="1580" formatCode="0.000">
                  <c:v>54.953684210526312</c:v>
                </c:pt>
                <c:pt idx="1581" formatCode="0.000">
                  <c:v>55.023684210526305</c:v>
                </c:pt>
                <c:pt idx="1582" formatCode="0.000">
                  <c:v>55.099473684210523</c:v>
                </c:pt>
                <c:pt idx="1583" formatCode="0.000">
                  <c:v>55.173157894736839</c:v>
                </c:pt>
                <c:pt idx="1584" formatCode="0.000">
                  <c:v>55.248421052631578</c:v>
                </c:pt>
                <c:pt idx="1585" formatCode="0.000">
                  <c:v>55.296315789473681</c:v>
                </c:pt>
                <c:pt idx="1586" formatCode="0.000">
                  <c:v>55.352631578947374</c:v>
                </c:pt>
                <c:pt idx="1587" formatCode="0.000">
                  <c:v>55.378947368421045</c:v>
                </c:pt>
                <c:pt idx="1588" formatCode="0.000">
                  <c:v>55.394736842105253</c:v>
                </c:pt>
                <c:pt idx="1589" formatCode="0.000">
                  <c:v>55.349999999999994</c:v>
                </c:pt>
                <c:pt idx="1590" formatCode="0.000">
                  <c:v>55.326842105263147</c:v>
                </c:pt>
                <c:pt idx="1591" formatCode="0.000">
                  <c:v>55.314736842105255</c:v>
                </c:pt>
                <c:pt idx="1592" formatCode="0.000">
                  <c:v>55.266842105263144</c:v>
                </c:pt>
                <c:pt idx="1593" formatCode="0.000">
                  <c:v>55.208947368421043</c:v>
                </c:pt>
                <c:pt idx="1594" formatCode="0.000">
                  <c:v>55.157894736842096</c:v>
                </c:pt>
                <c:pt idx="1595" formatCode="0.000">
                  <c:v>55.104210526315804</c:v>
                </c:pt>
                <c:pt idx="1596" formatCode="0.000">
                  <c:v>55.017894736842116</c:v>
                </c:pt>
                <c:pt idx="1597" formatCode="0.000">
                  <c:v>54.937368421052632</c:v>
                </c:pt>
                <c:pt idx="1598" formatCode="0.000">
                  <c:v>54.817368421052628</c:v>
                </c:pt>
                <c:pt idx="1599" formatCode="0.000">
                  <c:v>54.719473684210527</c:v>
                </c:pt>
                <c:pt idx="1600" formatCode="0.000">
                  <c:v>54.626315789473686</c:v>
                </c:pt>
                <c:pt idx="1601" formatCode="0.000">
                  <c:v>54.565263157894741</c:v>
                </c:pt>
                <c:pt idx="1602" formatCode="0.000">
                  <c:v>54.471578947368435</c:v>
                </c:pt>
                <c:pt idx="1603" formatCode="0.000">
                  <c:v>54.382105263157897</c:v>
                </c:pt>
                <c:pt idx="1604" formatCode="0.000">
                  <c:v>54.32578947368421</c:v>
                </c:pt>
                <c:pt idx="1605" formatCode="0.000">
                  <c:v>54.30526315789475</c:v>
                </c:pt>
                <c:pt idx="1606" formatCode="0.000">
                  <c:v>54.388947368421057</c:v>
                </c:pt>
                <c:pt idx="1607" formatCode="0.000">
                  <c:v>54.46736842105264</c:v>
                </c:pt>
                <c:pt idx="1608" formatCode="0.000">
                  <c:v>54.605789473684219</c:v>
                </c:pt>
                <c:pt idx="1609" formatCode="0.000">
                  <c:v>54.677894736842099</c:v>
                </c:pt>
                <c:pt idx="1610" formatCode="0.000">
                  <c:v>54.744736842105269</c:v>
                </c:pt>
                <c:pt idx="1611" formatCode="0.000">
                  <c:v>54.872631578947363</c:v>
                </c:pt>
                <c:pt idx="1612" formatCode="0.000">
                  <c:v>54.982105263157898</c:v>
                </c:pt>
                <c:pt idx="1613" formatCode="0.000">
                  <c:v>55.123684210526314</c:v>
                </c:pt>
                <c:pt idx="1614" formatCode="0.000">
                  <c:v>55.271052631578939</c:v>
                </c:pt>
                <c:pt idx="1615" formatCode="0.000">
                  <c:v>55.449999999999996</c:v>
                </c:pt>
                <c:pt idx="1616" formatCode="0.000">
                  <c:v>55.588421052631581</c:v>
                </c:pt>
                <c:pt idx="1617" formatCode="0.000">
                  <c:v>55.751052631578943</c:v>
                </c:pt>
                <c:pt idx="1618" formatCode="0.000">
                  <c:v>55.901052631578942</c:v>
                </c:pt>
                <c:pt idx="1619" formatCode="0.000">
                  <c:v>56.058947368421045</c:v>
                </c:pt>
                <c:pt idx="1620" formatCode="0.000">
                  <c:v>56.195789473684201</c:v>
                </c:pt>
                <c:pt idx="1621" formatCode="0.000">
                  <c:v>56.299473684210518</c:v>
                </c:pt>
                <c:pt idx="1622" formatCode="0.000">
                  <c:v>56.406842105263159</c:v>
                </c:pt>
                <c:pt idx="1623" formatCode="0.000">
                  <c:v>56.520526315789468</c:v>
                </c:pt>
                <c:pt idx="1624" formatCode="0.000">
                  <c:v>56.606315789473683</c:v>
                </c:pt>
                <c:pt idx="1625" formatCode="0.000">
                  <c:v>56.634736842105248</c:v>
                </c:pt>
                <c:pt idx="1626" formatCode="0.000">
                  <c:v>56.65</c:v>
                </c:pt>
                <c:pt idx="1627" formatCode="0.000">
                  <c:v>56.673157894736839</c:v>
                </c:pt>
                <c:pt idx="1628" formatCode="0.000">
                  <c:v>56.752105263157894</c:v>
                </c:pt>
                <c:pt idx="1629" formatCode="0.000">
                  <c:v>56.838947368421053</c:v>
                </c:pt>
                <c:pt idx="1630" formatCode="0.000">
                  <c:v>56.877368421052637</c:v>
                </c:pt>
                <c:pt idx="1631" formatCode="0.000">
                  <c:v>56.878947368421052</c:v>
                </c:pt>
                <c:pt idx="1632" formatCode="0.000">
                  <c:v>56.871052631578948</c:v>
                </c:pt>
                <c:pt idx="1633" formatCode="0.000">
                  <c:v>56.848947368421058</c:v>
                </c:pt>
                <c:pt idx="1634" formatCode="0.000">
                  <c:v>56.805789473684207</c:v>
                </c:pt>
                <c:pt idx="1635" formatCode="0.000">
                  <c:v>56.76736842105263</c:v>
                </c:pt>
                <c:pt idx="1636" formatCode="0.000">
                  <c:v>56.715789473684204</c:v>
                </c:pt>
                <c:pt idx="1637" formatCode="0.000">
                  <c:v>56.637368421052635</c:v>
                </c:pt>
                <c:pt idx="1638" formatCode="0.000">
                  <c:v>56.572631578947373</c:v>
                </c:pt>
                <c:pt idx="1639" formatCode="0.000">
                  <c:v>56.533684210526324</c:v>
                </c:pt>
                <c:pt idx="1640" formatCode="0.000">
                  <c:v>56.544736842105259</c:v>
                </c:pt>
                <c:pt idx="1641" formatCode="0.000">
                  <c:v>56.554736842105264</c:v>
                </c:pt>
                <c:pt idx="1642" formatCode="0.000">
                  <c:v>56.561578947368425</c:v>
                </c:pt>
                <c:pt idx="1643" formatCode="0.000">
                  <c:v>56.565789473684212</c:v>
                </c:pt>
                <c:pt idx="1644" formatCode="0.000">
                  <c:v>56.506315789473689</c:v>
                </c:pt>
                <c:pt idx="1645" formatCode="0.000">
                  <c:v>56.489999999999995</c:v>
                </c:pt>
                <c:pt idx="1646" formatCode="0.000">
                  <c:v>56.438421052631561</c:v>
                </c:pt>
                <c:pt idx="1647" formatCode="0.000">
                  <c:v>56.353157894736846</c:v>
                </c:pt>
                <c:pt idx="1648" formatCode="0.000">
                  <c:v>56.278947368421051</c:v>
                </c:pt>
                <c:pt idx="1649" formatCode="0.000">
                  <c:v>56.195263157894736</c:v>
                </c:pt>
                <c:pt idx="1650" formatCode="0.000">
                  <c:v>56.162631578947376</c:v>
                </c:pt>
                <c:pt idx="1651" formatCode="0.000">
                  <c:v>56.083157894736836</c:v>
                </c:pt>
                <c:pt idx="1652" formatCode="0.000">
                  <c:v>55.96736842105264</c:v>
                </c:pt>
                <c:pt idx="1653" formatCode="0.000">
                  <c:v>55.842105263157897</c:v>
                </c:pt>
                <c:pt idx="1654" formatCode="0.000">
                  <c:v>55.738947368421051</c:v>
                </c:pt>
                <c:pt idx="1655" formatCode="0.000">
                  <c:v>55.636842105263163</c:v>
                </c:pt>
                <c:pt idx="1656" formatCode="0.000">
                  <c:v>55.557894736842115</c:v>
                </c:pt>
                <c:pt idx="1657" formatCode="0.000">
                  <c:v>55.465263157894732</c:v>
                </c:pt>
                <c:pt idx="1658" formatCode="0.000">
                  <c:v>55.329999999999984</c:v>
                </c:pt>
                <c:pt idx="1659" formatCode="0.000">
                  <c:v>55.136842105263156</c:v>
                </c:pt>
                <c:pt idx="1660" formatCode="0.000">
                  <c:v>54.940526315789469</c:v>
                </c:pt>
                <c:pt idx="1661" formatCode="0.000">
                  <c:v>54.714210526315789</c:v>
                </c:pt>
                <c:pt idx="1662" formatCode="0.000">
                  <c:v>54.518947368421045</c:v>
                </c:pt>
                <c:pt idx="1663" formatCode="0.000">
                  <c:v>54.377894736842094</c:v>
                </c:pt>
                <c:pt idx="1664" formatCode="0.000">
                  <c:v>54.202105263157904</c:v>
                </c:pt>
                <c:pt idx="1665" formatCode="0.000">
                  <c:v>54.088947368421053</c:v>
                </c:pt>
                <c:pt idx="1666" formatCode="0.000">
                  <c:v>53.99789473684212</c:v>
                </c:pt>
                <c:pt idx="1667" formatCode="0.000">
                  <c:v>53.895263157894739</c:v>
                </c:pt>
                <c:pt idx="1668" formatCode="0.000">
                  <c:v>53.818421052631585</c:v>
                </c:pt>
                <c:pt idx="1669" formatCode="0.000">
                  <c:v>53.731578947368426</c:v>
                </c:pt>
                <c:pt idx="1670" formatCode="0.000">
                  <c:v>53.673157894736846</c:v>
                </c:pt>
                <c:pt idx="1671" formatCode="0.000">
                  <c:v>53.682105263157901</c:v>
                </c:pt>
                <c:pt idx="1672" formatCode="0.000">
                  <c:v>53.704210526315798</c:v>
                </c:pt>
                <c:pt idx="1673" formatCode="0.000">
                  <c:v>53.698421052631588</c:v>
                </c:pt>
                <c:pt idx="1674" formatCode="0.000">
                  <c:v>53.699473684210531</c:v>
                </c:pt>
                <c:pt idx="1675" formatCode="0.000">
                  <c:v>53.730526315789483</c:v>
                </c:pt>
                <c:pt idx="1676" formatCode="0.000">
                  <c:v>53.754736842105267</c:v>
                </c:pt>
                <c:pt idx="1677" formatCode="0.000">
                  <c:v>53.798947368421047</c:v>
                </c:pt>
                <c:pt idx="1678" formatCode="0.000">
                  <c:v>53.882631578947375</c:v>
                </c:pt>
                <c:pt idx="1679" formatCode="0.000">
                  <c:v>53.962105263157895</c:v>
                </c:pt>
                <c:pt idx="1680" formatCode="0.000">
                  <c:v>54.122631578947377</c:v>
                </c:pt>
                <c:pt idx="1681" formatCode="0.000">
                  <c:v>54.28157894736843</c:v>
                </c:pt>
                <c:pt idx="1682" formatCode="0.000">
                  <c:v>54.459473684210529</c:v>
                </c:pt>
                <c:pt idx="1683" formatCode="0.000">
                  <c:v>54.622105263157906</c:v>
                </c:pt>
                <c:pt idx="1684" formatCode="0.000">
                  <c:v>54.747894736842106</c:v>
                </c:pt>
                <c:pt idx="1685" formatCode="0.000">
                  <c:v>54.874736842105271</c:v>
                </c:pt>
                <c:pt idx="1686" formatCode="0.000">
                  <c:v>55.005263157894731</c:v>
                </c:pt>
                <c:pt idx="1687" formatCode="0.000">
                  <c:v>55.142631578947359</c:v>
                </c:pt>
                <c:pt idx="1688" formatCode="0.000">
                  <c:v>55.253157894736837</c:v>
                </c:pt>
                <c:pt idx="1689" formatCode="0.000">
                  <c:v>55.37157894736842</c:v>
                </c:pt>
                <c:pt idx="1690" formatCode="0.000">
                  <c:v>55.48263157894737</c:v>
                </c:pt>
                <c:pt idx="1691" formatCode="0.000">
                  <c:v>55.601578947368424</c:v>
                </c:pt>
                <c:pt idx="1692" formatCode="0.000">
                  <c:v>55.742105263157903</c:v>
                </c:pt>
                <c:pt idx="1693" formatCode="0.000">
                  <c:v>55.872105263157906</c:v>
                </c:pt>
                <c:pt idx="1694" formatCode="0.000">
                  <c:v>55.955789473684213</c:v>
                </c:pt>
                <c:pt idx="1695" formatCode="0.000">
                  <c:v>56.037894736842119</c:v>
                </c:pt>
                <c:pt idx="1696" formatCode="0.000">
                  <c:v>56.088421052631595</c:v>
                </c:pt>
                <c:pt idx="1697" formatCode="0.000">
                  <c:v>56.13578947368422</c:v>
                </c:pt>
                <c:pt idx="1698" formatCode="0.000">
                  <c:v>56.188421052631575</c:v>
                </c:pt>
                <c:pt idx="1699" formatCode="0.000">
                  <c:v>56.207368421052635</c:v>
                </c:pt>
                <c:pt idx="1700" formatCode="0.000">
                  <c:v>56.175263157894733</c:v>
                </c:pt>
                <c:pt idx="1701" formatCode="0.000">
                  <c:v>56.036315789473676</c:v>
                </c:pt>
                <c:pt idx="1702" formatCode="0.000">
                  <c:v>55.952631578947361</c:v>
                </c:pt>
                <c:pt idx="1703" formatCode="0.000">
                  <c:v>55.760526315789477</c:v>
                </c:pt>
                <c:pt idx="1704" formatCode="0.000">
                  <c:v>55.550526315789476</c:v>
                </c:pt>
                <c:pt idx="1705" formatCode="0.000">
                  <c:v>55.364736842105266</c:v>
                </c:pt>
                <c:pt idx="1706" formatCode="0.000">
                  <c:v>55.191052631578955</c:v>
                </c:pt>
                <c:pt idx="1707" formatCode="0.000">
                  <c:v>55.116315789473688</c:v>
                </c:pt>
                <c:pt idx="1708" formatCode="0.000">
                  <c:v>55.048947368421047</c:v>
                </c:pt>
                <c:pt idx="1709" formatCode="0.000">
                  <c:v>54.958421052631579</c:v>
                </c:pt>
                <c:pt idx="1710" formatCode="0.000">
                  <c:v>54.859473684210521</c:v>
                </c:pt>
                <c:pt idx="1711" formatCode="0.000">
                  <c:v>54.842105263157897</c:v>
                </c:pt>
                <c:pt idx="1712" formatCode="0.000">
                  <c:v>54.9021052631579</c:v>
                </c:pt>
                <c:pt idx="1713" formatCode="0.000">
                  <c:v>54.985263157894735</c:v>
                </c:pt>
                <c:pt idx="1714" formatCode="0.000">
                  <c:v>55.098421052631572</c:v>
                </c:pt>
                <c:pt idx="1715" formatCode="0.000">
                  <c:v>55.268947368421045</c:v>
                </c:pt>
                <c:pt idx="1716" formatCode="0.000">
                  <c:v>55.405789473684202</c:v>
                </c:pt>
                <c:pt idx="1717" formatCode="0.000">
                  <c:v>55.514736842105265</c:v>
                </c:pt>
                <c:pt idx="1718" formatCode="0.000">
                  <c:v>55.614210526315794</c:v>
                </c:pt>
                <c:pt idx="1719" formatCode="0.000">
                  <c:v>55.758947368421047</c:v>
                </c:pt>
                <c:pt idx="1720" formatCode="0.000">
                  <c:v>55.995263157894726</c:v>
                </c:pt>
                <c:pt idx="1721" formatCode="0.000">
                  <c:v>56.209473684210529</c:v>
                </c:pt>
                <c:pt idx="1722" formatCode="0.000">
                  <c:v>56.547894736842096</c:v>
                </c:pt>
                <c:pt idx="1723" formatCode="0.000">
                  <c:v>56.897894736842105</c:v>
                </c:pt>
                <c:pt idx="1724" formatCode="0.000">
                  <c:v>57.198421052631566</c:v>
                </c:pt>
                <c:pt idx="1725" formatCode="0.000">
                  <c:v>57.496842105263163</c:v>
                </c:pt>
                <c:pt idx="1726" formatCode="0.000">
                  <c:v>57.727894736842103</c:v>
                </c:pt>
                <c:pt idx="1727" formatCode="0.000">
                  <c:v>57.995263157894726</c:v>
                </c:pt>
                <c:pt idx="1728" formatCode="0.000">
                  <c:v>58.300000000000004</c:v>
                </c:pt>
                <c:pt idx="1729" formatCode="0.000">
                  <c:v>58.595263157894735</c:v>
                </c:pt>
                <c:pt idx="1730" formatCode="0.000">
                  <c:v>58.808421052631573</c:v>
                </c:pt>
                <c:pt idx="1731" formatCode="0.000">
                  <c:v>58.948947368421052</c:v>
                </c:pt>
                <c:pt idx="1732" formatCode="0.000">
                  <c:v>59.088421052631581</c:v>
                </c:pt>
                <c:pt idx="1733" formatCode="0.000">
                  <c:v>59.218947368421048</c:v>
                </c:pt>
                <c:pt idx="1734" formatCode="0.000">
                  <c:v>59.337368421052638</c:v>
                </c:pt>
                <c:pt idx="1735" formatCode="0.000">
                  <c:v>59.530000000000008</c:v>
                </c:pt>
                <c:pt idx="1736" formatCode="0.000">
                  <c:v>59.706842105263163</c:v>
                </c:pt>
                <c:pt idx="1737" formatCode="0.000">
                  <c:v>59.876842105263151</c:v>
                </c:pt>
                <c:pt idx="1738" formatCode="0.000">
                  <c:v>60.012105263157899</c:v>
                </c:pt>
                <c:pt idx="1739" formatCode="0.000">
                  <c:v>60.129473684210531</c:v>
                </c:pt>
                <c:pt idx="1740" formatCode="0.000">
                  <c:v>60.198421052631581</c:v>
                </c:pt>
                <c:pt idx="1741" formatCode="0.000">
                  <c:v>60.247894736842106</c:v>
                </c:pt>
                <c:pt idx="1742" formatCode="0.000">
                  <c:v>60.282105263157888</c:v>
                </c:pt>
                <c:pt idx="1743" formatCode="0.000">
                  <c:v>60.327894736842104</c:v>
                </c:pt>
                <c:pt idx="1744" formatCode="0.000">
                  <c:v>60.41368421052632</c:v>
                </c:pt>
                <c:pt idx="1745" formatCode="0.000">
                  <c:v>60.503684210526323</c:v>
                </c:pt>
                <c:pt idx="1746" formatCode="0.000">
                  <c:v>60.517894736842102</c:v>
                </c:pt>
                <c:pt idx="1747" formatCode="0.000">
                  <c:v>60.538421052631591</c:v>
                </c:pt>
                <c:pt idx="1748" formatCode="0.000">
                  <c:v>60.598421052631586</c:v>
                </c:pt>
                <c:pt idx="1749" formatCode="0.000">
                  <c:v>60.631578947368418</c:v>
                </c:pt>
                <c:pt idx="1750" formatCode="0.000">
                  <c:v>60.693157894736849</c:v>
                </c:pt>
                <c:pt idx="1751" formatCode="0.000">
                  <c:v>60.774736842105263</c:v>
                </c:pt>
                <c:pt idx="1752" formatCode="0.000">
                  <c:v>60.801052631578933</c:v>
                </c:pt>
                <c:pt idx="1753" formatCode="0.000">
                  <c:v>60.826315789473696</c:v>
                </c:pt>
                <c:pt idx="1754" formatCode="0.000">
                  <c:v>60.768421052631588</c:v>
                </c:pt>
                <c:pt idx="1755" formatCode="0.000">
                  <c:v>60.756842105263161</c:v>
                </c:pt>
                <c:pt idx="1756" formatCode="0.000">
                  <c:v>60.752105263157894</c:v>
                </c:pt>
                <c:pt idx="1757" formatCode="0.000">
                  <c:v>60.760000000000005</c:v>
                </c:pt>
                <c:pt idx="1758" formatCode="0.000">
                  <c:v>60.8478947368421</c:v>
                </c:pt>
                <c:pt idx="1759" formatCode="0.000">
                  <c:v>60.983684210526306</c:v>
                </c:pt>
                <c:pt idx="1760" formatCode="0.000">
                  <c:v>61.113157894736823</c:v>
                </c:pt>
                <c:pt idx="1761" formatCode="0.000">
                  <c:v>61.217894736842098</c:v>
                </c:pt>
                <c:pt idx="1762" formatCode="0.000">
                  <c:v>61.263157894736828</c:v>
                </c:pt>
                <c:pt idx="1763" formatCode="0.000">
                  <c:v>61.36894736842104</c:v>
                </c:pt>
                <c:pt idx="1764" formatCode="0.000">
                  <c:v>61.433684210526302</c:v>
                </c:pt>
                <c:pt idx="1765" formatCode="0.000">
                  <c:v>61.507894736842097</c:v>
                </c:pt>
                <c:pt idx="1766" formatCode="0.000">
                  <c:v>61.573684210526324</c:v>
                </c:pt>
                <c:pt idx="1767" formatCode="0.000">
                  <c:v>61.618947368421054</c:v>
                </c:pt>
                <c:pt idx="1768" formatCode="0.000">
                  <c:v>61.703684210526312</c:v>
                </c:pt>
                <c:pt idx="1769" formatCode="0.000">
                  <c:v>61.676315789473669</c:v>
                </c:pt>
                <c:pt idx="1770" formatCode="0.000">
                  <c:v>61.500526315789472</c:v>
                </c:pt>
                <c:pt idx="1771" formatCode="0.000">
                  <c:v>61.391052631578965</c:v>
                </c:pt>
                <c:pt idx="1772" formatCode="0.000">
                  <c:v>61.206842105263171</c:v>
                </c:pt>
                <c:pt idx="1773" formatCode="0.000">
                  <c:v>61.082105263157914</c:v>
                </c:pt>
                <c:pt idx="1774" formatCode="0.000">
                  <c:v>60.969473684210541</c:v>
                </c:pt>
                <c:pt idx="1775" formatCode="0.000">
                  <c:v>60.901578947368414</c:v>
                </c:pt>
                <c:pt idx="1776" formatCode="0.000">
                  <c:v>60.82578947368421</c:v>
                </c:pt>
                <c:pt idx="1777" formatCode="0.000">
                  <c:v>60.718947368421048</c:v>
                </c:pt>
                <c:pt idx="1778" formatCode="0.000">
                  <c:v>60.590526315789461</c:v>
                </c:pt>
                <c:pt idx="1779" formatCode="0.000">
                  <c:v>60.501052631578936</c:v>
                </c:pt>
                <c:pt idx="1780" formatCode="0.000">
                  <c:v>60.459473684210515</c:v>
                </c:pt>
                <c:pt idx="1781" formatCode="0.000">
                  <c:v>60.453684210526319</c:v>
                </c:pt>
                <c:pt idx="1782" formatCode="0.000">
                  <c:v>60.355263157894747</c:v>
                </c:pt>
                <c:pt idx="1783" formatCode="0.000">
                  <c:v>60.317894736842106</c:v>
                </c:pt>
                <c:pt idx="1784" formatCode="0.000">
                  <c:v>60.315263157894748</c:v>
                </c:pt>
                <c:pt idx="1785" formatCode="0.000">
                  <c:v>60.301052631578962</c:v>
                </c:pt>
                <c:pt idx="1786" formatCode="0.000">
                  <c:v>60.287368421052633</c:v>
                </c:pt>
                <c:pt idx="1787" formatCode="0.000">
                  <c:v>60.257368421052625</c:v>
                </c:pt>
                <c:pt idx="1788" formatCode="0.000">
                  <c:v>60.351578947368409</c:v>
                </c:pt>
                <c:pt idx="1789" formatCode="0.000">
                  <c:v>60.555789473684193</c:v>
                </c:pt>
                <c:pt idx="1790" formatCode="0.000">
                  <c:v>60.740526315789474</c:v>
                </c:pt>
                <c:pt idx="1791" formatCode="0.000">
                  <c:v>61.015263157894736</c:v>
                </c:pt>
                <c:pt idx="1792" formatCode="0.000">
                  <c:v>61.305789473684193</c:v>
                </c:pt>
                <c:pt idx="1793" formatCode="0.000">
                  <c:v>61.584210526315786</c:v>
                </c:pt>
                <c:pt idx="1794" formatCode="0.000">
                  <c:v>61.804736842105264</c:v>
                </c:pt>
                <c:pt idx="1795" formatCode="0.000">
                  <c:v>62.073157894736838</c:v>
                </c:pt>
                <c:pt idx="1796" formatCode="0.000">
                  <c:v>62.317368421052642</c:v>
                </c:pt>
                <c:pt idx="1797" formatCode="0.000">
                  <c:v>62.576315789473689</c:v>
                </c:pt>
                <c:pt idx="1798" formatCode="0.000">
                  <c:v>62.779473684210522</c:v>
                </c:pt>
                <c:pt idx="1799" formatCode="0.000">
                  <c:v>63.004210526315795</c:v>
                </c:pt>
                <c:pt idx="1800" formatCode="0.000">
                  <c:v>63.29684210526316</c:v>
                </c:pt>
                <c:pt idx="1801" formatCode="0.000">
                  <c:v>63.572105263157901</c:v>
                </c:pt>
                <c:pt idx="1802" formatCode="0.000">
                  <c:v>63.767894736842116</c:v>
                </c:pt>
                <c:pt idx="1803" formatCode="0.000">
                  <c:v>63.979473684210532</c:v>
                </c:pt>
                <c:pt idx="1804" formatCode="0.000">
                  <c:v>64.131578947368425</c:v>
                </c:pt>
                <c:pt idx="1805" formatCode="0.000">
                  <c:v>64.307894736842101</c:v>
                </c:pt>
                <c:pt idx="1806" formatCode="0.000">
                  <c:v>64.528421052631572</c:v>
                </c:pt>
                <c:pt idx="1807" formatCode="0.000">
                  <c:v>64.62</c:v>
                </c:pt>
                <c:pt idx="1808" formatCode="0.000">
                  <c:v>64.667368421052629</c:v>
                </c:pt>
                <c:pt idx="1809" formatCode="0.000">
                  <c:v>64.699473684210531</c:v>
                </c:pt>
                <c:pt idx="1810" formatCode="0.000">
                  <c:v>64.801052631578941</c:v>
                </c:pt>
                <c:pt idx="1811" formatCode="0.000">
                  <c:v>64.857368421052612</c:v>
                </c:pt>
                <c:pt idx="1812" formatCode="0.000">
                  <c:v>64.905263157894723</c:v>
                </c:pt>
                <c:pt idx="1813" formatCode="0.000">
                  <c:v>64.94736842105263</c:v>
                </c:pt>
                <c:pt idx="1814" formatCode="0.000">
                  <c:v>64.918421052631572</c:v>
                </c:pt>
                <c:pt idx="1815" formatCode="0.000">
                  <c:v>64.896315789473675</c:v>
                </c:pt>
                <c:pt idx="1816" formatCode="0.000">
                  <c:v>64.869473684210519</c:v>
                </c:pt>
                <c:pt idx="1817" formatCode="0.000">
                  <c:v>64.936842105263153</c:v>
                </c:pt>
                <c:pt idx="1818" formatCode="0.000">
                  <c:v>64.98368421052632</c:v>
                </c:pt>
                <c:pt idx="1819" formatCode="0.000">
                  <c:v>64.974210526315787</c:v>
                </c:pt>
                <c:pt idx="1820" formatCode="0.000">
                  <c:v>64.71052631578948</c:v>
                </c:pt>
                <c:pt idx="1821" formatCode="0.000">
                  <c:v>64.434210526315795</c:v>
                </c:pt>
                <c:pt idx="1822" formatCode="0.000">
                  <c:v>64.173157894736846</c:v>
                </c:pt>
                <c:pt idx="1823" formatCode="0.000">
                  <c:v>64.057894736842101</c:v>
                </c:pt>
                <c:pt idx="1824" formatCode="0.000">
                  <c:v>63.976842105263152</c:v>
                </c:pt>
                <c:pt idx="1825" formatCode="0.000">
                  <c:v>63.865263157894731</c:v>
                </c:pt>
                <c:pt idx="1826" formatCode="0.000">
                  <c:v>63.848947368421058</c:v>
                </c:pt>
                <c:pt idx="1827" formatCode="0.000">
                  <c:v>63.914210526315799</c:v>
                </c:pt>
                <c:pt idx="1828" formatCode="0.000">
                  <c:v>63.930000000000014</c:v>
                </c:pt>
                <c:pt idx="1829" formatCode="0.000">
                  <c:v>63.826842105263161</c:v>
                </c:pt>
                <c:pt idx="1830" formatCode="0.000">
                  <c:v>63.785789473684211</c:v>
                </c:pt>
                <c:pt idx="1831" formatCode="0.000">
                  <c:v>63.69263157894737</c:v>
                </c:pt>
                <c:pt idx="1832" formatCode="0.000">
                  <c:v>63.601052631578938</c:v>
                </c:pt>
                <c:pt idx="1833" formatCode="0.000">
                  <c:v>63.561052631578939</c:v>
                </c:pt>
                <c:pt idx="1834" formatCode="0.000">
                  <c:v>63.4863157894737</c:v>
                </c:pt>
                <c:pt idx="1835" formatCode="0.000">
                  <c:v>63.343684210526327</c:v>
                </c:pt>
                <c:pt idx="1836" formatCode="0.000">
                  <c:v>63.11684210526316</c:v>
                </c:pt>
                <c:pt idx="1837" formatCode="0.000">
                  <c:v>62.873684210526321</c:v>
                </c:pt>
                <c:pt idx="1838" formatCode="0.000">
                  <c:v>62.528947368421051</c:v>
                </c:pt>
                <c:pt idx="1839" formatCode="0.000">
                  <c:v>62.448421052631581</c:v>
                </c:pt>
                <c:pt idx="1840" formatCode="0.000">
                  <c:v>62.39947368421052</c:v>
                </c:pt>
                <c:pt idx="1841" formatCode="0.000">
                  <c:v>62.317894736842106</c:v>
                </c:pt>
                <c:pt idx="1842" formatCode="0.000">
                  <c:v>62.204210526315798</c:v>
                </c:pt>
                <c:pt idx="1843" formatCode="0.000">
                  <c:v>62.053157894736856</c:v>
                </c:pt>
                <c:pt idx="1844" formatCode="0.000">
                  <c:v>61.937894736842111</c:v>
                </c:pt>
                <c:pt idx="1845" formatCode="0.000">
                  <c:v>61.871578947368427</c:v>
                </c:pt>
                <c:pt idx="1846" formatCode="0.000">
                  <c:v>61.778421052631586</c:v>
                </c:pt>
                <c:pt idx="1847" formatCode="0.000">
                  <c:v>61.720526315789478</c:v>
                </c:pt>
                <c:pt idx="1848" formatCode="0.000">
                  <c:v>61.702631578947361</c:v>
                </c:pt>
                <c:pt idx="1849" formatCode="0.000">
                  <c:v>61.659473684210539</c:v>
                </c:pt>
                <c:pt idx="1850" formatCode="0.000">
                  <c:v>61.73368421052632</c:v>
                </c:pt>
                <c:pt idx="1851" formatCode="0.000">
                  <c:v>61.755263157894746</c:v>
                </c:pt>
                <c:pt idx="1852" formatCode="0.000">
                  <c:v>61.763684210526314</c:v>
                </c:pt>
                <c:pt idx="1853" formatCode="0.000">
                  <c:v>61.764736842105265</c:v>
                </c:pt>
                <c:pt idx="1854" formatCode="0.000">
                  <c:v>61.835263157894744</c:v>
                </c:pt>
                <c:pt idx="1855" formatCode="0.000">
                  <c:v>61.915789473684214</c:v>
                </c:pt>
                <c:pt idx="1856" formatCode="0.000">
                  <c:v>61.985789473684214</c:v>
                </c:pt>
                <c:pt idx="1857" formatCode="0.000">
                  <c:v>62.151578947368428</c:v>
                </c:pt>
                <c:pt idx="1858" formatCode="0.000">
                  <c:v>62.283684210526324</c:v>
                </c:pt>
                <c:pt idx="1859" formatCode="0.000">
                  <c:v>62.464210526315789</c:v>
                </c:pt>
                <c:pt idx="1860" formatCode="0.000">
                  <c:v>62.581052631578949</c:v>
                </c:pt>
                <c:pt idx="1861" formatCode="0.000">
                  <c:v>62.677368421052613</c:v>
                </c:pt>
                <c:pt idx="1862" formatCode="0.000">
                  <c:v>62.695789473684201</c:v>
                </c:pt>
                <c:pt idx="1863" formatCode="0.000">
                  <c:v>62.668421052631558</c:v>
                </c:pt>
                <c:pt idx="1864" formatCode="0.000">
                  <c:v>62.592105263157869</c:v>
                </c:pt>
                <c:pt idx="1865" formatCode="0.000">
                  <c:v>62.554210526315778</c:v>
                </c:pt>
                <c:pt idx="1866" formatCode="0.000">
                  <c:v>62.603157894736846</c:v>
                </c:pt>
                <c:pt idx="1867" formatCode="0.000">
                  <c:v>62.617894736842103</c:v>
                </c:pt>
                <c:pt idx="1868" formatCode="0.000">
                  <c:v>62.67842105263157</c:v>
                </c:pt>
                <c:pt idx="1869" formatCode="0.000">
                  <c:v>62.667368421052636</c:v>
                </c:pt>
                <c:pt idx="1870" formatCode="0.000">
                  <c:v>62.73263157894737</c:v>
                </c:pt>
                <c:pt idx="1871" formatCode="0.000">
                  <c:v>62.744736842105269</c:v>
                </c:pt>
                <c:pt idx="1872" formatCode="0.000">
                  <c:v>62.797894736842125</c:v>
                </c:pt>
                <c:pt idx="1873" formatCode="0.000">
                  <c:v>62.82578947368421</c:v>
                </c:pt>
                <c:pt idx="1874" formatCode="0.000">
                  <c:v>62.848947368421058</c:v>
                </c:pt>
                <c:pt idx="1875" formatCode="0.000">
                  <c:v>62.864736842105266</c:v>
                </c:pt>
                <c:pt idx="1876" formatCode="0.000">
                  <c:v>62.9</c:v>
                </c:pt>
                <c:pt idx="1877" formatCode="0.000">
                  <c:v>62.977368421052617</c:v>
                </c:pt>
                <c:pt idx="1878" formatCode="0.000">
                  <c:v>63.015263157894736</c:v>
                </c:pt>
                <c:pt idx="1879" formatCode="0.000">
                  <c:v>63.123157894736835</c:v>
                </c:pt>
                <c:pt idx="1880" formatCode="0.000">
                  <c:v>63.226842105263152</c:v>
                </c:pt>
                <c:pt idx="1881" formatCode="0.000">
                  <c:v>63.412631578947362</c:v>
                </c:pt>
                <c:pt idx="1882" formatCode="0.000">
                  <c:v>63.597894736842086</c:v>
                </c:pt>
                <c:pt idx="1883" formatCode="0.000">
                  <c:v>63.788947368421056</c:v>
                </c:pt>
                <c:pt idx="1884" formatCode="0.000">
                  <c:v>63.945789473684215</c:v>
                </c:pt>
                <c:pt idx="1885" formatCode="0.000">
                  <c:v>63.997894736842106</c:v>
                </c:pt>
                <c:pt idx="1886" formatCode="0.000">
                  <c:v>64.06421052631579</c:v>
                </c:pt>
                <c:pt idx="1887" formatCode="0.000">
                  <c:v>64.08</c:v>
                </c:pt>
                <c:pt idx="1888" formatCode="0.000">
                  <c:v>64.106315789473683</c:v>
                </c:pt>
                <c:pt idx="1889" formatCode="0.000">
                  <c:v>64.032105263157888</c:v>
                </c:pt>
                <c:pt idx="1890" formatCode="0.000">
                  <c:v>63.984210526315778</c:v>
                </c:pt>
                <c:pt idx="1891" formatCode="0.000">
                  <c:v>63.891052631578951</c:v>
                </c:pt>
                <c:pt idx="1892" formatCode="0.000">
                  <c:v>63.787894736842105</c:v>
                </c:pt>
                <c:pt idx="1893" formatCode="0.000">
                  <c:v>63.715263157894746</c:v>
                </c:pt>
                <c:pt idx="1894" formatCode="0.000">
                  <c:v>63.619473684210526</c:v>
                </c:pt>
                <c:pt idx="1895" formatCode="0.000">
                  <c:v>63.521052631578961</c:v>
                </c:pt>
                <c:pt idx="1896" formatCode="0.000">
                  <c:v>63.450526315789482</c:v>
                </c:pt>
                <c:pt idx="1897" formatCode="0.000">
                  <c:v>63.392631578947359</c:v>
                </c:pt>
                <c:pt idx="1898" formatCode="0.000">
                  <c:v>63.319999999999986</c:v>
                </c:pt>
                <c:pt idx="1899" formatCode="0.000">
                  <c:v>63.214736842105246</c:v>
                </c:pt>
                <c:pt idx="1900" formatCode="0.000">
                  <c:v>62.974736842105266</c:v>
                </c:pt>
                <c:pt idx="1901" formatCode="0.000">
                  <c:v>62.759473684210526</c:v>
                </c:pt>
                <c:pt idx="1902" formatCode="0.000">
                  <c:v>62.46</c:v>
                </c:pt>
                <c:pt idx="1903" formatCode="0.000">
                  <c:v>62.163684210526313</c:v>
                </c:pt>
                <c:pt idx="1904" formatCode="0.000">
                  <c:v>61.942105263157885</c:v>
                </c:pt>
                <c:pt idx="1905" formatCode="0.000">
                  <c:v>61.712105263157895</c:v>
                </c:pt>
                <c:pt idx="1906" formatCode="0.000">
                  <c:v>61.451052631578953</c:v>
                </c:pt>
                <c:pt idx="1907" formatCode="0.000">
                  <c:v>61.166315789473686</c:v>
                </c:pt>
                <c:pt idx="1908" formatCode="0.000">
                  <c:v>60.928947368421042</c:v>
                </c:pt>
                <c:pt idx="1909" formatCode="0.000">
                  <c:v>60.673157894736825</c:v>
                </c:pt>
                <c:pt idx="1910" formatCode="0.000">
                  <c:v>60.369473684210512</c:v>
                </c:pt>
                <c:pt idx="1911" formatCode="0.000">
                  <c:v>60.120526315789469</c:v>
                </c:pt>
                <c:pt idx="1912" formatCode="0.000">
                  <c:v>59.834736842105258</c:v>
                </c:pt>
                <c:pt idx="1913" formatCode="0.000">
                  <c:v>59.564736842105262</c:v>
                </c:pt>
                <c:pt idx="1914" formatCode="0.000">
                  <c:v>59.326315789473696</c:v>
                </c:pt>
                <c:pt idx="1915" formatCode="0.000">
                  <c:v>59.03526315789474</c:v>
                </c:pt>
                <c:pt idx="1916" formatCode="0.000">
                  <c:v>58.725789473684223</c:v>
                </c:pt>
                <c:pt idx="1917" formatCode="0.000">
                  <c:v>58.342105263157897</c:v>
                </c:pt>
                <c:pt idx="1918" formatCode="0.000">
                  <c:v>57.921578947368424</c:v>
                </c:pt>
                <c:pt idx="1919" formatCode="0.000">
                  <c:v>57.601578947368424</c:v>
                </c:pt>
                <c:pt idx="1920" formatCode="0.000">
                  <c:v>57.269473684210531</c:v>
                </c:pt>
                <c:pt idx="1921" formatCode="0.000">
                  <c:v>57.038421052631577</c:v>
                </c:pt>
                <c:pt idx="1922" formatCode="0.000">
                  <c:v>56.845263157894735</c:v>
                </c:pt>
                <c:pt idx="1923" formatCode="0.000">
                  <c:v>56.581578947368421</c:v>
                </c:pt>
                <c:pt idx="1924" formatCode="0.000">
                  <c:v>56.359999999999992</c:v>
                </c:pt>
                <c:pt idx="1925" formatCode="0.000">
                  <c:v>56.204210526315784</c:v>
                </c:pt>
                <c:pt idx="1926" formatCode="0.000">
                  <c:v>56.030526315789473</c:v>
                </c:pt>
                <c:pt idx="1927" formatCode="0.000">
                  <c:v>55.845263157894735</c:v>
                </c:pt>
                <c:pt idx="1928" formatCode="0.000">
                  <c:v>55.744736842105269</c:v>
                </c:pt>
                <c:pt idx="1929" formatCode="0.000">
                  <c:v>55.807368421052637</c:v>
                </c:pt>
                <c:pt idx="1930" formatCode="0.000">
                  <c:v>55.911052631578954</c:v>
                </c:pt>
                <c:pt idx="1931" formatCode="0.000">
                  <c:v>56.059473684210545</c:v>
                </c:pt>
                <c:pt idx="1932" formatCode="0.000">
                  <c:v>56.244210526315804</c:v>
                </c:pt>
                <c:pt idx="1933" formatCode="0.000">
                  <c:v>56.460526315789487</c:v>
                </c:pt>
                <c:pt idx="1934" formatCode="0.000">
                  <c:v>56.622105263157906</c:v>
                </c:pt>
                <c:pt idx="1935" formatCode="0.000">
                  <c:v>56.801052631578962</c:v>
                </c:pt>
                <c:pt idx="1936" formatCode="0.000">
                  <c:v>57</c:v>
                </c:pt>
                <c:pt idx="1937" formatCode="0.000">
                  <c:v>57.224736842105266</c:v>
                </c:pt>
                <c:pt idx="1938" formatCode="0.000">
                  <c:v>57.48105263157894</c:v>
                </c:pt>
                <c:pt idx="1939" formatCode="0.000">
                  <c:v>57.744736842105254</c:v>
                </c:pt>
                <c:pt idx="1940" formatCode="0.000">
                  <c:v>57.979473684210518</c:v>
                </c:pt>
                <c:pt idx="1941" formatCode="0.000">
                  <c:v>58.132105263157882</c:v>
                </c:pt>
                <c:pt idx="1942" formatCode="0.000">
                  <c:v>58.44263157894737</c:v>
                </c:pt>
                <c:pt idx="1943" formatCode="0.000">
                  <c:v>58.738947368421051</c:v>
                </c:pt>
                <c:pt idx="1944" formatCode="0.000">
                  <c:v>58.96473684210526</c:v>
                </c:pt>
                <c:pt idx="1945" formatCode="0.000">
                  <c:v>59.210526315789473</c:v>
                </c:pt>
                <c:pt idx="1946" formatCode="0.000">
                  <c:v>59.496842105263163</c:v>
                </c:pt>
                <c:pt idx="1947" formatCode="0.000">
                  <c:v>59.74684210526317</c:v>
                </c:pt>
                <c:pt idx="1948" formatCode="0.000">
                  <c:v>59.934736842105274</c:v>
                </c:pt>
                <c:pt idx="1949" formatCode="0.000">
                  <c:v>60.09947368421053</c:v>
                </c:pt>
                <c:pt idx="1950" formatCode="0.000">
                  <c:v>60.255263157894731</c:v>
                </c:pt>
                <c:pt idx="1951" formatCode="0.000">
                  <c:v>60.418421052631594</c:v>
                </c:pt>
                <c:pt idx="1952" formatCode="0.000">
                  <c:v>60.520000000000017</c:v>
                </c:pt>
                <c:pt idx="1953" formatCode="0.000">
                  <c:v>60.670000000000016</c:v>
                </c:pt>
                <c:pt idx="1954" formatCode="0.000">
                  <c:v>60.819473684210536</c:v>
                </c:pt>
                <c:pt idx="1955" formatCode="0.000">
                  <c:v>61.072105263157901</c:v>
                </c:pt>
                <c:pt idx="1956" formatCode="0.000">
                  <c:v>61.335789473684216</c:v>
                </c:pt>
                <c:pt idx="1957" formatCode="0.000">
                  <c:v>61.603684210526303</c:v>
                </c:pt>
                <c:pt idx="1958" formatCode="0.000">
                  <c:v>61.813157894736847</c:v>
                </c:pt>
                <c:pt idx="1959" formatCode="0.000">
                  <c:v>62.015263157894744</c:v>
                </c:pt>
                <c:pt idx="1960" formatCode="0.000">
                  <c:v>62.26631578947368</c:v>
                </c:pt>
                <c:pt idx="1961" formatCode="0.000">
                  <c:v>62.420526315789473</c:v>
                </c:pt>
                <c:pt idx="1962" formatCode="0.000">
                  <c:v>62.516315789473694</c:v>
                </c:pt>
                <c:pt idx="1963" formatCode="0.000">
                  <c:v>62.686842105263167</c:v>
                </c:pt>
                <c:pt idx="1964" formatCode="0.000">
                  <c:v>62.863684210526323</c:v>
                </c:pt>
                <c:pt idx="1965" formatCode="0.000">
                  <c:v>63.046315789473681</c:v>
                </c:pt>
                <c:pt idx="1966" formatCode="0.000">
                  <c:v>63.172631578947353</c:v>
                </c:pt>
                <c:pt idx="1967" formatCode="0.000">
                  <c:v>63.257368421052625</c:v>
                </c:pt>
                <c:pt idx="1968" formatCode="0.000">
                  <c:v>63.297368421052624</c:v>
                </c:pt>
                <c:pt idx="1969" formatCode="0.000">
                  <c:v>63.320526315789472</c:v>
                </c:pt>
                <c:pt idx="1970" formatCode="0.000">
                  <c:v>63.382105263157897</c:v>
                </c:pt>
                <c:pt idx="1971" formatCode="0.000">
                  <c:v>63.416315789473686</c:v>
                </c:pt>
                <c:pt idx="1972" formatCode="0.000">
                  <c:v>63.475263157894737</c:v>
                </c:pt>
                <c:pt idx="1973" formatCode="0.000">
                  <c:v>63.566315789473684</c:v>
                </c:pt>
                <c:pt idx="1974" formatCode="0.000">
                  <c:v>63.56421052631579</c:v>
                </c:pt>
                <c:pt idx="1975" formatCode="0.000">
                  <c:v>63.572631578947373</c:v>
                </c:pt>
                <c:pt idx="1976" formatCode="0.000">
                  <c:v>63.533684210526324</c:v>
                </c:pt>
                <c:pt idx="1977" formatCode="0.000">
                  <c:v>63.506315789473689</c:v>
                </c:pt>
                <c:pt idx="1978" formatCode="0.000">
                  <c:v>63.478947368421061</c:v>
                </c:pt>
                <c:pt idx="1979" formatCode="0.000">
                  <c:v>63.408421052631589</c:v>
                </c:pt>
                <c:pt idx="1980" formatCode="0.000">
                  <c:v>63.386842105263177</c:v>
                </c:pt>
                <c:pt idx="1981" formatCode="0.000">
                  <c:v>63.358947368421063</c:v>
                </c:pt>
                <c:pt idx="1982" formatCode="0.000">
                  <c:v>63.262105263157906</c:v>
                </c:pt>
                <c:pt idx="1983" formatCode="0.000">
                  <c:v>63.157894736842117</c:v>
                </c:pt>
                <c:pt idx="1984" formatCode="0.000">
                  <c:v>63.011578947368434</c:v>
                </c:pt>
                <c:pt idx="1985" formatCode="0.000">
                  <c:v>62.923157894736853</c:v>
                </c:pt>
                <c:pt idx="1986" formatCode="0.000">
                  <c:v>62.86684210526316</c:v>
                </c:pt>
                <c:pt idx="1987" formatCode="0.000">
                  <c:v>62.707368421052635</c:v>
                </c:pt>
                <c:pt idx="1988" formatCode="0.000">
                  <c:v>62.545789473684202</c:v>
                </c:pt>
                <c:pt idx="1989" formatCode="0.000">
                  <c:v>62.349999999999994</c:v>
                </c:pt>
                <c:pt idx="1990" formatCode="0.000">
                  <c:v>62.186315789473682</c:v>
                </c:pt>
                <c:pt idx="1991" formatCode="0.000">
                  <c:v>62.014210526315779</c:v>
                </c:pt>
                <c:pt idx="1992" formatCode="0.000">
                  <c:v>61.841578947368419</c:v>
                </c:pt>
                <c:pt idx="1993" formatCode="0.000">
                  <c:v>61.696315789473687</c:v>
                </c:pt>
                <c:pt idx="1994" formatCode="0.000">
                  <c:v>61.514210526315779</c:v>
                </c:pt>
                <c:pt idx="1995" formatCode="0.000">
                  <c:v>61.357894736842105</c:v>
                </c:pt>
                <c:pt idx="1996" formatCode="0.000">
                  <c:v>61.27210526315789</c:v>
                </c:pt>
                <c:pt idx="1997" formatCode="0.000">
                  <c:v>61.188421052631575</c:v>
                </c:pt>
                <c:pt idx="1998" formatCode="0.000">
                  <c:v>61.087368421052624</c:v>
                </c:pt>
                <c:pt idx="1999" formatCode="0.000">
                  <c:v>60.89947368421052</c:v>
                </c:pt>
                <c:pt idx="2000" formatCode="0.000">
                  <c:v>60.771052631578954</c:v>
                </c:pt>
                <c:pt idx="2001" formatCode="0.000">
                  <c:v>60.662631578947376</c:v>
                </c:pt>
                <c:pt idx="2002" formatCode="0.000">
                  <c:v>60.542105263157907</c:v>
                </c:pt>
                <c:pt idx="2003" formatCode="0.000">
                  <c:v>60.458421052631579</c:v>
                </c:pt>
                <c:pt idx="2004" formatCode="0.000">
                  <c:v>60.363157894736837</c:v>
                </c:pt>
                <c:pt idx="2005" formatCode="0.000">
                  <c:v>60.306315789473679</c:v>
                </c:pt>
                <c:pt idx="2006" formatCode="0.000">
                  <c:v>60.294736842105259</c:v>
                </c:pt>
                <c:pt idx="2007" formatCode="0.000">
                  <c:v>60.287894736842098</c:v>
                </c:pt>
                <c:pt idx="2008" formatCode="0.000">
                  <c:v>60.242631578947361</c:v>
                </c:pt>
                <c:pt idx="2009" formatCode="0.000">
                  <c:v>60.236842105263158</c:v>
                </c:pt>
                <c:pt idx="2010" formatCode="0.000">
                  <c:v>60.19736842105263</c:v>
                </c:pt>
                <c:pt idx="2011" formatCode="0.000">
                  <c:v>60.14736842105264</c:v>
                </c:pt>
                <c:pt idx="2012" formatCode="0.000">
                  <c:v>60.109473684210521</c:v>
                </c:pt>
                <c:pt idx="2013" formatCode="0.000">
                  <c:v>60.075263157894739</c:v>
                </c:pt>
                <c:pt idx="2014" formatCode="0.000">
                  <c:v>60.032105263157902</c:v>
                </c:pt>
                <c:pt idx="2015" formatCode="0.000">
                  <c:v>59.936842105263167</c:v>
                </c:pt>
                <c:pt idx="2016" formatCode="0.000">
                  <c:v>59.806842105263165</c:v>
                </c:pt>
                <c:pt idx="2017" formatCode="0.000">
                  <c:v>59.777368421052643</c:v>
                </c:pt>
                <c:pt idx="2018" formatCode="0.000">
                  <c:v>59.756842105263161</c:v>
                </c:pt>
                <c:pt idx="2019" formatCode="0.000">
                  <c:v>59.766842105263166</c:v>
                </c:pt>
                <c:pt idx="2020" formatCode="0.000">
                  <c:v>59.763684210526314</c:v>
                </c:pt>
                <c:pt idx="2021" formatCode="0.000">
                  <c:v>59.78052631578948</c:v>
                </c:pt>
                <c:pt idx="2022" formatCode="0.000">
                  <c:v>59.772105263157911</c:v>
                </c:pt>
                <c:pt idx="2023" formatCode="0.000">
                  <c:v>59.750526315789472</c:v>
                </c:pt>
                <c:pt idx="2024" formatCode="0.000">
                  <c:v>59.708947368421057</c:v>
                </c:pt>
                <c:pt idx="2025" formatCode="0.000">
                  <c:v>59.732105263157912</c:v>
                </c:pt>
                <c:pt idx="2026" formatCode="0.000">
                  <c:v>59.776315789473685</c:v>
                </c:pt>
                <c:pt idx="2027" formatCode="0.000">
                  <c:v>59.83315789473685</c:v>
                </c:pt>
                <c:pt idx="2028" formatCode="0.000">
                  <c:v>59.827894736842104</c:v>
                </c:pt>
                <c:pt idx="2029" formatCode="0.000">
                  <c:v>59.87</c:v>
                </c:pt>
                <c:pt idx="2030" formatCode="0.000">
                  <c:v>59.8878947368421</c:v>
                </c:pt>
                <c:pt idx="2031" formatCode="0.000">
                  <c:v>59.885789473684206</c:v>
                </c:pt>
                <c:pt idx="2032" formatCode="0.000">
                  <c:v>59.890000000000008</c:v>
                </c:pt>
                <c:pt idx="2033" formatCode="0.000">
                  <c:v>59.946842105263158</c:v>
                </c:pt>
                <c:pt idx="2034" formatCode="0.000">
                  <c:v>60.043684210526301</c:v>
                </c:pt>
                <c:pt idx="2035" formatCode="0.000">
                  <c:v>60.17842105263157</c:v>
                </c:pt>
                <c:pt idx="2036" formatCode="0.000">
                  <c:v>60.291052631578935</c:v>
                </c:pt>
                <c:pt idx="2037" formatCode="0.000">
                  <c:v>60.417894736842094</c:v>
                </c:pt>
                <c:pt idx="2038" formatCode="0.000">
                  <c:v>60.505789473684196</c:v>
                </c:pt>
                <c:pt idx="2039" formatCode="0.000">
                  <c:v>60.631578947368418</c:v>
                </c:pt>
                <c:pt idx="2040" formatCode="0.000">
                  <c:v>60.745789473684212</c:v>
                </c:pt>
                <c:pt idx="2041" formatCode="0.000">
                  <c:v>60.921578947368424</c:v>
                </c:pt>
                <c:pt idx="2042" formatCode="0.000">
                  <c:v>61.112631578947365</c:v>
                </c:pt>
                <c:pt idx="2043" formatCode="0.000">
                  <c:v>61.264210526315786</c:v>
                </c:pt>
                <c:pt idx="2044" formatCode="0.000">
                  <c:v>61.398421052631576</c:v>
                </c:pt>
                <c:pt idx="2045" formatCode="0.000">
                  <c:v>61.51736842105263</c:v>
                </c:pt>
                <c:pt idx="2046" formatCode="0.000">
                  <c:v>61.667368421052636</c:v>
                </c:pt>
                <c:pt idx="2047" formatCode="0.000">
                  <c:v>61.826842105263161</c:v>
                </c:pt>
                <c:pt idx="2048" formatCode="0.000">
                  <c:v>61.977368421052638</c:v>
                </c:pt>
                <c:pt idx="2049" formatCode="0.000">
                  <c:v>62.147894736842105</c:v>
                </c:pt>
                <c:pt idx="2050" formatCode="0.000">
                  <c:v>62.338947368421046</c:v>
                </c:pt>
                <c:pt idx="2051" formatCode="0.000">
                  <c:v>62.551578947368434</c:v>
                </c:pt>
                <c:pt idx="2052" formatCode="0.000">
                  <c:v>62.71736842105264</c:v>
                </c:pt>
                <c:pt idx="2053" formatCode="0.000">
                  <c:v>62.854210526315775</c:v>
                </c:pt>
                <c:pt idx="2054" formatCode="0.000">
                  <c:v>62.982105263157898</c:v>
                </c:pt>
                <c:pt idx="2055" formatCode="0.000">
                  <c:v>63.071052631578929</c:v>
                </c:pt>
                <c:pt idx="2056" formatCode="0.000">
                  <c:v>63.167368421052636</c:v>
                </c:pt>
                <c:pt idx="2057" formatCode="0.000">
                  <c:v>63.278947368421065</c:v>
                </c:pt>
                <c:pt idx="2058" formatCode="0.000">
                  <c:v>63.378947368421052</c:v>
                </c:pt>
                <c:pt idx="2059" formatCode="0.000">
                  <c:v>63.473684210526301</c:v>
                </c:pt>
                <c:pt idx="2060" formatCode="0.000">
                  <c:v>63.518421052631574</c:v>
                </c:pt>
                <c:pt idx="2061" formatCode="0.000">
                  <c:v>63.564736842105262</c:v>
                </c:pt>
                <c:pt idx="2062" formatCode="0.000">
                  <c:v>63.634736842105262</c:v>
                </c:pt>
                <c:pt idx="2063" formatCode="0.000">
                  <c:v>63.705263157894727</c:v>
                </c:pt>
                <c:pt idx="2064" formatCode="0.000">
                  <c:v>63.742105263157889</c:v>
                </c:pt>
                <c:pt idx="2065" formatCode="0.000">
                  <c:v>63.760526315789477</c:v>
                </c:pt>
                <c:pt idx="2066" formatCode="0.000">
                  <c:v>63.803157894736827</c:v>
                </c:pt>
                <c:pt idx="2067" formatCode="0.000">
                  <c:v>63.837368421052624</c:v>
                </c:pt>
                <c:pt idx="2068" formatCode="0.000">
                  <c:v>63.85736842105262</c:v>
                </c:pt>
                <c:pt idx="2069" formatCode="0.000">
                  <c:v>63.833157894736836</c:v>
                </c:pt>
                <c:pt idx="2070" formatCode="0.000">
                  <c:v>63.790526315789485</c:v>
                </c:pt>
                <c:pt idx="2071" formatCode="0.000">
                  <c:v>63.724736842105266</c:v>
                </c:pt>
                <c:pt idx="2072" formatCode="0.000">
                  <c:v>63.665789473684207</c:v>
                </c:pt>
                <c:pt idx="2073" formatCode="0.000">
                  <c:v>63.542631578947365</c:v>
                </c:pt>
                <c:pt idx="2074" formatCode="0.000">
                  <c:v>63.429473684210528</c:v>
                </c:pt>
                <c:pt idx="2075" formatCode="0.000">
                  <c:v>63.282105263157902</c:v>
                </c:pt>
                <c:pt idx="2076" formatCode="0.000">
                  <c:v>63.085263157894758</c:v>
                </c:pt>
                <c:pt idx="2077" formatCode="0.000">
                  <c:v>62.872631578947363</c:v>
                </c:pt>
                <c:pt idx="2078" formatCode="0.000">
                  <c:v>62.65</c:v>
                </c:pt>
                <c:pt idx="2079" formatCode="0.000">
                  <c:v>62.440000000000005</c:v>
                </c:pt>
                <c:pt idx="2080" formatCode="0.000">
                  <c:v>62.244210526315797</c:v>
                </c:pt>
                <c:pt idx="2081" formatCode="0.000">
                  <c:v>62.093684210526312</c:v>
                </c:pt>
                <c:pt idx="2082" formatCode="0.000">
                  <c:v>61.926842105263155</c:v>
                </c:pt>
                <c:pt idx="2083" formatCode="0.000">
                  <c:v>61.764736842105251</c:v>
                </c:pt>
                <c:pt idx="2084" formatCode="0.000">
                  <c:v>61.592105263157883</c:v>
                </c:pt>
                <c:pt idx="2085" formatCode="0.000">
                  <c:v>61.408421052631567</c:v>
                </c:pt>
                <c:pt idx="2086" formatCode="0.000">
                  <c:v>61.216842105263154</c:v>
                </c:pt>
                <c:pt idx="2087" formatCode="0.000">
                  <c:v>61.020526315789468</c:v>
                </c:pt>
                <c:pt idx="2088" formatCode="0.000">
                  <c:v>60.874736842105257</c:v>
                </c:pt>
                <c:pt idx="2089" formatCode="0.000">
                  <c:v>60.754210526315788</c:v>
                </c:pt>
                <c:pt idx="2090" formatCode="0.000">
                  <c:v>60.67157894736841</c:v>
                </c:pt>
                <c:pt idx="2091" formatCode="0.000">
                  <c:v>60.610526315789478</c:v>
                </c:pt>
                <c:pt idx="2092" formatCode="0.000">
                  <c:v>60.597368421052636</c:v>
                </c:pt>
                <c:pt idx="2093" formatCode="0.000">
                  <c:v>60.598947368421072</c:v>
                </c:pt>
                <c:pt idx="2094" formatCode="0.000">
                  <c:v>60.650000000000006</c:v>
                </c:pt>
                <c:pt idx="2095" formatCode="0.000">
                  <c:v>60.691578947368427</c:v>
                </c:pt>
                <c:pt idx="2096" formatCode="0.000">
                  <c:v>60.742105263157903</c:v>
                </c:pt>
                <c:pt idx="2097" formatCode="0.000">
                  <c:v>60.811052631578953</c:v>
                </c:pt>
                <c:pt idx="2098" formatCode="0.000">
                  <c:v>60.856315789473669</c:v>
                </c:pt>
                <c:pt idx="2099" formatCode="0.000">
                  <c:v>60.857368421052627</c:v>
                </c:pt>
                <c:pt idx="2100" formatCode="0.000">
                  <c:v>60.807894736842115</c:v>
                </c:pt>
                <c:pt idx="2101" formatCode="0.000">
                  <c:v>60.798947368421054</c:v>
                </c:pt>
                <c:pt idx="2102" formatCode="0.000">
                  <c:v>60.836842105263166</c:v>
                </c:pt>
                <c:pt idx="2103" formatCode="0.000">
                  <c:v>60.854736842105261</c:v>
                </c:pt>
                <c:pt idx="2104" formatCode="0.000">
                  <c:v>60.822631578947373</c:v>
                </c:pt>
                <c:pt idx="2105" formatCode="0.000">
                  <c:v>60.76157894736842</c:v>
                </c:pt>
                <c:pt idx="2106" formatCode="0.000">
                  <c:v>60.725263157894737</c:v>
                </c:pt>
                <c:pt idx="2107" formatCode="0.000">
                  <c:v>60.693157894736835</c:v>
                </c:pt>
                <c:pt idx="2108" formatCode="0.000">
                  <c:v>60.666315789473678</c:v>
                </c:pt>
                <c:pt idx="2109" formatCode="0.000">
                  <c:v>60.648947368421048</c:v>
                </c:pt>
                <c:pt idx="2110" formatCode="0.000">
                  <c:v>60.603684210526318</c:v>
                </c:pt>
                <c:pt idx="2111" formatCode="0.000">
                  <c:v>60.567368421052628</c:v>
                </c:pt>
                <c:pt idx="2112" formatCode="0.000">
                  <c:v>60.578421052631576</c:v>
                </c:pt>
                <c:pt idx="2113" formatCode="0.000">
                  <c:v>60.606842105263169</c:v>
                </c:pt>
                <c:pt idx="2114" formatCode="0.000">
                  <c:v>60.672105263157917</c:v>
                </c:pt>
                <c:pt idx="2115" formatCode="0.000">
                  <c:v>60.737368421052643</c:v>
                </c:pt>
                <c:pt idx="2116" formatCode="0.000">
                  <c:v>60.798421052631582</c:v>
                </c:pt>
                <c:pt idx="2117" formatCode="0.000">
                  <c:v>60.931578947368415</c:v>
                </c:pt>
                <c:pt idx="2118" formatCode="0.000">
                  <c:v>61.058947368421045</c:v>
                </c:pt>
                <c:pt idx="2119" formatCode="0.000">
                  <c:v>61.177894736842113</c:v>
                </c:pt>
                <c:pt idx="2120" formatCode="0.000">
                  <c:v>61.248947368421057</c:v>
                </c:pt>
                <c:pt idx="2121" formatCode="0.000">
                  <c:v>61.287894736842105</c:v>
                </c:pt>
                <c:pt idx="2122" formatCode="0.000">
                  <c:v>61.361578947368429</c:v>
                </c:pt>
                <c:pt idx="2123" formatCode="0.000">
                  <c:v>61.460526315789487</c:v>
                </c:pt>
                <c:pt idx="2124" formatCode="0.000">
                  <c:v>61.534210526315796</c:v>
                </c:pt>
                <c:pt idx="2125" formatCode="0.000">
                  <c:v>61.622105263157891</c:v>
                </c:pt>
                <c:pt idx="2126" formatCode="0.000">
                  <c:v>61.678947368421056</c:v>
                </c:pt>
                <c:pt idx="2127" formatCode="0.000">
                  <c:v>61.71631578947369</c:v>
                </c:pt>
                <c:pt idx="2128" formatCode="0.000">
                  <c:v>61.71736842105264</c:v>
                </c:pt>
                <c:pt idx="2129" formatCode="0.000">
                  <c:v>61.7363157894737</c:v>
                </c:pt>
                <c:pt idx="2130" formatCode="0.000">
                  <c:v>61.752631578947387</c:v>
                </c:pt>
                <c:pt idx="2131" formatCode="0.000">
                  <c:v>61.691052631578955</c:v>
                </c:pt>
                <c:pt idx="2132" formatCode="0.000">
                  <c:v>61.590526315789475</c:v>
                </c:pt>
                <c:pt idx="2133" formatCode="0.000">
                  <c:v>61.494210526315783</c:v>
                </c:pt>
                <c:pt idx="2134" formatCode="0.000">
                  <c:v>61.414736842105242</c:v>
                </c:pt>
                <c:pt idx="2135" formatCode="0.000">
                  <c:v>61.31894736842105</c:v>
                </c:pt>
                <c:pt idx="2136" formatCode="0.000">
                  <c:v>61.161578947368419</c:v>
                </c:pt>
                <c:pt idx="2137" formatCode="0.000">
                  <c:v>61.047368421052639</c:v>
                </c:pt>
                <c:pt idx="2138" formatCode="0.000">
                  <c:v>60.922631578947367</c:v>
                </c:pt>
                <c:pt idx="2139" formatCode="0.000">
                  <c:v>60.841578947368419</c:v>
                </c:pt>
                <c:pt idx="2140" formatCode="0.000">
                  <c:v>60.777894736842107</c:v>
                </c:pt>
                <c:pt idx="2141" formatCode="0.000">
                  <c:v>60.701052631578946</c:v>
                </c:pt>
                <c:pt idx="2142" formatCode="0.000">
                  <c:v>60.639473684210529</c:v>
                </c:pt>
                <c:pt idx="2143" formatCode="0.000">
                  <c:v>60.593157894736841</c:v>
                </c:pt>
                <c:pt idx="2144" formatCode="0.000">
                  <c:v>60.494210526315783</c:v>
                </c:pt>
                <c:pt idx="2145" formatCode="0.000">
                  <c:v>60.383684210526305</c:v>
                </c:pt>
                <c:pt idx="2146" formatCode="0.000">
                  <c:v>60.263684210526314</c:v>
                </c:pt>
                <c:pt idx="2147" formatCode="0.000">
                  <c:v>60.127368421052637</c:v>
                </c:pt>
                <c:pt idx="2148" formatCode="0.000">
                  <c:v>59.97789473684211</c:v>
                </c:pt>
                <c:pt idx="2149" formatCode="0.000">
                  <c:v>59.872631578947377</c:v>
                </c:pt>
                <c:pt idx="2150" formatCode="0.000">
                  <c:v>59.758421052631583</c:v>
                </c:pt>
                <c:pt idx="2151" formatCode="0.000">
                  <c:v>59.651052631578956</c:v>
                </c:pt>
                <c:pt idx="2152" formatCode="0.000">
                  <c:v>59.537894736842119</c:v>
                </c:pt>
                <c:pt idx="2153" formatCode="0.000">
                  <c:v>59.379473684210538</c:v>
                </c:pt>
                <c:pt idx="2154" formatCode="0.000">
                  <c:v>59.267368421052637</c:v>
                </c:pt>
                <c:pt idx="2155" formatCode="0.000">
                  <c:v>59.168421052631579</c:v>
                </c:pt>
                <c:pt idx="2156" formatCode="0.000">
                  <c:v>59.072105263157901</c:v>
                </c:pt>
                <c:pt idx="2157" formatCode="0.000">
                  <c:v>58.936842105263153</c:v>
                </c:pt>
                <c:pt idx="2158" formatCode="0.000">
                  <c:v>58.789999999999985</c:v>
                </c:pt>
                <c:pt idx="2159" formatCode="0.000">
                  <c:v>58.60263157894736</c:v>
                </c:pt>
                <c:pt idx="2160" formatCode="0.000">
                  <c:v>58.393684210526303</c:v>
                </c:pt>
                <c:pt idx="2161" formatCode="0.000">
                  <c:v>58.155789473684216</c:v>
                </c:pt>
                <c:pt idx="2162" formatCode="0.000">
                  <c:v>57.944210526315771</c:v>
                </c:pt>
                <c:pt idx="2163" formatCode="0.000">
                  <c:v>57.768947368421045</c:v>
                </c:pt>
                <c:pt idx="2164" formatCode="0.000">
                  <c:v>57.593157894736841</c:v>
                </c:pt>
                <c:pt idx="2165" formatCode="0.000">
                  <c:v>57.387894736842114</c:v>
                </c:pt>
                <c:pt idx="2166" formatCode="0.000">
                  <c:v>57.214736842105275</c:v>
                </c:pt>
                <c:pt idx="2167" formatCode="0.000">
                  <c:v>56.901578947368442</c:v>
                </c:pt>
                <c:pt idx="2168" formatCode="0.000">
                  <c:v>56.59947368421053</c:v>
                </c:pt>
                <c:pt idx="2169" formatCode="0.000">
                  <c:v>56.31421052631579</c:v>
                </c:pt>
                <c:pt idx="2170" formatCode="0.000">
                  <c:v>56.082105263157892</c:v>
                </c:pt>
                <c:pt idx="2171" formatCode="0.000">
                  <c:v>55.832105263157892</c:v>
                </c:pt>
                <c:pt idx="2172" formatCode="0.000">
                  <c:v>55.562105263157896</c:v>
                </c:pt>
                <c:pt idx="2173" formatCode="0.000">
                  <c:v>55.277368421052628</c:v>
                </c:pt>
                <c:pt idx="2174" formatCode="0.000">
                  <c:v>55.027368421052628</c:v>
                </c:pt>
                <c:pt idx="2175" formatCode="0.000">
                  <c:v>54.797368421052624</c:v>
                </c:pt>
                <c:pt idx="2176" formatCode="0.000">
                  <c:v>54.613684210526323</c:v>
                </c:pt>
                <c:pt idx="2177" formatCode="0.000">
                  <c:v>54.44263157894737</c:v>
                </c:pt>
                <c:pt idx="2178" formatCode="0.000">
                  <c:v>54.314736842105262</c:v>
                </c:pt>
                <c:pt idx="2179" formatCode="0.000">
                  <c:v>54.185789473684224</c:v>
                </c:pt>
                <c:pt idx="2180" formatCode="0.000">
                  <c:v>54.169473684210537</c:v>
                </c:pt>
                <c:pt idx="2181" formatCode="0.000">
                  <c:v>54.18578947368421</c:v>
                </c:pt>
                <c:pt idx="2182" formatCode="0.000">
                  <c:v>54.175263157894747</c:v>
                </c:pt>
                <c:pt idx="2183" formatCode="0.000">
                  <c:v>54.162631578947362</c:v>
                </c:pt>
                <c:pt idx="2184" formatCode="0.000">
                  <c:v>54.229473684210532</c:v>
                </c:pt>
                <c:pt idx="2185" formatCode="0.000">
                  <c:v>54.305789473684207</c:v>
                </c:pt>
                <c:pt idx="2186" formatCode="0.000">
                  <c:v>54.519473684210531</c:v>
                </c:pt>
                <c:pt idx="2187" formatCode="0.000">
                  <c:v>54.727368421052631</c:v>
                </c:pt>
                <c:pt idx="2188" formatCode="0.000">
                  <c:v>54.930526315789464</c:v>
                </c:pt>
                <c:pt idx="2189" formatCode="0.000">
                  <c:v>55.08526315789473</c:v>
                </c:pt>
                <c:pt idx="2190" formatCode="0.000">
                  <c:v>55.267894736842102</c:v>
                </c:pt>
                <c:pt idx="2191" formatCode="0.000">
                  <c:v>55.493157894736839</c:v>
                </c:pt>
                <c:pt idx="2192" formatCode="0.000">
                  <c:v>55.691578947368427</c:v>
                </c:pt>
                <c:pt idx="2193" formatCode="0.000">
                  <c:v>55.864736842105266</c:v>
                </c:pt>
                <c:pt idx="2194" formatCode="0.000">
                  <c:v>56.015263157894744</c:v>
                </c:pt>
                <c:pt idx="2195" formatCode="0.000">
                  <c:v>56.175789473684205</c:v>
                </c:pt>
                <c:pt idx="2196" formatCode="0.000">
                  <c:v>56.326315789473689</c:v>
                </c:pt>
                <c:pt idx="2197" formatCode="0.000">
                  <c:v>56.462105263157895</c:v>
                </c:pt>
                <c:pt idx="2198" formatCode="0.000">
                  <c:v>56.629473684210531</c:v>
                </c:pt>
                <c:pt idx="2199" formatCode="0.000">
                  <c:v>56.722105263157893</c:v>
                </c:pt>
                <c:pt idx="2200" formatCode="0.000">
                  <c:v>56.822631578947373</c:v>
                </c:pt>
                <c:pt idx="2201" formatCode="0.000">
                  <c:v>56.961578947368423</c:v>
                </c:pt>
                <c:pt idx="2202" formatCode="0.000">
                  <c:v>57.136842105263156</c:v>
                </c:pt>
                <c:pt idx="2203" formatCode="0.000">
                  <c:v>57.258421052631569</c:v>
                </c:pt>
                <c:pt idx="2204" formatCode="0.000">
                  <c:v>57.368421052631568</c:v>
                </c:pt>
                <c:pt idx="2205" formatCode="0.000">
                  <c:v>57.462631578947367</c:v>
                </c:pt>
                <c:pt idx="2206" formatCode="0.000">
                  <c:v>57.533684210526324</c:v>
                </c:pt>
                <c:pt idx="2207" formatCode="0.000">
                  <c:v>57.633684210526326</c:v>
                </c:pt>
                <c:pt idx="2208" formatCode="0.000">
                  <c:v>57.717894736842112</c:v>
                </c:pt>
                <c:pt idx="2209" formatCode="0.000">
                  <c:v>57.795789473684216</c:v>
                </c:pt>
                <c:pt idx="2210" formatCode="0.000">
                  <c:v>57.875263157894743</c:v>
                </c:pt>
                <c:pt idx="2211" formatCode="0.000">
                  <c:v>57.984736842105264</c:v>
                </c:pt>
                <c:pt idx="2212" formatCode="0.000">
                  <c:v>58.084210526315793</c:v>
                </c:pt>
                <c:pt idx="2213" formatCode="0.000">
                  <c:v>58.195263157894736</c:v>
                </c:pt>
                <c:pt idx="2214" formatCode="0.000">
                  <c:v>58.317368421052642</c:v>
                </c:pt>
                <c:pt idx="2215" formatCode="0.000">
                  <c:v>58.460526315789473</c:v>
                </c:pt>
                <c:pt idx="2216" formatCode="0.000">
                  <c:v>58.559999999999995</c:v>
                </c:pt>
                <c:pt idx="2217" formatCode="0.000">
                  <c:v>58.63052631578946</c:v>
                </c:pt>
                <c:pt idx="2218" formatCode="0.000">
                  <c:v>58.715789473684204</c:v>
                </c:pt>
                <c:pt idx="2219" formatCode="0.000">
                  <c:v>58.757894736842097</c:v>
                </c:pt>
                <c:pt idx="2220" formatCode="0.000">
                  <c:v>58.715263157894718</c:v>
                </c:pt>
                <c:pt idx="2221" formatCode="0.000">
                  <c:v>58.684736842105252</c:v>
                </c:pt>
                <c:pt idx="2222" formatCode="0.000">
                  <c:v>58.677368421052627</c:v>
                </c:pt>
                <c:pt idx="2223" formatCode="0.000">
                  <c:v>58.676315789473676</c:v>
                </c:pt>
                <c:pt idx="2224" formatCode="0.000">
                  <c:v>58.701578947368432</c:v>
                </c:pt>
                <c:pt idx="2225" formatCode="0.000">
                  <c:v>58.717894736842112</c:v>
                </c:pt>
                <c:pt idx="2226" formatCode="0.000">
                  <c:v>58.733157894736856</c:v>
                </c:pt>
                <c:pt idx="2227" formatCode="0.000">
                  <c:v>58.798947368421068</c:v>
                </c:pt>
                <c:pt idx="2228" formatCode="0.000">
                  <c:v>58.867368421052646</c:v>
                </c:pt>
                <c:pt idx="2229" formatCode="0.000">
                  <c:v>58.928421052631585</c:v>
                </c:pt>
                <c:pt idx="2230" formatCode="0.000">
                  <c:v>58.977368421052638</c:v>
                </c:pt>
                <c:pt idx="2231" formatCode="0.000">
                  <c:v>59.056315789473693</c:v>
                </c:pt>
                <c:pt idx="2232" formatCode="0.000">
                  <c:v>59.106842105263155</c:v>
                </c:pt>
                <c:pt idx="2233" formatCode="0.000">
                  <c:v>59.147894736842112</c:v>
                </c:pt>
                <c:pt idx="2234" formatCode="0.000">
                  <c:v>59.141578947368423</c:v>
                </c:pt>
                <c:pt idx="2235" formatCode="0.000">
                  <c:v>59.212631578947381</c:v>
                </c:pt>
                <c:pt idx="2236" formatCode="0.000">
                  <c:v>59.285789473684211</c:v>
                </c:pt>
                <c:pt idx="2237" formatCode="0.000">
                  <c:v>59.336842105263152</c:v>
                </c:pt>
                <c:pt idx="2238" formatCode="0.000">
                  <c:v>59.406842105263159</c:v>
                </c:pt>
                <c:pt idx="2239" formatCode="0.000">
                  <c:v>59.523684210526319</c:v>
                </c:pt>
                <c:pt idx="2240" formatCode="0.000">
                  <c:v>59.606842105263148</c:v>
                </c:pt>
                <c:pt idx="2241" formatCode="0.000">
                  <c:v>59.687368421052632</c:v>
                </c:pt>
                <c:pt idx="2242" formatCode="0.000">
                  <c:v>59.705789473684213</c:v>
                </c:pt>
                <c:pt idx="2243" formatCode="0.000">
                  <c:v>59.729473684210532</c:v>
                </c:pt>
                <c:pt idx="2244" formatCode="0.000">
                  <c:v>59.762105263157899</c:v>
                </c:pt>
                <c:pt idx="2245" formatCode="0.000">
                  <c:v>59.804210526315785</c:v>
                </c:pt>
                <c:pt idx="2246" formatCode="0.000">
                  <c:v>59.808421052631587</c:v>
                </c:pt>
                <c:pt idx="2247" formatCode="0.000">
                  <c:v>59.783684210526324</c:v>
                </c:pt>
                <c:pt idx="2248" formatCode="0.000">
                  <c:v>59.847894736842115</c:v>
                </c:pt>
                <c:pt idx="2249" formatCode="0.000">
                  <c:v>59.893684210526317</c:v>
                </c:pt>
                <c:pt idx="2250" formatCode="0.000">
                  <c:v>59.889999999999993</c:v>
                </c:pt>
                <c:pt idx="2251" formatCode="0.000">
                  <c:v>59.886842105263156</c:v>
                </c:pt>
                <c:pt idx="2252" formatCode="0.000">
                  <c:v>59.8757894736842</c:v>
                </c:pt>
                <c:pt idx="2253" formatCode="0.000">
                  <c:v>59.876842105263151</c:v>
                </c:pt>
                <c:pt idx="2254" formatCode="0.000">
                  <c:v>59.833157894736829</c:v>
                </c:pt>
                <c:pt idx="2255" formatCode="0.000">
                  <c:v>59.817894736842113</c:v>
                </c:pt>
                <c:pt idx="2256" formatCode="0.000">
                  <c:v>59.784210526315796</c:v>
                </c:pt>
                <c:pt idx="2257" formatCode="0.000">
                  <c:v>59.73842105263158</c:v>
                </c:pt>
                <c:pt idx="2258" formatCode="0.000">
                  <c:v>59.715789473684218</c:v>
                </c:pt>
                <c:pt idx="2259" formatCode="0.000">
                  <c:v>59.706315789473685</c:v>
                </c:pt>
                <c:pt idx="2260" formatCode="0.000">
                  <c:v>59.751052631578958</c:v>
                </c:pt>
                <c:pt idx="2261" formatCode="0.000">
                  <c:v>59.873684210526321</c:v>
                </c:pt>
                <c:pt idx="2262" formatCode="0.000">
                  <c:v>59.978421052631589</c:v>
                </c:pt>
                <c:pt idx="2263" formatCode="0.000">
                  <c:v>60.074736842105267</c:v>
                </c:pt>
                <c:pt idx="2264" formatCode="0.000">
                  <c:v>60.126315789473686</c:v>
                </c:pt>
                <c:pt idx="2265" formatCode="0.000">
                  <c:v>60.14947368421052</c:v>
                </c:pt>
                <c:pt idx="2266" formatCode="0.000">
                  <c:v>60.19736842105263</c:v>
                </c:pt>
                <c:pt idx="2267" formatCode="0.000">
                  <c:v>60.146842105263168</c:v>
                </c:pt>
                <c:pt idx="2268" formatCode="0.000">
                  <c:v>60.093684210526327</c:v>
                </c:pt>
                <c:pt idx="2269" formatCode="0.000">
                  <c:v>60.081578947368428</c:v>
                </c:pt>
                <c:pt idx="2270" formatCode="0.000">
                  <c:v>60.059473684210531</c:v>
                </c:pt>
                <c:pt idx="2271" formatCode="0.000">
                  <c:v>60.036315789473676</c:v>
                </c:pt>
                <c:pt idx="2272" formatCode="0.000">
                  <c:v>60.015789473684208</c:v>
                </c:pt>
                <c:pt idx="2273" formatCode="0.000">
                  <c:v>60.013684210526314</c:v>
                </c:pt>
                <c:pt idx="2274" formatCode="0.000">
                  <c:v>60.042105263157893</c:v>
                </c:pt>
                <c:pt idx="2275" formatCode="0.000">
                  <c:v>60.10263157894736</c:v>
                </c:pt>
                <c:pt idx="2276" formatCode="0.000">
                  <c:v>60.198947368421038</c:v>
                </c:pt>
                <c:pt idx="2277" formatCode="0.000">
                  <c:v>60.256842105263154</c:v>
                </c:pt>
                <c:pt idx="2278" formatCode="0.000">
                  <c:v>60.28263157894736</c:v>
                </c:pt>
                <c:pt idx="2279" formatCode="0.000">
                  <c:v>60.25263157894738</c:v>
                </c:pt>
                <c:pt idx="2280" formatCode="0.000">
                  <c:v>60.199473684210538</c:v>
                </c:pt>
                <c:pt idx="2281" formatCode="0.000">
                  <c:v>60.17842105263157</c:v>
                </c:pt>
                <c:pt idx="2282" formatCode="0.000">
                  <c:v>60.140000000000008</c:v>
                </c:pt>
                <c:pt idx="2283" formatCode="0.000">
                  <c:v>60.12842105263158</c:v>
                </c:pt>
                <c:pt idx="2284" formatCode="0.000">
                  <c:v>60.131578947368418</c:v>
                </c:pt>
                <c:pt idx="2285" formatCode="0.000">
                  <c:v>60.138947368421057</c:v>
                </c:pt>
                <c:pt idx="2286" formatCode="0.000">
                  <c:v>60.192105263157899</c:v>
                </c:pt>
                <c:pt idx="2287" formatCode="0.000">
                  <c:v>60.278947368421065</c:v>
                </c:pt>
                <c:pt idx="2288" formatCode="0.000">
                  <c:v>60.324736842105267</c:v>
                </c:pt>
                <c:pt idx="2289" formatCode="0.000">
                  <c:v>60.357894736842113</c:v>
                </c:pt>
                <c:pt idx="2290" formatCode="0.000">
                  <c:v>60.372631578947363</c:v>
                </c:pt>
                <c:pt idx="2291" formatCode="0.000">
                  <c:v>60.365263157894731</c:v>
                </c:pt>
                <c:pt idx="2292" formatCode="0.000">
                  <c:v>60.364736842105252</c:v>
                </c:pt>
                <c:pt idx="2293" formatCode="0.000">
                  <c:v>60.313684210526304</c:v>
                </c:pt>
                <c:pt idx="2294" formatCode="0.000">
                  <c:v>60.272631578947362</c:v>
                </c:pt>
                <c:pt idx="2295" formatCode="0.000">
                  <c:v>60.156842105263159</c:v>
                </c:pt>
                <c:pt idx="2296" formatCode="0.000">
                  <c:v>60.08052631578947</c:v>
                </c:pt>
                <c:pt idx="2297" formatCode="0.000">
                  <c:v>59.996315789473677</c:v>
                </c:pt>
                <c:pt idx="2298" formatCode="0.000">
                  <c:v>59.891578947368423</c:v>
                </c:pt>
                <c:pt idx="2299" formatCode="0.000">
                  <c:v>59.777368421052628</c:v>
                </c:pt>
                <c:pt idx="2300" formatCode="0.000">
                  <c:v>59.659473684210511</c:v>
                </c:pt>
                <c:pt idx="2301" formatCode="0.000">
                  <c:v>59.577368421052618</c:v>
                </c:pt>
                <c:pt idx="2302" formatCode="0.000">
                  <c:v>59.560526315789481</c:v>
                </c:pt>
                <c:pt idx="2303" formatCode="0.000">
                  <c:v>59.568421052631564</c:v>
                </c:pt>
                <c:pt idx="2304" formatCode="0.000">
                  <c:v>59.573684210526309</c:v>
                </c:pt>
                <c:pt idx="2305" formatCode="0.000">
                  <c:v>59.601052631578938</c:v>
                </c:pt>
                <c:pt idx="2306" formatCode="0.000">
                  <c:v>59.63052631578946</c:v>
                </c:pt>
                <c:pt idx="2307" formatCode="0.000">
                  <c:v>59.686315789473667</c:v>
                </c:pt>
                <c:pt idx="2308" formatCode="0.000">
                  <c:v>59.78578947368419</c:v>
                </c:pt>
                <c:pt idx="2309" formatCode="0.000">
                  <c:v>59.8878947368421</c:v>
                </c:pt>
                <c:pt idx="2310" formatCode="0.000">
                  <c:v>60.026315789473685</c:v>
                </c:pt>
                <c:pt idx="2311" formatCode="0.000">
                  <c:v>60.156842105263145</c:v>
                </c:pt>
                <c:pt idx="2312" formatCode="0.000">
                  <c:v>60.309473684210523</c:v>
                </c:pt>
                <c:pt idx="2313" formatCode="0.000">
                  <c:v>60.447894736842095</c:v>
                </c:pt>
                <c:pt idx="2314" formatCode="0.000">
                  <c:v>60.642631578947359</c:v>
                </c:pt>
                <c:pt idx="2315" formatCode="0.000">
                  <c:v>60.842631578947341</c:v>
                </c:pt>
                <c:pt idx="2316" formatCode="0.000">
                  <c:v>61.084736842105258</c:v>
                </c:pt>
                <c:pt idx="2317" formatCode="0.000">
                  <c:v>61.354210526315789</c:v>
                </c:pt>
                <c:pt idx="2318" formatCode="0.000">
                  <c:v>61.64473684210526</c:v>
                </c:pt>
                <c:pt idx="2319" formatCode="0.000">
                  <c:v>61.886315789473677</c:v>
                </c:pt>
                <c:pt idx="2320" formatCode="0.000">
                  <c:v>62.108421052631577</c:v>
                </c:pt>
                <c:pt idx="2321" formatCode="0.000">
                  <c:v>62.274210526315791</c:v>
                </c:pt>
                <c:pt idx="2322" formatCode="0.000">
                  <c:v>62.404736842105265</c:v>
                </c:pt>
                <c:pt idx="2323" formatCode="0.000">
                  <c:v>62.506315789473682</c:v>
                </c:pt>
                <c:pt idx="2324" formatCode="0.000">
                  <c:v>62.577894736842119</c:v>
                </c:pt>
                <c:pt idx="2325" formatCode="0.000">
                  <c:v>62.644210526315803</c:v>
                </c:pt>
                <c:pt idx="2326" formatCode="0.000">
                  <c:v>62.662631578947376</c:v>
                </c:pt>
                <c:pt idx="2327" formatCode="0.000">
                  <c:v>62.660526315789468</c:v>
                </c:pt>
                <c:pt idx="2328" formatCode="0.000">
                  <c:v>62.663157894736834</c:v>
                </c:pt>
                <c:pt idx="2329" formatCode="0.000">
                  <c:v>62.651052631578942</c:v>
                </c:pt>
                <c:pt idx="2330" formatCode="0.000">
                  <c:v>62.650000000000006</c:v>
                </c:pt>
                <c:pt idx="2331" formatCode="0.000">
                  <c:v>62.690000000000005</c:v>
                </c:pt>
                <c:pt idx="2332" formatCode="0.000">
                  <c:v>62.720526315789492</c:v>
                </c:pt>
                <c:pt idx="2333" formatCode="0.000">
                  <c:v>62.790000000000013</c:v>
                </c:pt>
                <c:pt idx="2334" formatCode="0.000">
                  <c:v>62.846315789473692</c:v>
                </c:pt>
                <c:pt idx="2335" formatCode="0.000">
                  <c:v>62.913157894736848</c:v>
                </c:pt>
                <c:pt idx="2336" formatCode="0.000">
                  <c:v>62.947368421052644</c:v>
                </c:pt>
                <c:pt idx="2337" formatCode="0.000">
                  <c:v>62.947894736842102</c:v>
                </c:pt>
                <c:pt idx="2338" formatCode="0.000">
                  <c:v>62.971578947368421</c:v>
                </c:pt>
                <c:pt idx="2339" formatCode="0.000">
                  <c:v>62.958421052631572</c:v>
                </c:pt>
                <c:pt idx="2340" formatCode="0.000">
                  <c:v>62.941052631578941</c:v>
                </c:pt>
                <c:pt idx="2341" formatCode="0.000">
                  <c:v>62.915789473684207</c:v>
                </c:pt>
                <c:pt idx="2342" formatCode="0.000">
                  <c:v>62.918421052631558</c:v>
                </c:pt>
                <c:pt idx="2343" formatCode="0.000">
                  <c:v>62.903684210526322</c:v>
                </c:pt>
                <c:pt idx="2344" formatCode="0.000">
                  <c:v>62.860526315789478</c:v>
                </c:pt>
                <c:pt idx="2345" formatCode="0.000">
                  <c:v>62.896315789473682</c:v>
                </c:pt>
                <c:pt idx="2346" formatCode="0.000">
                  <c:v>63</c:v>
                </c:pt>
                <c:pt idx="2347" formatCode="0.000">
                  <c:v>63.106315789473683</c:v>
                </c:pt>
                <c:pt idx="2348" formatCode="0.000">
                  <c:v>63.229999999999983</c:v>
                </c:pt>
                <c:pt idx="2349" formatCode="0.000">
                  <c:v>63.332105263157892</c:v>
                </c:pt>
                <c:pt idx="2350" formatCode="0.000">
                  <c:v>63.370000000000012</c:v>
                </c:pt>
                <c:pt idx="2351" formatCode="0.000">
                  <c:v>63.388421052631585</c:v>
                </c:pt>
                <c:pt idx="2352" formatCode="0.000">
                  <c:v>63.346842105263157</c:v>
                </c:pt>
                <c:pt idx="2353" formatCode="0.000">
                  <c:v>63.315789473684212</c:v>
                </c:pt>
                <c:pt idx="2354" formatCode="0.000">
                  <c:v>63.29526315789473</c:v>
                </c:pt>
                <c:pt idx="2355" formatCode="0.000">
                  <c:v>63.245263157894726</c:v>
                </c:pt>
                <c:pt idx="2356" formatCode="0.000">
                  <c:v>63.197894736842102</c:v>
                </c:pt>
                <c:pt idx="2357" formatCode="0.000">
                  <c:v>63.16</c:v>
                </c:pt>
                <c:pt idx="2358" formatCode="0.000">
                  <c:v>63.17157894736841</c:v>
                </c:pt>
                <c:pt idx="2359" formatCode="0.000">
                  <c:v>63.208947368421057</c:v>
                </c:pt>
                <c:pt idx="2360" formatCode="0.000">
                  <c:v>63.254210526315795</c:v>
                </c:pt>
                <c:pt idx="2361" formatCode="0.000">
                  <c:v>63.341052631578961</c:v>
                </c:pt>
                <c:pt idx="2362" formatCode="0.000">
                  <c:v>63.476842105263167</c:v>
                </c:pt>
                <c:pt idx="2363" formatCode="0.000">
                  <c:v>63.635263157894748</c:v>
                </c:pt>
                <c:pt idx="2364" formatCode="0.000">
                  <c:v>63.767894736842116</c:v>
                </c:pt>
                <c:pt idx="2365" formatCode="0.000">
                  <c:v>63.809999999999995</c:v>
                </c:pt>
                <c:pt idx="2366" formatCode="0.000">
                  <c:v>63.868947368421054</c:v>
                </c:pt>
                <c:pt idx="2367" formatCode="0.000">
                  <c:v>63.961578947368423</c:v>
                </c:pt>
                <c:pt idx="2368" formatCode="0.000">
                  <c:v>64.075263157894724</c:v>
                </c:pt>
                <c:pt idx="2369" formatCode="0.000">
                  <c:v>64.254210526315774</c:v>
                </c:pt>
                <c:pt idx="2370" formatCode="0.000">
                  <c:v>64.441052631578927</c:v>
                </c:pt>
                <c:pt idx="2371" formatCode="0.000">
                  <c:v>64.679473684210521</c:v>
                </c:pt>
                <c:pt idx="2372" formatCode="0.000">
                  <c:v>64.858947368421056</c:v>
                </c:pt>
                <c:pt idx="2373" formatCode="0.000">
                  <c:v>65.08</c:v>
                </c:pt>
                <c:pt idx="2374" formatCode="0.000">
                  <c:v>65.415263157894728</c:v>
                </c:pt>
                <c:pt idx="2375" formatCode="0.000">
                  <c:v>65.699999999999989</c:v>
                </c:pt>
                <c:pt idx="2376" formatCode="0.000">
                  <c:v>65.974736842105244</c:v>
                </c:pt>
                <c:pt idx="2377" formatCode="0.000">
                  <c:v>66.256842105263146</c:v>
                </c:pt>
                <c:pt idx="2378" formatCode="0.000">
                  <c:v>66.521578947368425</c:v>
                </c:pt>
                <c:pt idx="2379" formatCode="0.000">
                  <c:v>66.798947368421054</c:v>
                </c:pt>
                <c:pt idx="2380" formatCode="0.000">
                  <c:v>67.004210526315802</c:v>
                </c:pt>
                <c:pt idx="2381" formatCode="0.000">
                  <c:v>67.175263157894761</c:v>
                </c:pt>
                <c:pt idx="2382" formatCode="0.000">
                  <c:v>67.353684210526325</c:v>
                </c:pt>
                <c:pt idx="2383" formatCode="0.000">
                  <c:v>67.530526315789487</c:v>
                </c:pt>
                <c:pt idx="2384" formatCode="0.000">
                  <c:v>67.762631578947364</c:v>
                </c:pt>
                <c:pt idx="2385" formatCode="0.000">
                  <c:v>67.974210526315801</c:v>
                </c:pt>
                <c:pt idx="2386" formatCode="0.000">
                  <c:v>68.162105263157912</c:v>
                </c:pt>
                <c:pt idx="2387" formatCode="0.000">
                  <c:v>68.346315789473664</c:v>
                </c:pt>
                <c:pt idx="2388" formatCode="0.000">
                  <c:v>68.466315789473683</c:v>
                </c:pt>
                <c:pt idx="2389" formatCode="0.000">
                  <c:v>68.622105263157891</c:v>
                </c:pt>
                <c:pt idx="2390" formatCode="0.000">
                  <c:v>68.788421052631563</c:v>
                </c:pt>
                <c:pt idx="2391" formatCode="0.000">
                  <c:v>69.038947368421049</c:v>
                </c:pt>
                <c:pt idx="2392" formatCode="0.000">
                  <c:v>69.23842105263158</c:v>
                </c:pt>
                <c:pt idx="2393" formatCode="0.000">
                  <c:v>69.381578947368425</c:v>
                </c:pt>
                <c:pt idx="2394" formatCode="0.000">
                  <c:v>69.611578947368429</c:v>
                </c:pt>
                <c:pt idx="2395" formatCode="0.000">
                  <c:v>69.872631578947377</c:v>
                </c:pt>
                <c:pt idx="2396" formatCode="0.000">
                  <c:v>70.088421052631574</c:v>
                </c:pt>
                <c:pt idx="2397" formatCode="0.000">
                  <c:v>70.216842105263154</c:v>
                </c:pt>
                <c:pt idx="2398" formatCode="0.000">
                  <c:v>70.346315789473692</c:v>
                </c:pt>
                <c:pt idx="2399" formatCode="0.000">
                  <c:v>70.540000000000006</c:v>
                </c:pt>
                <c:pt idx="2400" formatCode="0.000">
                  <c:v>70.702631578947376</c:v>
                </c:pt>
                <c:pt idx="2401" formatCode="0.000">
                  <c:v>70.834210526315786</c:v>
                </c:pt>
                <c:pt idx="2402" formatCode="0.000">
                  <c:v>70.969999999999985</c:v>
                </c:pt>
                <c:pt idx="2403" formatCode="0.000">
                  <c:v>71.087368421052631</c:v>
                </c:pt>
                <c:pt idx="2404" formatCode="0.000">
                  <c:v>71.251578947368415</c:v>
                </c:pt>
                <c:pt idx="2405" formatCode="0.000">
                  <c:v>71.378947368421038</c:v>
                </c:pt>
                <c:pt idx="2406" formatCode="0.000">
                  <c:v>71.493684210526311</c:v>
                </c:pt>
                <c:pt idx="2407" formatCode="0.000">
                  <c:v>71.561578947368432</c:v>
                </c:pt>
                <c:pt idx="2408" formatCode="0.000">
                  <c:v>71.658947368421067</c:v>
                </c:pt>
                <c:pt idx="2409" formatCode="0.000">
                  <c:v>71.70578947368422</c:v>
                </c:pt>
                <c:pt idx="2410" formatCode="0.000">
                  <c:v>71.696842105263158</c:v>
                </c:pt>
                <c:pt idx="2411" formatCode="0.000">
                  <c:v>71.68105263157895</c:v>
                </c:pt>
                <c:pt idx="2412" formatCode="0.000">
                  <c:v>71.646842105263161</c:v>
                </c:pt>
                <c:pt idx="2413" formatCode="0.000">
                  <c:v>71.611052631578943</c:v>
                </c:pt>
                <c:pt idx="2414" formatCode="0.000">
                  <c:v>71.550526315789469</c:v>
                </c:pt>
                <c:pt idx="2415" formatCode="0.000">
                  <c:v>71.505789473684203</c:v>
                </c:pt>
                <c:pt idx="2416" formatCode="0.000">
                  <c:v>71.497368421052627</c:v>
                </c:pt>
                <c:pt idx="2417" formatCode="0.000">
                  <c:v>71.464736842105253</c:v>
                </c:pt>
                <c:pt idx="2418" formatCode="0.000">
                  <c:v>71.376315789473693</c:v>
                </c:pt>
                <c:pt idx="2419" formatCode="0.000">
                  <c:v>71.242631578947382</c:v>
                </c:pt>
                <c:pt idx="2420" formatCode="0.000">
                  <c:v>71.142631578947388</c:v>
                </c:pt>
                <c:pt idx="2421" formatCode="0.000">
                  <c:v>71.055263157894743</c:v>
                </c:pt>
                <c:pt idx="2422" formatCode="0.000">
                  <c:v>70.941578947368413</c:v>
                </c:pt>
                <c:pt idx="2423" formatCode="0.000">
                  <c:v>70.808421052631573</c:v>
                </c:pt>
                <c:pt idx="2424" formatCode="0.000">
                  <c:v>70.731578947368405</c:v>
                </c:pt>
                <c:pt idx="2425" formatCode="0.000">
                  <c:v>70.65736842105261</c:v>
                </c:pt>
                <c:pt idx="2426" formatCode="0.000">
                  <c:v>70.654736842105237</c:v>
                </c:pt>
                <c:pt idx="2427" formatCode="0.000">
                  <c:v>70.563157894736818</c:v>
                </c:pt>
                <c:pt idx="2428" formatCode="0.000">
                  <c:v>70.495263157894726</c:v>
                </c:pt>
                <c:pt idx="2429" formatCode="0.000">
                  <c:v>70.39631578947369</c:v>
                </c:pt>
                <c:pt idx="2430" formatCode="0.000">
                  <c:v>70.291052631578964</c:v>
                </c:pt>
                <c:pt idx="2431" formatCode="0.000">
                  <c:v>70.112631578947372</c:v>
                </c:pt>
                <c:pt idx="2432" formatCode="0.000">
                  <c:v>69.876315789473679</c:v>
                </c:pt>
                <c:pt idx="2433" formatCode="0.000">
                  <c:v>69.616315789473688</c:v>
                </c:pt>
                <c:pt idx="2434" formatCode="0.000">
                  <c:v>69.351052631578952</c:v>
                </c:pt>
                <c:pt idx="2435" formatCode="0.000">
                  <c:v>69.06421052631579</c:v>
                </c:pt>
                <c:pt idx="2436" formatCode="0.000">
                  <c:v>68.822105263157894</c:v>
                </c:pt>
                <c:pt idx="2437" formatCode="0.000">
                  <c:v>68.566315789473677</c:v>
                </c:pt>
                <c:pt idx="2438" formatCode="0.000">
                  <c:v>68.355789473684212</c:v>
                </c:pt>
                <c:pt idx="2439" formatCode="0.000">
                  <c:v>68.141578947368416</c:v>
                </c:pt>
                <c:pt idx="2440" formatCode="0.000">
                  <c:v>67.920526315789459</c:v>
                </c:pt>
                <c:pt idx="2441" formatCode="0.000">
                  <c:v>67.628421052631566</c:v>
                </c:pt>
                <c:pt idx="2442" formatCode="0.000">
                  <c:v>67.31736842105262</c:v>
                </c:pt>
                <c:pt idx="2443" formatCode="0.000">
                  <c:v>66.979473684210532</c:v>
                </c:pt>
                <c:pt idx="2444" formatCode="0.000">
                  <c:v>66.6121052631579</c:v>
                </c:pt>
                <c:pt idx="2445" formatCode="0.000">
                  <c:v>66.224210526315801</c:v>
                </c:pt>
                <c:pt idx="2446" formatCode="0.000">
                  <c:v>65.861052631578943</c:v>
                </c:pt>
                <c:pt idx="2447" formatCode="0.000">
                  <c:v>65.445789473684215</c:v>
                </c:pt>
                <c:pt idx="2448" formatCode="0.000">
                  <c:v>65.040000000000006</c:v>
                </c:pt>
                <c:pt idx="2449" formatCode="0.000">
                  <c:v>64.640526315789472</c:v>
                </c:pt>
                <c:pt idx="2450" formatCode="0.000">
                  <c:v>64.355263157894726</c:v>
                </c:pt>
                <c:pt idx="2451" formatCode="0.000">
                  <c:v>64.128421052631566</c:v>
                </c:pt>
                <c:pt idx="2452" formatCode="0.000">
                  <c:v>63.962105263157895</c:v>
                </c:pt>
                <c:pt idx="2453" formatCode="0.000">
                  <c:v>63.817368421052628</c:v>
                </c:pt>
                <c:pt idx="2454" formatCode="0.000">
                  <c:v>63.755263157894753</c:v>
                </c:pt>
                <c:pt idx="2455" formatCode="0.000">
                  <c:v>63.68315789473683</c:v>
                </c:pt>
                <c:pt idx="2456" formatCode="0.000">
                  <c:v>63.636842105263156</c:v>
                </c:pt>
                <c:pt idx="2457" formatCode="0.000">
                  <c:v>63.587894736842109</c:v>
                </c:pt>
                <c:pt idx="2458" formatCode="0.000">
                  <c:v>63.511052631578949</c:v>
                </c:pt>
                <c:pt idx="2459" formatCode="0.000">
                  <c:v>63.413684210526313</c:v>
                </c:pt>
                <c:pt idx="2460" formatCode="0.000">
                  <c:v>63.33526315789473</c:v>
                </c:pt>
                <c:pt idx="2461" formatCode="0.000">
                  <c:v>63.296315789473688</c:v>
                </c:pt>
                <c:pt idx="2462" formatCode="0.000">
                  <c:v>63.223157894736843</c:v>
                </c:pt>
                <c:pt idx="2463" formatCode="0.000">
                  <c:v>63.183157894736844</c:v>
                </c:pt>
                <c:pt idx="2464" formatCode="0.000">
                  <c:v>63.167894736842108</c:v>
                </c:pt>
                <c:pt idx="2465" formatCode="0.000">
                  <c:v>63.148947368421062</c:v>
                </c:pt>
                <c:pt idx="2466" formatCode="0.000">
                  <c:v>63.216842105263161</c:v>
                </c:pt>
                <c:pt idx="2467" formatCode="0.000">
                  <c:v>63.289473684210513</c:v>
                </c:pt>
                <c:pt idx="2468" formatCode="0.000">
                  <c:v>63.325789473684203</c:v>
                </c:pt>
                <c:pt idx="2469" formatCode="0.000">
                  <c:v>63.368421052631582</c:v>
                </c:pt>
                <c:pt idx="2470" formatCode="0.000">
                  <c:v>63.361052631578943</c:v>
                </c:pt>
                <c:pt idx="2471" formatCode="0.000">
                  <c:v>63.292105263157893</c:v>
                </c:pt>
                <c:pt idx="2472" formatCode="0.000">
                  <c:v>63.219999999999992</c:v>
                </c:pt>
                <c:pt idx="2473" formatCode="0.000">
                  <c:v>63.114736842105266</c:v>
                </c:pt>
                <c:pt idx="2474" formatCode="0.000">
                  <c:v>63.024736842105263</c:v>
                </c:pt>
                <c:pt idx="2475" formatCode="0.000">
                  <c:v>62.926842105263155</c:v>
                </c:pt>
                <c:pt idx="2476" formatCode="0.000">
                  <c:v>62.841052631578947</c:v>
                </c:pt>
                <c:pt idx="2477" formatCode="0.000">
                  <c:v>62.755789473684217</c:v>
                </c:pt>
                <c:pt idx="2478" formatCode="0.000">
                  <c:v>62.689473684210519</c:v>
                </c:pt>
                <c:pt idx="2479" formatCode="0.000">
                  <c:v>62.670000000000016</c:v>
                </c:pt>
                <c:pt idx="2480" formatCode="0.000">
                  <c:v>62.608421052631577</c:v>
                </c:pt>
                <c:pt idx="2481" formatCode="0.000">
                  <c:v>62.517894736842102</c:v>
                </c:pt>
                <c:pt idx="2482" formatCode="0.000">
                  <c:v>62.425263157894733</c:v>
                </c:pt>
                <c:pt idx="2483" formatCode="0.000">
                  <c:v>62.3621052631579</c:v>
                </c:pt>
                <c:pt idx="2484" formatCode="0.000">
                  <c:v>62.279473684210522</c:v>
                </c:pt>
                <c:pt idx="2485" formatCode="0.000">
                  <c:v>62.164210526315799</c:v>
                </c:pt>
                <c:pt idx="2486" formatCode="0.000">
                  <c:v>62.107368421052641</c:v>
                </c:pt>
                <c:pt idx="2487" formatCode="0.000">
                  <c:v>62.066315789473698</c:v>
                </c:pt>
                <c:pt idx="2488" formatCode="0.000">
                  <c:v>62.005789473684217</c:v>
                </c:pt>
                <c:pt idx="2489" formatCode="0.000">
                  <c:v>61.998421052631592</c:v>
                </c:pt>
                <c:pt idx="2490" formatCode="0.000">
                  <c:v>61.996842105263163</c:v>
                </c:pt>
                <c:pt idx="2491" formatCode="0.000">
                  <c:v>61.956315789473685</c:v>
                </c:pt>
                <c:pt idx="2492" formatCode="0.000">
                  <c:v>61.911578947368419</c:v>
                </c:pt>
                <c:pt idx="2493" formatCode="0.000">
                  <c:v>61.863157894736844</c:v>
                </c:pt>
                <c:pt idx="2494" formatCode="0.000">
                  <c:v>61.931578947368415</c:v>
                </c:pt>
                <c:pt idx="2495" formatCode="0.000">
                  <c:v>61.926842105263141</c:v>
                </c:pt>
                <c:pt idx="2496" formatCode="0.000">
                  <c:v>61.968947368421034</c:v>
                </c:pt>
                <c:pt idx="2497" formatCode="0.000">
                  <c:v>62.063157894736833</c:v>
                </c:pt>
                <c:pt idx="2498" formatCode="0.000">
                  <c:v>62.14947368421052</c:v>
                </c:pt>
                <c:pt idx="2499" formatCode="0.000">
                  <c:v>62.233684210526306</c:v>
                </c:pt>
                <c:pt idx="2500" formatCode="0.000">
                  <c:v>62.331578947368406</c:v>
                </c:pt>
                <c:pt idx="2501" formatCode="0.000">
                  <c:v>62.451578947368418</c:v>
                </c:pt>
                <c:pt idx="2502" formatCode="0.000">
                  <c:v>62.53842105263157</c:v>
                </c:pt>
                <c:pt idx="2503" formatCode="0.000">
                  <c:v>62.68421052631578</c:v>
                </c:pt>
                <c:pt idx="2504" formatCode="0.000">
                  <c:v>62.836842105263152</c:v>
                </c:pt>
                <c:pt idx="2505" formatCode="0.000">
                  <c:v>63.129473684210517</c:v>
                </c:pt>
                <c:pt idx="2506" formatCode="0.000">
                  <c:v>63.494736842105269</c:v>
                </c:pt>
                <c:pt idx="2507" formatCode="0.000">
                  <c:v>63.876315789473686</c:v>
                </c:pt>
                <c:pt idx="2508" formatCode="0.000">
                  <c:v>64.200526315789475</c:v>
                </c:pt>
                <c:pt idx="2509" formatCode="0.000">
                  <c:v>64.549473684210511</c:v>
                </c:pt>
                <c:pt idx="2510" formatCode="0.000">
                  <c:v>64.985789473684207</c:v>
                </c:pt>
                <c:pt idx="2511" formatCode="0.000">
                  <c:v>65.433684210526309</c:v>
                </c:pt>
                <c:pt idx="2512" formatCode="0.000">
                  <c:v>65.929999999999993</c:v>
                </c:pt>
                <c:pt idx="2513" formatCode="0.000">
                  <c:v>66.283684210526303</c:v>
                </c:pt>
                <c:pt idx="2514" formatCode="0.000">
                  <c:v>66.764210526315779</c:v>
                </c:pt>
                <c:pt idx="2515" formatCode="0.000">
                  <c:v>67.183684210526309</c:v>
                </c:pt>
                <c:pt idx="2516" formatCode="0.000">
                  <c:v>67.542631578947365</c:v>
                </c:pt>
              </c:numCache>
            </c:numRef>
          </c:val>
        </c:ser>
        <c:ser>
          <c:idx val="1"/>
          <c:order val="1"/>
          <c:tx>
            <c:strRef>
              <c:f>'Coca-Cola Stock Price History'!$L$5</c:f>
              <c:strCache>
                <c:ptCount val="1"/>
                <c:pt idx="0">
                  <c:v>MA50</c:v>
                </c:pt>
              </c:strCache>
            </c:strRef>
          </c:tx>
          <c:marker>
            <c:symbol val="none"/>
          </c:marker>
          <c:val>
            <c:numRef>
              <c:f>'Coca-Cola Stock Price History'!$L$6:$L$2522</c:f>
              <c:numCache>
                <c:formatCode>General</c:formatCode>
                <c:ptCount val="25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 formatCode="0.000">
                  <c:v>40.844897959183683</c:v>
                </c:pt>
                <c:pt idx="51" formatCode="0.000">
                  <c:v>40.798775510204088</c:v>
                </c:pt>
                <c:pt idx="52" formatCode="0.000">
                  <c:v>40.7526530612245</c:v>
                </c:pt>
                <c:pt idx="53" formatCode="0.000">
                  <c:v>40.723061224489804</c:v>
                </c:pt>
                <c:pt idx="54" formatCode="0.000">
                  <c:v>40.704693877551023</c:v>
                </c:pt>
                <c:pt idx="55" formatCode="0.000">
                  <c:v>40.704693877551023</c:v>
                </c:pt>
                <c:pt idx="56" formatCode="0.000">
                  <c:v>40.703265306122447</c:v>
                </c:pt>
                <c:pt idx="57" formatCode="0.000">
                  <c:v>40.715918367346937</c:v>
                </c:pt>
                <c:pt idx="58" formatCode="0.000">
                  <c:v>40.741428571428571</c:v>
                </c:pt>
                <c:pt idx="59" formatCode="0.000">
                  <c:v>40.754897959183666</c:v>
                </c:pt>
                <c:pt idx="60" formatCode="0.000">
                  <c:v>40.78142857142857</c:v>
                </c:pt>
                <c:pt idx="61" formatCode="0.000">
                  <c:v>40.795714285714283</c:v>
                </c:pt>
                <c:pt idx="62" formatCode="0.000">
                  <c:v>40.808163265306121</c:v>
                </c:pt>
                <c:pt idx="63" formatCode="0.000">
                  <c:v>40.819183673469389</c:v>
                </c:pt>
                <c:pt idx="64" formatCode="0.000">
                  <c:v>40.838367346938782</c:v>
                </c:pt>
                <c:pt idx="65" formatCode="0.000">
                  <c:v>40.844285714285718</c:v>
                </c:pt>
                <c:pt idx="66" formatCode="0.000">
                  <c:v>40.851836734693883</c:v>
                </c:pt>
                <c:pt idx="67" formatCode="0.000">
                  <c:v>40.86</c:v>
                </c:pt>
                <c:pt idx="68" formatCode="0.000">
                  <c:v>40.862857142857145</c:v>
                </c:pt>
                <c:pt idx="69" formatCode="0.000">
                  <c:v>40.857755102040812</c:v>
                </c:pt>
                <c:pt idx="70" formatCode="0.000">
                  <c:v>40.859387755102041</c:v>
                </c:pt>
                <c:pt idx="71" formatCode="0.000">
                  <c:v>40.853061224489792</c:v>
                </c:pt>
                <c:pt idx="72" formatCode="0.000">
                  <c:v>40.848571428571425</c:v>
                </c:pt>
                <c:pt idx="73" formatCode="0.000">
                  <c:v>40.836734693877546</c:v>
                </c:pt>
                <c:pt idx="74" formatCode="0.000">
                  <c:v>40.822040816326528</c:v>
                </c:pt>
                <c:pt idx="75" formatCode="0.000">
                  <c:v>40.789795918367339</c:v>
                </c:pt>
                <c:pt idx="76" formatCode="0.000">
                  <c:v>40.7708163265306</c:v>
                </c:pt>
                <c:pt idx="77" formatCode="0.000">
                  <c:v>40.758163265306116</c:v>
                </c:pt>
                <c:pt idx="78" formatCode="0.000">
                  <c:v>40.749999999999993</c:v>
                </c:pt>
                <c:pt idx="79" formatCode="0.000">
                  <c:v>40.740204081632648</c:v>
                </c:pt>
                <c:pt idx="80" formatCode="0.000">
                  <c:v>40.735714285714288</c:v>
                </c:pt>
                <c:pt idx="81" formatCode="0.000">
                  <c:v>40.733061224489795</c:v>
                </c:pt>
                <c:pt idx="82" formatCode="0.000">
                  <c:v>40.72877551020408</c:v>
                </c:pt>
                <c:pt idx="83" formatCode="0.000">
                  <c:v>40.716938775510201</c:v>
                </c:pt>
                <c:pt idx="84" formatCode="0.000">
                  <c:v>40.710816326530619</c:v>
                </c:pt>
                <c:pt idx="85" formatCode="0.000">
                  <c:v>40.685102040816332</c:v>
                </c:pt>
                <c:pt idx="86" formatCode="0.000">
                  <c:v>40.653469387755109</c:v>
                </c:pt>
                <c:pt idx="87" formatCode="0.000">
                  <c:v>40.616530612244901</c:v>
                </c:pt>
                <c:pt idx="88" formatCode="0.000">
                  <c:v>40.586734693877553</c:v>
                </c:pt>
                <c:pt idx="89" formatCode="0.000">
                  <c:v>40.556734693877559</c:v>
                </c:pt>
                <c:pt idx="90" formatCode="0.000">
                  <c:v>40.544897959183679</c:v>
                </c:pt>
                <c:pt idx="91" formatCode="0.000">
                  <c:v>40.526326530612252</c:v>
                </c:pt>
                <c:pt idx="92" formatCode="0.000">
                  <c:v>40.514693877551032</c:v>
                </c:pt>
                <c:pt idx="93" formatCode="0.000">
                  <c:v>40.511224489795929</c:v>
                </c:pt>
                <c:pt idx="94" formatCode="0.000">
                  <c:v>40.506122448979603</c:v>
                </c:pt>
                <c:pt idx="95" formatCode="0.000">
                  <c:v>40.510408163265318</c:v>
                </c:pt>
                <c:pt idx="96" formatCode="0.000">
                  <c:v>40.518163265306143</c:v>
                </c:pt>
                <c:pt idx="97" formatCode="0.000">
                  <c:v>40.534897959183695</c:v>
                </c:pt>
                <c:pt idx="98" formatCode="0.000">
                  <c:v>40.546122448979609</c:v>
                </c:pt>
                <c:pt idx="99" formatCode="0.000">
                  <c:v>40.554285714285747</c:v>
                </c:pt>
                <c:pt idx="100" formatCode="0.000">
                  <c:v>40.559387755102065</c:v>
                </c:pt>
                <c:pt idx="101" formatCode="0.000">
                  <c:v>40.56367346938778</c:v>
                </c:pt>
                <c:pt idx="102" formatCode="0.000">
                  <c:v>40.559387755102058</c:v>
                </c:pt>
                <c:pt idx="103" formatCode="0.000">
                  <c:v>40.53775510204084</c:v>
                </c:pt>
                <c:pt idx="104" formatCode="0.000">
                  <c:v>40.517755102040837</c:v>
                </c:pt>
                <c:pt idx="105" formatCode="0.000">
                  <c:v>40.502040816326549</c:v>
                </c:pt>
                <c:pt idx="106" formatCode="0.000">
                  <c:v>40.487346938775524</c:v>
                </c:pt>
                <c:pt idx="107" formatCode="0.000">
                  <c:v>40.471224489795937</c:v>
                </c:pt>
                <c:pt idx="108" formatCode="0.000">
                  <c:v>40.468163265306131</c:v>
                </c:pt>
                <c:pt idx="109" formatCode="0.000">
                  <c:v>40.474897959183679</c:v>
                </c:pt>
                <c:pt idx="110" formatCode="0.000">
                  <c:v>40.492448979591842</c:v>
                </c:pt>
                <c:pt idx="111" formatCode="0.000">
                  <c:v>40.512857142857143</c:v>
                </c:pt>
                <c:pt idx="112" formatCode="0.000">
                  <c:v>40.528775510204085</c:v>
                </c:pt>
                <c:pt idx="113" formatCode="0.000">
                  <c:v>40.545306122448977</c:v>
                </c:pt>
                <c:pt idx="114" formatCode="0.000">
                  <c:v>40.560408163265308</c:v>
                </c:pt>
                <c:pt idx="115" formatCode="0.000">
                  <c:v>40.570408163265306</c:v>
                </c:pt>
                <c:pt idx="116" formatCode="0.000">
                  <c:v>40.578367346938776</c:v>
                </c:pt>
                <c:pt idx="117" formatCode="0.000">
                  <c:v>40.588775510204073</c:v>
                </c:pt>
                <c:pt idx="118" formatCode="0.000">
                  <c:v>40.612244897959179</c:v>
                </c:pt>
                <c:pt idx="119" formatCode="0.000">
                  <c:v>40.63653061224489</c:v>
                </c:pt>
                <c:pt idx="120" formatCode="0.000">
                  <c:v>40.658979591836726</c:v>
                </c:pt>
                <c:pt idx="121" formatCode="0.000">
                  <c:v>40.668163265306113</c:v>
                </c:pt>
                <c:pt idx="122" formatCode="0.000">
                  <c:v>40.6773469387755</c:v>
                </c:pt>
                <c:pt idx="123" formatCode="0.000">
                  <c:v>40.668571428571411</c:v>
                </c:pt>
                <c:pt idx="124" formatCode="0.000">
                  <c:v>40.643877551020395</c:v>
                </c:pt>
                <c:pt idx="125" formatCode="0.000">
                  <c:v>40.601224489795904</c:v>
                </c:pt>
                <c:pt idx="126" formatCode="0.000">
                  <c:v>40.569795918367333</c:v>
                </c:pt>
                <c:pt idx="127" formatCode="0.000">
                  <c:v>40.541632653061207</c:v>
                </c:pt>
                <c:pt idx="128" formatCode="0.000">
                  <c:v>40.522244897959176</c:v>
                </c:pt>
                <c:pt idx="129" formatCode="0.000">
                  <c:v>40.498571428571417</c:v>
                </c:pt>
                <c:pt idx="130" formatCode="0.000">
                  <c:v>40.465306122448972</c:v>
                </c:pt>
                <c:pt idx="131" formatCode="0.000">
                  <c:v>40.438979591836727</c:v>
                </c:pt>
                <c:pt idx="132" formatCode="0.000">
                  <c:v>40.421428571428571</c:v>
                </c:pt>
                <c:pt idx="133" formatCode="0.000">
                  <c:v>40.391224489795917</c:v>
                </c:pt>
                <c:pt idx="134" formatCode="0.000">
                  <c:v>40.381020408163266</c:v>
                </c:pt>
                <c:pt idx="135" formatCode="0.000">
                  <c:v>40.362040816326534</c:v>
                </c:pt>
                <c:pt idx="136" formatCode="0.000">
                  <c:v>40.340000000000003</c:v>
                </c:pt>
                <c:pt idx="137" formatCode="0.000">
                  <c:v>40.312244897959189</c:v>
                </c:pt>
                <c:pt idx="138" formatCode="0.000">
                  <c:v>40.285306122448979</c:v>
                </c:pt>
                <c:pt idx="139" formatCode="0.000">
                  <c:v>40.249591836734687</c:v>
                </c:pt>
                <c:pt idx="140" formatCode="0.000">
                  <c:v>40.235102040816329</c:v>
                </c:pt>
                <c:pt idx="141" formatCode="0.000">
                  <c:v>40.224081632653068</c:v>
                </c:pt>
                <c:pt idx="142" formatCode="0.000">
                  <c:v>40.19530612244899</c:v>
                </c:pt>
                <c:pt idx="143" formatCode="0.000">
                  <c:v>40.165306122448989</c:v>
                </c:pt>
                <c:pt idx="144" formatCode="0.000">
                  <c:v>40.116734693877561</c:v>
                </c:pt>
                <c:pt idx="145" formatCode="0.000">
                  <c:v>40.068367346938786</c:v>
                </c:pt>
                <c:pt idx="146" formatCode="0.000">
                  <c:v>40.020816326530628</c:v>
                </c:pt>
                <c:pt idx="147" formatCode="0.000">
                  <c:v>39.987551020408169</c:v>
                </c:pt>
                <c:pt idx="148" formatCode="0.000">
                  <c:v>39.949795918367357</c:v>
                </c:pt>
                <c:pt idx="149" formatCode="0.000">
                  <c:v>39.91857142857144</c:v>
                </c:pt>
                <c:pt idx="150" formatCode="0.000">
                  <c:v>39.902653061224498</c:v>
                </c:pt>
                <c:pt idx="151" formatCode="0.000">
                  <c:v>39.881428571428579</c:v>
                </c:pt>
                <c:pt idx="152" formatCode="0.000">
                  <c:v>39.880408163265315</c:v>
                </c:pt>
                <c:pt idx="153" formatCode="0.000">
                  <c:v>39.890000000000015</c:v>
                </c:pt>
                <c:pt idx="154" formatCode="0.000">
                  <c:v>39.898367346938784</c:v>
                </c:pt>
                <c:pt idx="155" formatCode="0.000">
                  <c:v>39.917346938775516</c:v>
                </c:pt>
                <c:pt idx="156" formatCode="0.000">
                  <c:v>39.946326530612254</c:v>
                </c:pt>
                <c:pt idx="157" formatCode="0.000">
                  <c:v>39.965510204081639</c:v>
                </c:pt>
                <c:pt idx="158" formatCode="0.000">
                  <c:v>39.974897959183679</c:v>
                </c:pt>
                <c:pt idx="159" formatCode="0.000">
                  <c:v>39.970816326530617</c:v>
                </c:pt>
                <c:pt idx="160" formatCode="0.000">
                  <c:v>39.961836734693883</c:v>
                </c:pt>
                <c:pt idx="161" formatCode="0.000">
                  <c:v>39.961836734693883</c:v>
                </c:pt>
                <c:pt idx="162" formatCode="0.000">
                  <c:v>39.966938775510208</c:v>
                </c:pt>
                <c:pt idx="163" formatCode="0.000">
                  <c:v>39.973265306122457</c:v>
                </c:pt>
                <c:pt idx="164" formatCode="0.000">
                  <c:v>39.989795918367349</c:v>
                </c:pt>
                <c:pt idx="165" formatCode="0.000">
                  <c:v>40.008775510204082</c:v>
                </c:pt>
                <c:pt idx="166" formatCode="0.000">
                  <c:v>40.052448979591837</c:v>
                </c:pt>
                <c:pt idx="167" formatCode="0.000">
                  <c:v>40.083877551020407</c:v>
                </c:pt>
                <c:pt idx="168" formatCode="0.000">
                  <c:v>40.109183673469389</c:v>
                </c:pt>
                <c:pt idx="169" formatCode="0.000">
                  <c:v>40.135918367346939</c:v>
                </c:pt>
                <c:pt idx="170" formatCode="0.000">
                  <c:v>40.175714285714285</c:v>
                </c:pt>
                <c:pt idx="171" formatCode="0.000">
                  <c:v>40.221428571428568</c:v>
                </c:pt>
                <c:pt idx="172" formatCode="0.000">
                  <c:v>40.27897959183673</c:v>
                </c:pt>
                <c:pt idx="173" formatCode="0.000">
                  <c:v>40.357755102040812</c:v>
                </c:pt>
                <c:pt idx="174" formatCode="0.000">
                  <c:v>40.442857142857143</c:v>
                </c:pt>
                <c:pt idx="175" formatCode="0.000">
                  <c:v>40.508979591836734</c:v>
                </c:pt>
                <c:pt idx="176" formatCode="0.000">
                  <c:v>40.571428571428569</c:v>
                </c:pt>
                <c:pt idx="177" formatCode="0.000">
                  <c:v>40.62265306122449</c:v>
                </c:pt>
                <c:pt idx="178" formatCode="0.000">
                  <c:v>40.667959183673467</c:v>
                </c:pt>
                <c:pt idx="179" formatCode="0.000">
                  <c:v>40.729591836734691</c:v>
                </c:pt>
                <c:pt idx="180" formatCode="0.000">
                  <c:v>40.793673469387755</c:v>
                </c:pt>
                <c:pt idx="181" formatCode="0.000">
                  <c:v>40.843061224489787</c:v>
                </c:pt>
                <c:pt idx="182" formatCode="0.000">
                  <c:v>40.901428571428568</c:v>
                </c:pt>
                <c:pt idx="183" formatCode="0.000">
                  <c:v>40.963877551020403</c:v>
                </c:pt>
                <c:pt idx="184" formatCode="0.000">
                  <c:v>41.032653061224487</c:v>
                </c:pt>
                <c:pt idx="185" formatCode="0.000">
                  <c:v>41.111428571428561</c:v>
                </c:pt>
                <c:pt idx="186" formatCode="0.000">
                  <c:v>41.213061224489785</c:v>
                </c:pt>
                <c:pt idx="187" formatCode="0.000">
                  <c:v>41.301428571428566</c:v>
                </c:pt>
                <c:pt idx="188" formatCode="0.000">
                  <c:v>41.392448979591826</c:v>
                </c:pt>
                <c:pt idx="189" formatCode="0.000">
                  <c:v>41.478367346938768</c:v>
                </c:pt>
                <c:pt idx="190" formatCode="0.000">
                  <c:v>41.559591836734683</c:v>
                </c:pt>
                <c:pt idx="191" formatCode="0.000">
                  <c:v>41.644693877551006</c:v>
                </c:pt>
                <c:pt idx="192" formatCode="0.000">
                  <c:v>41.714693877551007</c:v>
                </c:pt>
                <c:pt idx="193" formatCode="0.000">
                  <c:v>41.798367346938761</c:v>
                </c:pt>
                <c:pt idx="194" formatCode="0.000">
                  <c:v>41.880204081632648</c:v>
                </c:pt>
                <c:pt idx="195" formatCode="0.000">
                  <c:v>41.947755102040809</c:v>
                </c:pt>
                <c:pt idx="196" formatCode="0.000">
                  <c:v>42.022653061224482</c:v>
                </c:pt>
                <c:pt idx="197" formatCode="0.000">
                  <c:v>42.097551020408162</c:v>
                </c:pt>
                <c:pt idx="198" formatCode="0.000">
                  <c:v>42.16591836734694</c:v>
                </c:pt>
                <c:pt idx="199" formatCode="0.000">
                  <c:v>42.217755102040812</c:v>
                </c:pt>
                <c:pt idx="200" formatCode="0.000">
                  <c:v>42.278163265306127</c:v>
                </c:pt>
                <c:pt idx="201" formatCode="0.000">
                  <c:v>42.316530612244904</c:v>
                </c:pt>
                <c:pt idx="202" formatCode="0.000">
                  <c:v>42.345918367346947</c:v>
                </c:pt>
                <c:pt idx="203" formatCode="0.000">
                  <c:v>42.388979591836744</c:v>
                </c:pt>
                <c:pt idx="204" formatCode="0.000">
                  <c:v>42.436326530612249</c:v>
                </c:pt>
                <c:pt idx="205" formatCode="0.000">
                  <c:v>42.467142857142854</c:v>
                </c:pt>
                <c:pt idx="206" formatCode="0.000">
                  <c:v>42.476938775510199</c:v>
                </c:pt>
                <c:pt idx="207" formatCode="0.000">
                  <c:v>42.492857142857147</c:v>
                </c:pt>
                <c:pt idx="208" formatCode="0.000">
                  <c:v>42.526326530612245</c:v>
                </c:pt>
                <c:pt idx="209" formatCode="0.000">
                  <c:v>42.566938775510202</c:v>
                </c:pt>
                <c:pt idx="210" formatCode="0.000">
                  <c:v>42.6</c:v>
                </c:pt>
                <c:pt idx="211" formatCode="0.000">
                  <c:v>42.629999999999995</c:v>
                </c:pt>
                <c:pt idx="212" formatCode="0.000">
                  <c:v>42.665102040816322</c:v>
                </c:pt>
                <c:pt idx="213" formatCode="0.000">
                  <c:v>42.691224489795914</c:v>
                </c:pt>
                <c:pt idx="214" formatCode="0.000">
                  <c:v>42.706938775510203</c:v>
                </c:pt>
                <c:pt idx="215" formatCode="0.000">
                  <c:v>42.689795918367352</c:v>
                </c:pt>
                <c:pt idx="216" formatCode="0.000">
                  <c:v>42.684897959183679</c:v>
                </c:pt>
                <c:pt idx="217" formatCode="0.000">
                  <c:v>42.679387755102049</c:v>
                </c:pt>
                <c:pt idx="218" formatCode="0.000">
                  <c:v>42.659183673469393</c:v>
                </c:pt>
                <c:pt idx="219" formatCode="0.000">
                  <c:v>42.63428571428571</c:v>
                </c:pt>
                <c:pt idx="220" formatCode="0.000">
                  <c:v>42.609591836734694</c:v>
                </c:pt>
                <c:pt idx="221" formatCode="0.000">
                  <c:v>42.604897959183674</c:v>
                </c:pt>
                <c:pt idx="222" formatCode="0.000">
                  <c:v>42.596938775510196</c:v>
                </c:pt>
                <c:pt idx="223" formatCode="0.000">
                  <c:v>42.591224489795906</c:v>
                </c:pt>
                <c:pt idx="224" formatCode="0.000">
                  <c:v>42.581632653061213</c:v>
                </c:pt>
                <c:pt idx="225" formatCode="0.000">
                  <c:v>42.573265306122444</c:v>
                </c:pt>
                <c:pt idx="226" formatCode="0.000">
                  <c:v>42.561428571428564</c:v>
                </c:pt>
                <c:pt idx="227" formatCode="0.000">
                  <c:v>42.558367346938766</c:v>
                </c:pt>
                <c:pt idx="228" formatCode="0.000">
                  <c:v>42.564285714285717</c:v>
                </c:pt>
                <c:pt idx="229" formatCode="0.000">
                  <c:v>42.566734693877549</c:v>
                </c:pt>
                <c:pt idx="230" formatCode="0.000">
                  <c:v>42.5769387755102</c:v>
                </c:pt>
                <c:pt idx="231" formatCode="0.000">
                  <c:v>42.591428571428573</c:v>
                </c:pt>
                <c:pt idx="232" formatCode="0.000">
                  <c:v>42.60387755102041</c:v>
                </c:pt>
                <c:pt idx="233" formatCode="0.000">
                  <c:v>42.629387755102037</c:v>
                </c:pt>
                <c:pt idx="234" formatCode="0.000">
                  <c:v>42.644081632653062</c:v>
                </c:pt>
                <c:pt idx="235" formatCode="0.000">
                  <c:v>42.630408163265301</c:v>
                </c:pt>
                <c:pt idx="236" formatCode="0.000">
                  <c:v>42.636326530612244</c:v>
                </c:pt>
                <c:pt idx="237" formatCode="0.000">
                  <c:v>42.627551020408163</c:v>
                </c:pt>
                <c:pt idx="238" formatCode="0.000">
                  <c:v>42.608775510204083</c:v>
                </c:pt>
                <c:pt idx="239" formatCode="0.000">
                  <c:v>42.594285714285711</c:v>
                </c:pt>
                <c:pt idx="240" formatCode="0.000">
                  <c:v>42.597346938775509</c:v>
                </c:pt>
                <c:pt idx="241" formatCode="0.000">
                  <c:v>42.595918367346933</c:v>
                </c:pt>
                <c:pt idx="242" formatCode="0.000">
                  <c:v>42.586122448979587</c:v>
                </c:pt>
                <c:pt idx="243" formatCode="0.000">
                  <c:v>42.593061224489794</c:v>
                </c:pt>
                <c:pt idx="244" formatCode="0.000">
                  <c:v>42.611428571428576</c:v>
                </c:pt>
                <c:pt idx="245" formatCode="0.000">
                  <c:v>42.61551020408163</c:v>
                </c:pt>
                <c:pt idx="246" formatCode="0.000">
                  <c:v>42.623877551020414</c:v>
                </c:pt>
                <c:pt idx="247" formatCode="0.000">
                  <c:v>42.639387755102049</c:v>
                </c:pt>
                <c:pt idx="248" formatCode="0.000">
                  <c:v>42.665510204081635</c:v>
                </c:pt>
                <c:pt idx="249" formatCode="0.000">
                  <c:v>42.684489795918367</c:v>
                </c:pt>
                <c:pt idx="250" formatCode="0.000">
                  <c:v>42.717959183673464</c:v>
                </c:pt>
                <c:pt idx="251" formatCode="0.000">
                  <c:v>42.752857142857138</c:v>
                </c:pt>
                <c:pt idx="252" formatCode="0.000">
                  <c:v>42.754285714285714</c:v>
                </c:pt>
                <c:pt idx="253" formatCode="0.000">
                  <c:v>42.739795918367349</c:v>
                </c:pt>
                <c:pt idx="254" formatCode="0.000">
                  <c:v>42.743877551020411</c:v>
                </c:pt>
                <c:pt idx="255" formatCode="0.000">
                  <c:v>42.76979591836735</c:v>
                </c:pt>
                <c:pt idx="256" formatCode="0.000">
                  <c:v>42.793877551020422</c:v>
                </c:pt>
                <c:pt idx="257" formatCode="0.000">
                  <c:v>42.810612244897975</c:v>
                </c:pt>
                <c:pt idx="258" formatCode="0.000">
                  <c:v>42.817551020408182</c:v>
                </c:pt>
                <c:pt idx="259" formatCode="0.000">
                  <c:v>42.833469387755116</c:v>
                </c:pt>
                <c:pt idx="260" formatCode="0.000">
                  <c:v>42.860408163265312</c:v>
                </c:pt>
                <c:pt idx="261" formatCode="0.000">
                  <c:v>42.891428571428577</c:v>
                </c:pt>
                <c:pt idx="262" formatCode="0.000">
                  <c:v>42.924693877551022</c:v>
                </c:pt>
                <c:pt idx="263" formatCode="0.000">
                  <c:v>42.972244897959179</c:v>
                </c:pt>
                <c:pt idx="264" formatCode="0.000">
                  <c:v>43.030204081632654</c:v>
                </c:pt>
                <c:pt idx="265" formatCode="0.000">
                  <c:v>43.081224489795929</c:v>
                </c:pt>
                <c:pt idx="266" formatCode="0.000">
                  <c:v>43.15163265306122</c:v>
                </c:pt>
                <c:pt idx="267" formatCode="0.000">
                  <c:v>43.232857142857142</c:v>
                </c:pt>
                <c:pt idx="268" formatCode="0.000">
                  <c:v>43.31775510204082</c:v>
                </c:pt>
                <c:pt idx="269" formatCode="0.000">
                  <c:v>43.397755102040811</c:v>
                </c:pt>
                <c:pt idx="270" formatCode="0.000">
                  <c:v>43.465918367346937</c:v>
                </c:pt>
                <c:pt idx="271" formatCode="0.000">
                  <c:v>43.542040816326526</c:v>
                </c:pt>
                <c:pt idx="272" formatCode="0.000">
                  <c:v>43.622040816326539</c:v>
                </c:pt>
                <c:pt idx="273" formatCode="0.000">
                  <c:v>43.723673469387762</c:v>
                </c:pt>
                <c:pt idx="274" formatCode="0.000">
                  <c:v>43.818775510204077</c:v>
                </c:pt>
                <c:pt idx="275" formatCode="0.000">
                  <c:v>43.921020408163258</c:v>
                </c:pt>
                <c:pt idx="276" formatCode="0.000">
                  <c:v>44.032040816326521</c:v>
                </c:pt>
                <c:pt idx="277" formatCode="0.000">
                  <c:v>44.130612244897954</c:v>
                </c:pt>
                <c:pt idx="278" formatCode="0.000">
                  <c:v>44.219795918367346</c:v>
                </c:pt>
                <c:pt idx="279" formatCode="0.000">
                  <c:v>44.314285714285717</c:v>
                </c:pt>
                <c:pt idx="280" formatCode="0.000">
                  <c:v>44.401428571428575</c:v>
                </c:pt>
                <c:pt idx="281" formatCode="0.000">
                  <c:v>44.489183673469384</c:v>
                </c:pt>
                <c:pt idx="282" formatCode="0.000">
                  <c:v>44.561020408163259</c:v>
                </c:pt>
                <c:pt idx="283" formatCode="0.000">
                  <c:v>44.635510204081633</c:v>
                </c:pt>
                <c:pt idx="284" formatCode="0.000">
                  <c:v>44.708979591836737</c:v>
                </c:pt>
                <c:pt idx="285" formatCode="0.000">
                  <c:v>44.772448979591836</c:v>
                </c:pt>
                <c:pt idx="286" formatCode="0.000">
                  <c:v>44.845306122448974</c:v>
                </c:pt>
                <c:pt idx="287" formatCode="0.000">
                  <c:v>44.92244897959182</c:v>
                </c:pt>
                <c:pt idx="288" formatCode="0.000">
                  <c:v>45.003061224489791</c:v>
                </c:pt>
                <c:pt idx="289" formatCode="0.000">
                  <c:v>45.024897959183662</c:v>
                </c:pt>
                <c:pt idx="290" formatCode="0.000">
                  <c:v>45.047551020408143</c:v>
                </c:pt>
                <c:pt idx="291" formatCode="0.000">
                  <c:v>45.09102040816326</c:v>
                </c:pt>
                <c:pt idx="292" formatCode="0.000">
                  <c:v>45.123673469387747</c:v>
                </c:pt>
                <c:pt idx="293" formatCode="0.000">
                  <c:v>45.147551020408152</c:v>
                </c:pt>
                <c:pt idx="294" formatCode="0.000">
                  <c:v>45.171836734693869</c:v>
                </c:pt>
                <c:pt idx="295" formatCode="0.000">
                  <c:v>45.192653061224483</c:v>
                </c:pt>
                <c:pt idx="296" formatCode="0.000">
                  <c:v>45.21367346938775</c:v>
                </c:pt>
                <c:pt idx="297" formatCode="0.000">
                  <c:v>45.23489795918367</c:v>
                </c:pt>
                <c:pt idx="298" formatCode="0.000">
                  <c:v>45.258367346938769</c:v>
                </c:pt>
                <c:pt idx="299" formatCode="0.000">
                  <c:v>45.280204081632654</c:v>
                </c:pt>
                <c:pt idx="300" formatCode="0.000">
                  <c:v>45.298571428571421</c:v>
                </c:pt>
                <c:pt idx="301" formatCode="0.000">
                  <c:v>45.343061224489794</c:v>
                </c:pt>
                <c:pt idx="302" formatCode="0.000">
                  <c:v>45.386122448979584</c:v>
                </c:pt>
                <c:pt idx="303" formatCode="0.000">
                  <c:v>45.428163265306125</c:v>
                </c:pt>
                <c:pt idx="304" formatCode="0.000">
                  <c:v>45.462653061224479</c:v>
                </c:pt>
                <c:pt idx="305" formatCode="0.000">
                  <c:v>45.500816326530604</c:v>
                </c:pt>
                <c:pt idx="306" formatCode="0.000">
                  <c:v>45.526122448979585</c:v>
                </c:pt>
                <c:pt idx="307" formatCode="0.000">
                  <c:v>45.558979591836732</c:v>
                </c:pt>
                <c:pt idx="308" formatCode="0.000">
                  <c:v>45.567755102040799</c:v>
                </c:pt>
                <c:pt idx="309" formatCode="0.000">
                  <c:v>45.561020408163259</c:v>
                </c:pt>
                <c:pt idx="310" formatCode="0.000">
                  <c:v>45.542448979591832</c:v>
                </c:pt>
                <c:pt idx="311" formatCode="0.000">
                  <c:v>45.516938775510191</c:v>
                </c:pt>
                <c:pt idx="312" formatCode="0.000">
                  <c:v>45.489999999999988</c:v>
                </c:pt>
                <c:pt idx="313" formatCode="0.000">
                  <c:v>45.472244897959165</c:v>
                </c:pt>
                <c:pt idx="314" formatCode="0.000">
                  <c:v>45.458571428571418</c:v>
                </c:pt>
                <c:pt idx="315" formatCode="0.000">
                  <c:v>45.436530612244887</c:v>
                </c:pt>
                <c:pt idx="316" formatCode="0.000">
                  <c:v>45.419795918367349</c:v>
                </c:pt>
                <c:pt idx="317" formatCode="0.000">
                  <c:v>45.397959183673457</c:v>
                </c:pt>
                <c:pt idx="318" formatCode="0.000">
                  <c:v>45.38163265306121</c:v>
                </c:pt>
                <c:pt idx="319" formatCode="0.000">
                  <c:v>45.366530612244887</c:v>
                </c:pt>
                <c:pt idx="320" formatCode="0.000">
                  <c:v>45.355510204081618</c:v>
                </c:pt>
                <c:pt idx="321" formatCode="0.000">
                  <c:v>45.346734693877529</c:v>
                </c:pt>
                <c:pt idx="322" formatCode="0.000">
                  <c:v>45.323061224489784</c:v>
                </c:pt>
                <c:pt idx="323" formatCode="0.000">
                  <c:v>45.302040816326524</c:v>
                </c:pt>
                <c:pt idx="324" formatCode="0.000">
                  <c:v>45.289183673469388</c:v>
                </c:pt>
                <c:pt idx="325" formatCode="0.000">
                  <c:v>45.272040816326523</c:v>
                </c:pt>
                <c:pt idx="326" formatCode="0.000">
                  <c:v>45.235918367346926</c:v>
                </c:pt>
                <c:pt idx="327" formatCode="0.000">
                  <c:v>45.205510204081619</c:v>
                </c:pt>
                <c:pt idx="328" formatCode="0.000">
                  <c:v>45.170816326530598</c:v>
                </c:pt>
                <c:pt idx="329" formatCode="0.000">
                  <c:v>45.149387755102033</c:v>
                </c:pt>
                <c:pt idx="330" formatCode="0.000">
                  <c:v>45.106938775510187</c:v>
                </c:pt>
                <c:pt idx="331" formatCode="0.000">
                  <c:v>45.077142857142853</c:v>
                </c:pt>
                <c:pt idx="332" formatCode="0.000">
                  <c:v>45.046122448979588</c:v>
                </c:pt>
                <c:pt idx="333" formatCode="0.000">
                  <c:v>45.02204081632653</c:v>
                </c:pt>
                <c:pt idx="334" formatCode="0.000">
                  <c:v>45.006734693877547</c:v>
                </c:pt>
                <c:pt idx="335" formatCode="0.000">
                  <c:v>44.962448979591834</c:v>
                </c:pt>
                <c:pt idx="336" formatCode="0.000">
                  <c:v>44.912653061224489</c:v>
                </c:pt>
                <c:pt idx="337" formatCode="0.000">
                  <c:v>44.863265306122443</c:v>
                </c:pt>
                <c:pt idx="338" formatCode="0.000">
                  <c:v>44.864693877551019</c:v>
                </c:pt>
                <c:pt idx="339" formatCode="0.000">
                  <c:v>44.898775510204082</c:v>
                </c:pt>
                <c:pt idx="340" formatCode="0.000">
                  <c:v>44.910612244897955</c:v>
                </c:pt>
                <c:pt idx="341" formatCode="0.000">
                  <c:v>44.925306122448966</c:v>
                </c:pt>
                <c:pt idx="342" formatCode="0.000">
                  <c:v>44.940408163265296</c:v>
                </c:pt>
                <c:pt idx="343" formatCode="0.000">
                  <c:v>44.948775510204065</c:v>
                </c:pt>
                <c:pt idx="344" formatCode="0.000">
                  <c:v>44.964081632653055</c:v>
                </c:pt>
                <c:pt idx="345" formatCode="0.000">
                  <c:v>44.979795918367351</c:v>
                </c:pt>
                <c:pt idx="346" formatCode="0.000">
                  <c:v>44.992040816326536</c:v>
                </c:pt>
                <c:pt idx="347" formatCode="0.000">
                  <c:v>45.010408163265303</c:v>
                </c:pt>
                <c:pt idx="348" formatCode="0.000">
                  <c:v>45.024897959183669</c:v>
                </c:pt>
                <c:pt idx="349" formatCode="0.000">
                  <c:v>45.036530612244896</c:v>
                </c:pt>
                <c:pt idx="350" formatCode="0.000">
                  <c:v>45.042857142857144</c:v>
                </c:pt>
                <c:pt idx="351" formatCode="0.000">
                  <c:v>45.050816326530608</c:v>
                </c:pt>
                <c:pt idx="352" formatCode="0.000">
                  <c:v>45.04591836734695</c:v>
                </c:pt>
                <c:pt idx="353" formatCode="0.000">
                  <c:v>45.04571428571429</c:v>
                </c:pt>
                <c:pt idx="354" formatCode="0.000">
                  <c:v>45.04571428571429</c:v>
                </c:pt>
                <c:pt idx="355" formatCode="0.000">
                  <c:v>45.050204081632664</c:v>
                </c:pt>
                <c:pt idx="356" formatCode="0.000">
                  <c:v>45.035102040816334</c:v>
                </c:pt>
                <c:pt idx="357" formatCode="0.000">
                  <c:v>45.007551020408179</c:v>
                </c:pt>
                <c:pt idx="358" formatCode="0.000">
                  <c:v>44.990612244897967</c:v>
                </c:pt>
                <c:pt idx="359" formatCode="0.000">
                  <c:v>44.976530612244908</c:v>
                </c:pt>
                <c:pt idx="360" formatCode="0.000">
                  <c:v>44.96632653061225</c:v>
                </c:pt>
                <c:pt idx="361" formatCode="0.000">
                  <c:v>44.957346938775515</c:v>
                </c:pt>
                <c:pt idx="362" formatCode="0.000">
                  <c:v>44.942448979591845</c:v>
                </c:pt>
                <c:pt idx="363" formatCode="0.000">
                  <c:v>44.924693877551036</c:v>
                </c:pt>
                <c:pt idx="364" formatCode="0.000">
                  <c:v>44.900000000000006</c:v>
                </c:pt>
                <c:pt idx="365" formatCode="0.000">
                  <c:v>44.872653061224504</c:v>
                </c:pt>
                <c:pt idx="366" formatCode="0.000">
                  <c:v>44.849591836734703</c:v>
                </c:pt>
                <c:pt idx="367" formatCode="0.000">
                  <c:v>44.82734693877552</c:v>
                </c:pt>
                <c:pt idx="368" formatCode="0.000">
                  <c:v>44.807551020408177</c:v>
                </c:pt>
                <c:pt idx="369" formatCode="0.000">
                  <c:v>44.78693877551023</c:v>
                </c:pt>
                <c:pt idx="370" formatCode="0.000">
                  <c:v>44.763877551020421</c:v>
                </c:pt>
                <c:pt idx="371" formatCode="0.000">
                  <c:v>44.733469387755122</c:v>
                </c:pt>
                <c:pt idx="372" formatCode="0.000">
                  <c:v>44.703061224489801</c:v>
                </c:pt>
                <c:pt idx="373" formatCode="0.000">
                  <c:v>44.669183673469398</c:v>
                </c:pt>
                <c:pt idx="374" formatCode="0.000">
                  <c:v>44.626938775510219</c:v>
                </c:pt>
                <c:pt idx="375" formatCode="0.000">
                  <c:v>44.598775510204092</c:v>
                </c:pt>
                <c:pt idx="376" formatCode="0.000">
                  <c:v>44.574489795918367</c:v>
                </c:pt>
                <c:pt idx="377" formatCode="0.000">
                  <c:v>44.550816326530608</c:v>
                </c:pt>
                <c:pt idx="378" formatCode="0.000">
                  <c:v>44.517346938775518</c:v>
                </c:pt>
                <c:pt idx="379" formatCode="0.000">
                  <c:v>44.487346938775524</c:v>
                </c:pt>
                <c:pt idx="380" formatCode="0.000">
                  <c:v>44.457959183673481</c:v>
                </c:pt>
                <c:pt idx="381" formatCode="0.000">
                  <c:v>44.419387755102044</c:v>
                </c:pt>
                <c:pt idx="382" formatCode="0.000">
                  <c:v>44.390204081632653</c:v>
                </c:pt>
                <c:pt idx="383" formatCode="0.000">
                  <c:v>44.354897959183674</c:v>
                </c:pt>
                <c:pt idx="384" formatCode="0.000">
                  <c:v>44.349387755102029</c:v>
                </c:pt>
                <c:pt idx="385" formatCode="0.000">
                  <c:v>44.349591836734689</c:v>
                </c:pt>
                <c:pt idx="386" formatCode="0.000">
                  <c:v>44.33857142857142</c:v>
                </c:pt>
                <c:pt idx="387" formatCode="0.000">
                  <c:v>44.322040816326535</c:v>
                </c:pt>
                <c:pt idx="388" formatCode="0.000">
                  <c:v>44.259591836734693</c:v>
                </c:pt>
                <c:pt idx="389" formatCode="0.000">
                  <c:v>44.220204081632652</c:v>
                </c:pt>
                <c:pt idx="390" formatCode="0.000">
                  <c:v>44.155918367346942</c:v>
                </c:pt>
                <c:pt idx="391" formatCode="0.000">
                  <c:v>44.091428571428573</c:v>
                </c:pt>
                <c:pt idx="392" formatCode="0.000">
                  <c:v>44.035714285714285</c:v>
                </c:pt>
                <c:pt idx="393" formatCode="0.000">
                  <c:v>43.969591836734686</c:v>
                </c:pt>
                <c:pt idx="394" formatCode="0.000">
                  <c:v>43.898775510204075</c:v>
                </c:pt>
                <c:pt idx="395" formatCode="0.000">
                  <c:v>43.832653061224484</c:v>
                </c:pt>
                <c:pt idx="396" formatCode="0.000">
                  <c:v>43.767142857142858</c:v>
                </c:pt>
                <c:pt idx="397" formatCode="0.000">
                  <c:v>43.711428571428577</c:v>
                </c:pt>
                <c:pt idx="398" formatCode="0.000">
                  <c:v>43.652448979591831</c:v>
                </c:pt>
                <c:pt idx="399" formatCode="0.000">
                  <c:v>43.579387755102026</c:v>
                </c:pt>
                <c:pt idx="400" formatCode="0.000">
                  <c:v>43.517346938775511</c:v>
                </c:pt>
                <c:pt idx="401" formatCode="0.000">
                  <c:v>43.448775510204079</c:v>
                </c:pt>
                <c:pt idx="402" formatCode="0.000">
                  <c:v>43.378979591836739</c:v>
                </c:pt>
                <c:pt idx="403" formatCode="0.000">
                  <c:v>43.307346938775517</c:v>
                </c:pt>
                <c:pt idx="404" formatCode="0.000">
                  <c:v>43.235102040816329</c:v>
                </c:pt>
                <c:pt idx="405" formatCode="0.000">
                  <c:v>43.1730612244898</c:v>
                </c:pt>
                <c:pt idx="406" formatCode="0.000">
                  <c:v>43.140612244897959</c:v>
                </c:pt>
                <c:pt idx="407" formatCode="0.000">
                  <c:v>43.101020408163265</c:v>
                </c:pt>
                <c:pt idx="408" formatCode="0.000">
                  <c:v>43.062244897959175</c:v>
                </c:pt>
                <c:pt idx="409" formatCode="0.000">
                  <c:v>43.027142857142849</c:v>
                </c:pt>
                <c:pt idx="410" formatCode="0.000">
                  <c:v>42.986530612244891</c:v>
                </c:pt>
                <c:pt idx="411" formatCode="0.000">
                  <c:v>42.948571428571427</c:v>
                </c:pt>
                <c:pt idx="412" formatCode="0.000">
                  <c:v>42.912857142857135</c:v>
                </c:pt>
                <c:pt idx="413" formatCode="0.000">
                  <c:v>42.875918367346934</c:v>
                </c:pt>
                <c:pt idx="414" formatCode="0.000">
                  <c:v>42.838367346938753</c:v>
                </c:pt>
                <c:pt idx="415" formatCode="0.000">
                  <c:v>42.807755102040808</c:v>
                </c:pt>
                <c:pt idx="416" formatCode="0.000">
                  <c:v>42.775918367346932</c:v>
                </c:pt>
                <c:pt idx="417" formatCode="0.000">
                  <c:v>42.738775510204071</c:v>
                </c:pt>
                <c:pt idx="418" formatCode="0.000">
                  <c:v>42.699999999999996</c:v>
                </c:pt>
                <c:pt idx="419" formatCode="0.000">
                  <c:v>42.665714285714273</c:v>
                </c:pt>
                <c:pt idx="420" formatCode="0.000">
                  <c:v>42.639387755102042</c:v>
                </c:pt>
                <c:pt idx="421" formatCode="0.000">
                  <c:v>42.606326530612243</c:v>
                </c:pt>
                <c:pt idx="422" formatCode="0.000">
                  <c:v>42.565918367346931</c:v>
                </c:pt>
                <c:pt idx="423" formatCode="0.000">
                  <c:v>42.531428571428563</c:v>
                </c:pt>
                <c:pt idx="424" formatCode="0.000">
                  <c:v>42.504081632653055</c:v>
                </c:pt>
                <c:pt idx="425" formatCode="0.000">
                  <c:v>42.46877551020409</c:v>
                </c:pt>
                <c:pt idx="426" formatCode="0.000">
                  <c:v>42.432040816326534</c:v>
                </c:pt>
                <c:pt idx="427" formatCode="0.000">
                  <c:v>42.398571428571422</c:v>
                </c:pt>
                <c:pt idx="428" formatCode="0.000">
                  <c:v>42.36530612244897</c:v>
                </c:pt>
                <c:pt idx="429" formatCode="0.000">
                  <c:v>42.34326530612244</c:v>
                </c:pt>
                <c:pt idx="430" formatCode="0.000">
                  <c:v>42.335918367346942</c:v>
                </c:pt>
                <c:pt idx="431" formatCode="0.000">
                  <c:v>42.312244897959189</c:v>
                </c:pt>
                <c:pt idx="432" formatCode="0.000">
                  <c:v>42.263061224489796</c:v>
                </c:pt>
                <c:pt idx="433" formatCode="0.000">
                  <c:v>42.209387755102043</c:v>
                </c:pt>
                <c:pt idx="434" formatCode="0.000">
                  <c:v>42.155918367346935</c:v>
                </c:pt>
                <c:pt idx="435" formatCode="0.000">
                  <c:v>42.111020408163263</c:v>
                </c:pt>
                <c:pt idx="436" formatCode="0.000">
                  <c:v>42.062653061224502</c:v>
                </c:pt>
                <c:pt idx="437" formatCode="0.000">
                  <c:v>42.039183673469388</c:v>
                </c:pt>
                <c:pt idx="438" formatCode="0.000">
                  <c:v>41.992653061224495</c:v>
                </c:pt>
                <c:pt idx="439" formatCode="0.000">
                  <c:v>41.973877551020415</c:v>
                </c:pt>
                <c:pt idx="440" formatCode="0.000">
                  <c:v>41.958775510204084</c:v>
                </c:pt>
                <c:pt idx="441" formatCode="0.000">
                  <c:v>41.93346938775511</c:v>
                </c:pt>
                <c:pt idx="442" formatCode="0.000">
                  <c:v>41.921020408163258</c:v>
                </c:pt>
                <c:pt idx="443" formatCode="0.000">
                  <c:v>41.913877551020406</c:v>
                </c:pt>
                <c:pt idx="444" formatCode="0.000">
                  <c:v>41.889591836734688</c:v>
                </c:pt>
                <c:pt idx="445" formatCode="0.000">
                  <c:v>41.845102040816322</c:v>
                </c:pt>
                <c:pt idx="446" formatCode="0.000">
                  <c:v>41.788163265306117</c:v>
                </c:pt>
                <c:pt idx="447" formatCode="0.000">
                  <c:v>41.739591836734689</c:v>
                </c:pt>
                <c:pt idx="448" formatCode="0.000">
                  <c:v>41.710408163265299</c:v>
                </c:pt>
                <c:pt idx="449" formatCode="0.000">
                  <c:v>41.669183673469377</c:v>
                </c:pt>
                <c:pt idx="450" formatCode="0.000">
                  <c:v>41.65163265306122</c:v>
                </c:pt>
                <c:pt idx="451" formatCode="0.000">
                  <c:v>41.630204081632648</c:v>
                </c:pt>
                <c:pt idx="452" formatCode="0.000">
                  <c:v>41.623673469387747</c:v>
                </c:pt>
                <c:pt idx="453" formatCode="0.000">
                  <c:v>41.621020408163254</c:v>
                </c:pt>
                <c:pt idx="454" formatCode="0.000">
                  <c:v>41.619387755102032</c:v>
                </c:pt>
                <c:pt idx="455" formatCode="0.000">
                  <c:v>41.607142857142854</c:v>
                </c:pt>
                <c:pt idx="456" formatCode="0.000">
                  <c:v>41.603877551020396</c:v>
                </c:pt>
                <c:pt idx="457" formatCode="0.000">
                  <c:v>41.604081632653049</c:v>
                </c:pt>
                <c:pt idx="458" formatCode="0.000">
                  <c:v>41.602857142857133</c:v>
                </c:pt>
                <c:pt idx="459" formatCode="0.000">
                  <c:v>41.605306122448965</c:v>
                </c:pt>
                <c:pt idx="460" formatCode="0.000">
                  <c:v>41.601020408163251</c:v>
                </c:pt>
                <c:pt idx="461" formatCode="0.000">
                  <c:v>41.596734693877536</c:v>
                </c:pt>
                <c:pt idx="462" formatCode="0.000">
                  <c:v>41.59530612244896</c:v>
                </c:pt>
                <c:pt idx="463" formatCode="0.000">
                  <c:v>41.595510204081613</c:v>
                </c:pt>
                <c:pt idx="464" formatCode="0.000">
                  <c:v>41.583673469387747</c:v>
                </c:pt>
                <c:pt idx="465" formatCode="0.000">
                  <c:v>41.574489795918353</c:v>
                </c:pt>
                <c:pt idx="466" formatCode="0.000">
                  <c:v>41.564897959183668</c:v>
                </c:pt>
                <c:pt idx="467" formatCode="0.000">
                  <c:v>41.558163265306113</c:v>
                </c:pt>
                <c:pt idx="468" formatCode="0.000">
                  <c:v>41.539591836734679</c:v>
                </c:pt>
                <c:pt idx="469" formatCode="0.000">
                  <c:v>41.523469387755092</c:v>
                </c:pt>
                <c:pt idx="470" formatCode="0.000">
                  <c:v>41.50918367346938</c:v>
                </c:pt>
                <c:pt idx="471" formatCode="0.000">
                  <c:v>41.492857142857133</c:v>
                </c:pt>
                <c:pt idx="472" formatCode="0.000">
                  <c:v>41.468571428571423</c:v>
                </c:pt>
                <c:pt idx="473" formatCode="0.000">
                  <c:v>41.441020408163261</c:v>
                </c:pt>
                <c:pt idx="474" formatCode="0.000">
                  <c:v>41.417142857142856</c:v>
                </c:pt>
                <c:pt idx="475" formatCode="0.000">
                  <c:v>41.393265306122451</c:v>
                </c:pt>
                <c:pt idx="476" formatCode="0.000">
                  <c:v>41.376734693877552</c:v>
                </c:pt>
                <c:pt idx="477" formatCode="0.000">
                  <c:v>41.368571428571428</c:v>
                </c:pt>
                <c:pt idx="478" formatCode="0.000">
                  <c:v>41.341632653061225</c:v>
                </c:pt>
                <c:pt idx="479" formatCode="0.000">
                  <c:v>41.309795918367342</c:v>
                </c:pt>
                <c:pt idx="480" formatCode="0.000">
                  <c:v>41.292653061224492</c:v>
                </c:pt>
                <c:pt idx="481" formatCode="0.000">
                  <c:v>41.312244897959189</c:v>
                </c:pt>
                <c:pt idx="482" formatCode="0.000">
                  <c:v>41.334489795918365</c:v>
                </c:pt>
                <c:pt idx="483" formatCode="0.000">
                  <c:v>41.347551020408162</c:v>
                </c:pt>
                <c:pt idx="484" formatCode="0.000">
                  <c:v>41.347755102040814</c:v>
                </c:pt>
                <c:pt idx="485" formatCode="0.000">
                  <c:v>41.350204081632654</c:v>
                </c:pt>
                <c:pt idx="486" formatCode="0.000">
                  <c:v>41.359387755102041</c:v>
                </c:pt>
                <c:pt idx="487" formatCode="0.000">
                  <c:v>41.366530612244901</c:v>
                </c:pt>
                <c:pt idx="488" formatCode="0.000">
                  <c:v>41.367346938775512</c:v>
                </c:pt>
                <c:pt idx="489" formatCode="0.000">
                  <c:v>41.370816326530615</c:v>
                </c:pt>
                <c:pt idx="490" formatCode="0.000">
                  <c:v>41.37979591836735</c:v>
                </c:pt>
                <c:pt idx="491" formatCode="0.000">
                  <c:v>41.387346938775515</c:v>
                </c:pt>
                <c:pt idx="492" formatCode="0.000">
                  <c:v>41.392857142857146</c:v>
                </c:pt>
                <c:pt idx="493" formatCode="0.000">
                  <c:v>41.394897959183673</c:v>
                </c:pt>
                <c:pt idx="494" formatCode="0.000">
                  <c:v>41.399591836734693</c:v>
                </c:pt>
                <c:pt idx="495" formatCode="0.000">
                  <c:v>41.40877551020408</c:v>
                </c:pt>
                <c:pt idx="496" formatCode="0.000">
                  <c:v>41.412244897959191</c:v>
                </c:pt>
                <c:pt idx="497" formatCode="0.000">
                  <c:v>41.408571428571435</c:v>
                </c:pt>
                <c:pt idx="498" formatCode="0.000">
                  <c:v>41.421428571428571</c:v>
                </c:pt>
                <c:pt idx="499" formatCode="0.000">
                  <c:v>41.420204081632654</c:v>
                </c:pt>
                <c:pt idx="500" formatCode="0.000">
                  <c:v>41.430000000000007</c:v>
                </c:pt>
                <c:pt idx="501" formatCode="0.000">
                  <c:v>41.421836734693876</c:v>
                </c:pt>
                <c:pt idx="502" formatCode="0.000">
                  <c:v>41.416938775510204</c:v>
                </c:pt>
                <c:pt idx="503" formatCode="0.000">
                  <c:v>41.417346938775509</c:v>
                </c:pt>
                <c:pt idx="504" formatCode="0.000">
                  <c:v>41.426734693877556</c:v>
                </c:pt>
                <c:pt idx="505" formatCode="0.000">
                  <c:v>41.435102040816325</c:v>
                </c:pt>
                <c:pt idx="506" formatCode="0.000">
                  <c:v>41.443673469387754</c:v>
                </c:pt>
                <c:pt idx="507" formatCode="0.000">
                  <c:v>41.46</c:v>
                </c:pt>
                <c:pt idx="508" formatCode="0.000">
                  <c:v>41.476734693877553</c:v>
                </c:pt>
                <c:pt idx="509" formatCode="0.000">
                  <c:v>41.489183673469391</c:v>
                </c:pt>
                <c:pt idx="510" formatCode="0.000">
                  <c:v>41.498163265306125</c:v>
                </c:pt>
                <c:pt idx="511" formatCode="0.000">
                  <c:v>41.506122448979603</c:v>
                </c:pt>
                <c:pt idx="512" formatCode="0.000">
                  <c:v>41.514693877551025</c:v>
                </c:pt>
                <c:pt idx="513" formatCode="0.000">
                  <c:v>41.533061224489806</c:v>
                </c:pt>
                <c:pt idx="514" formatCode="0.000">
                  <c:v>41.541836734693888</c:v>
                </c:pt>
                <c:pt idx="515" formatCode="0.000">
                  <c:v>41.552244897959184</c:v>
                </c:pt>
                <c:pt idx="516" formatCode="0.000">
                  <c:v>41.558775510204086</c:v>
                </c:pt>
                <c:pt idx="517" formatCode="0.000">
                  <c:v>41.571020408163264</c:v>
                </c:pt>
                <c:pt idx="518" formatCode="0.000">
                  <c:v>41.576734693877547</c:v>
                </c:pt>
                <c:pt idx="519" formatCode="0.000">
                  <c:v>41.585714285714289</c:v>
                </c:pt>
                <c:pt idx="520" formatCode="0.000">
                  <c:v>41.609795918367354</c:v>
                </c:pt>
                <c:pt idx="521" formatCode="0.000">
                  <c:v>41.637142857142862</c:v>
                </c:pt>
                <c:pt idx="522" formatCode="0.000">
                  <c:v>41.660000000000011</c:v>
                </c:pt>
                <c:pt idx="523" formatCode="0.000">
                  <c:v>41.683877551020416</c:v>
                </c:pt>
                <c:pt idx="524" formatCode="0.000">
                  <c:v>41.713265306122452</c:v>
                </c:pt>
                <c:pt idx="525" formatCode="0.000">
                  <c:v>41.737959183673468</c:v>
                </c:pt>
                <c:pt idx="526" formatCode="0.000">
                  <c:v>41.761020408163276</c:v>
                </c:pt>
                <c:pt idx="527" formatCode="0.000">
                  <c:v>41.790816326530617</c:v>
                </c:pt>
                <c:pt idx="528" formatCode="0.000">
                  <c:v>41.813673469387766</c:v>
                </c:pt>
                <c:pt idx="529" formatCode="0.000">
                  <c:v>41.833673469387755</c:v>
                </c:pt>
                <c:pt idx="530" formatCode="0.000">
                  <c:v>41.849591836734696</c:v>
                </c:pt>
                <c:pt idx="531" formatCode="0.000">
                  <c:v>41.85877551020409</c:v>
                </c:pt>
                <c:pt idx="532" formatCode="0.000">
                  <c:v>41.876326530612246</c:v>
                </c:pt>
                <c:pt idx="533" formatCode="0.000">
                  <c:v>41.900000000000006</c:v>
                </c:pt>
                <c:pt idx="534" formatCode="0.000">
                  <c:v>41.926734693877549</c:v>
                </c:pt>
                <c:pt idx="535" formatCode="0.000">
                  <c:v>41.948979591836732</c:v>
                </c:pt>
                <c:pt idx="536" formatCode="0.000">
                  <c:v>41.983265306122455</c:v>
                </c:pt>
                <c:pt idx="537" formatCode="0.000">
                  <c:v>42.011632653061227</c:v>
                </c:pt>
                <c:pt idx="538" formatCode="0.000">
                  <c:v>42.042857142857152</c:v>
                </c:pt>
                <c:pt idx="539" formatCode="0.000">
                  <c:v>42.082040816326533</c:v>
                </c:pt>
                <c:pt idx="540" formatCode="0.000">
                  <c:v>42.109183673469389</c:v>
                </c:pt>
                <c:pt idx="541" formatCode="0.000">
                  <c:v>42.131020408163273</c:v>
                </c:pt>
                <c:pt idx="542" formatCode="0.000">
                  <c:v>42.168163265306127</c:v>
                </c:pt>
                <c:pt idx="543" formatCode="0.000">
                  <c:v>42.22326530612245</c:v>
                </c:pt>
                <c:pt idx="544" formatCode="0.000">
                  <c:v>42.274081632653058</c:v>
                </c:pt>
                <c:pt idx="545" formatCode="0.000">
                  <c:v>42.32938775510204</c:v>
                </c:pt>
                <c:pt idx="546" formatCode="0.000">
                  <c:v>42.381836734693877</c:v>
                </c:pt>
                <c:pt idx="547" formatCode="0.000">
                  <c:v>42.421632653061224</c:v>
                </c:pt>
                <c:pt idx="548" formatCode="0.000">
                  <c:v>42.462244897959188</c:v>
                </c:pt>
                <c:pt idx="549" formatCode="0.000">
                  <c:v>42.501632653061222</c:v>
                </c:pt>
                <c:pt idx="550" formatCode="0.000">
                  <c:v>42.536734693877555</c:v>
                </c:pt>
                <c:pt idx="551" formatCode="0.000">
                  <c:v>42.577551020408166</c:v>
                </c:pt>
                <c:pt idx="552" formatCode="0.000">
                  <c:v>42.616530612244901</c:v>
                </c:pt>
                <c:pt idx="553" formatCode="0.000">
                  <c:v>42.661836734693885</c:v>
                </c:pt>
                <c:pt idx="554" formatCode="0.000">
                  <c:v>42.693469387755101</c:v>
                </c:pt>
                <c:pt idx="555" formatCode="0.000">
                  <c:v>42.722244897959193</c:v>
                </c:pt>
                <c:pt idx="556" formatCode="0.000">
                  <c:v>42.746734693877556</c:v>
                </c:pt>
                <c:pt idx="557" formatCode="0.000">
                  <c:v>42.769387755102045</c:v>
                </c:pt>
                <c:pt idx="558" formatCode="0.000">
                  <c:v>42.801020408163268</c:v>
                </c:pt>
                <c:pt idx="559" formatCode="0.000">
                  <c:v>42.838979591836726</c:v>
                </c:pt>
                <c:pt idx="560" formatCode="0.000">
                  <c:v>42.878571428571426</c:v>
                </c:pt>
                <c:pt idx="561" formatCode="0.000">
                  <c:v>42.914693877551016</c:v>
                </c:pt>
                <c:pt idx="562" formatCode="0.000">
                  <c:v>42.947551020408163</c:v>
                </c:pt>
                <c:pt idx="563" formatCode="0.000">
                  <c:v>42.991428571428564</c:v>
                </c:pt>
                <c:pt idx="564" formatCode="0.000">
                  <c:v>43.040816326530603</c:v>
                </c:pt>
                <c:pt idx="565" formatCode="0.000">
                  <c:v>43.100204081632661</c:v>
                </c:pt>
                <c:pt idx="566" formatCode="0.000">
                  <c:v>43.164693877551024</c:v>
                </c:pt>
                <c:pt idx="567" formatCode="0.000">
                  <c:v>43.233265306122455</c:v>
                </c:pt>
                <c:pt idx="568" formatCode="0.000">
                  <c:v>43.299591836734699</c:v>
                </c:pt>
                <c:pt idx="569" formatCode="0.000">
                  <c:v>43.360204081632666</c:v>
                </c:pt>
                <c:pt idx="570" formatCode="0.000">
                  <c:v>43.429795918367361</c:v>
                </c:pt>
                <c:pt idx="571" formatCode="0.000">
                  <c:v>43.505714285714298</c:v>
                </c:pt>
                <c:pt idx="572" formatCode="0.000">
                  <c:v>43.584693877551032</c:v>
                </c:pt>
                <c:pt idx="573" formatCode="0.000">
                  <c:v>43.65938775510206</c:v>
                </c:pt>
                <c:pt idx="574" formatCode="0.000">
                  <c:v>43.7222448979592</c:v>
                </c:pt>
                <c:pt idx="575" formatCode="0.000">
                  <c:v>43.77755102040819</c:v>
                </c:pt>
                <c:pt idx="576" formatCode="0.000">
                  <c:v>43.833061224489818</c:v>
                </c:pt>
                <c:pt idx="577" formatCode="0.000">
                  <c:v>43.892040816326542</c:v>
                </c:pt>
                <c:pt idx="578" formatCode="0.000">
                  <c:v>43.94551020408165</c:v>
                </c:pt>
                <c:pt idx="579" formatCode="0.000">
                  <c:v>43.998979591836758</c:v>
                </c:pt>
                <c:pt idx="580" formatCode="0.000">
                  <c:v>44.053673469387775</c:v>
                </c:pt>
                <c:pt idx="581" formatCode="0.000">
                  <c:v>44.107551020408174</c:v>
                </c:pt>
                <c:pt idx="582" formatCode="0.000">
                  <c:v>44.164081632653073</c:v>
                </c:pt>
                <c:pt idx="583" formatCode="0.000">
                  <c:v>44.223673469387776</c:v>
                </c:pt>
                <c:pt idx="584" formatCode="0.000">
                  <c:v>44.275918367346947</c:v>
                </c:pt>
                <c:pt idx="585" formatCode="0.000">
                  <c:v>44.319387755102049</c:v>
                </c:pt>
                <c:pt idx="586" formatCode="0.000">
                  <c:v>44.369591836734706</c:v>
                </c:pt>
                <c:pt idx="587" formatCode="0.000">
                  <c:v>44.417755102040822</c:v>
                </c:pt>
                <c:pt idx="588" formatCode="0.000">
                  <c:v>44.449795918367357</c:v>
                </c:pt>
                <c:pt idx="589" formatCode="0.000">
                  <c:v>44.492448979591849</c:v>
                </c:pt>
                <c:pt idx="590" formatCode="0.000">
                  <c:v>44.527959183673474</c:v>
                </c:pt>
                <c:pt idx="591" formatCode="0.000">
                  <c:v>44.564285714285717</c:v>
                </c:pt>
                <c:pt idx="592" formatCode="0.000">
                  <c:v>44.594489795918371</c:v>
                </c:pt>
                <c:pt idx="593" formatCode="0.000">
                  <c:v>44.629387755102044</c:v>
                </c:pt>
                <c:pt idx="594" formatCode="0.000">
                  <c:v>44.653061224489797</c:v>
                </c:pt>
                <c:pt idx="595" formatCode="0.000">
                  <c:v>44.681224489795909</c:v>
                </c:pt>
                <c:pt idx="596" formatCode="0.000">
                  <c:v>44.706326530612237</c:v>
                </c:pt>
                <c:pt idx="597" formatCode="0.000">
                  <c:v>44.728979591836712</c:v>
                </c:pt>
                <c:pt idx="598" formatCode="0.000">
                  <c:v>44.751836734693875</c:v>
                </c:pt>
                <c:pt idx="599" formatCode="0.000">
                  <c:v>44.774489795918363</c:v>
                </c:pt>
                <c:pt idx="600" formatCode="0.000">
                  <c:v>44.795306122448977</c:v>
                </c:pt>
                <c:pt idx="601" formatCode="0.000">
                  <c:v>44.816530612244883</c:v>
                </c:pt>
                <c:pt idx="602" formatCode="0.000">
                  <c:v>44.832448979591824</c:v>
                </c:pt>
                <c:pt idx="603" formatCode="0.000">
                  <c:v>44.859387755102034</c:v>
                </c:pt>
                <c:pt idx="604" formatCode="0.000">
                  <c:v>44.884897959183675</c:v>
                </c:pt>
                <c:pt idx="605" formatCode="0.000">
                  <c:v>44.912653061224496</c:v>
                </c:pt>
                <c:pt idx="606" formatCode="0.000">
                  <c:v>44.93816326530613</c:v>
                </c:pt>
                <c:pt idx="607" formatCode="0.000">
                  <c:v>44.968979591836735</c:v>
                </c:pt>
                <c:pt idx="608" formatCode="0.000">
                  <c:v>45.007551020408158</c:v>
                </c:pt>
                <c:pt idx="609" formatCode="0.000">
                  <c:v>45.05224489795917</c:v>
                </c:pt>
                <c:pt idx="610" formatCode="0.000">
                  <c:v>45.097346938775502</c:v>
                </c:pt>
                <c:pt idx="611" formatCode="0.000">
                  <c:v>45.136938775510203</c:v>
                </c:pt>
                <c:pt idx="612" formatCode="0.000">
                  <c:v>45.167959183673467</c:v>
                </c:pt>
                <c:pt idx="613" formatCode="0.000">
                  <c:v>45.19244897959183</c:v>
                </c:pt>
                <c:pt idx="614" formatCode="0.000">
                  <c:v>45.205510204081627</c:v>
                </c:pt>
                <c:pt idx="615" formatCode="0.000">
                  <c:v>45.207346938775508</c:v>
                </c:pt>
                <c:pt idx="616" formatCode="0.000">
                  <c:v>45.212448979591834</c:v>
                </c:pt>
                <c:pt idx="617" formatCode="0.000">
                  <c:v>45.21591836734693</c:v>
                </c:pt>
                <c:pt idx="618" formatCode="0.000">
                  <c:v>45.21836734693877</c:v>
                </c:pt>
                <c:pt idx="619" formatCode="0.000">
                  <c:v>45.217346938775513</c:v>
                </c:pt>
                <c:pt idx="620" formatCode="0.000">
                  <c:v>45.211224489795924</c:v>
                </c:pt>
                <c:pt idx="621" formatCode="0.000">
                  <c:v>45.207346938775515</c:v>
                </c:pt>
                <c:pt idx="622" formatCode="0.000">
                  <c:v>45.211632653061223</c:v>
                </c:pt>
                <c:pt idx="623" formatCode="0.000">
                  <c:v>45.225714285714282</c:v>
                </c:pt>
                <c:pt idx="624" formatCode="0.000">
                  <c:v>45.24061224489796</c:v>
                </c:pt>
                <c:pt idx="625" formatCode="0.000">
                  <c:v>45.247755102040813</c:v>
                </c:pt>
                <c:pt idx="626" formatCode="0.000">
                  <c:v>45.254897959183666</c:v>
                </c:pt>
                <c:pt idx="627" formatCode="0.000">
                  <c:v>45.266530612244885</c:v>
                </c:pt>
                <c:pt idx="628" formatCode="0.000">
                  <c:v>45.271428571428558</c:v>
                </c:pt>
                <c:pt idx="629" formatCode="0.000">
                  <c:v>45.274693877551002</c:v>
                </c:pt>
                <c:pt idx="630" formatCode="0.000">
                  <c:v>45.279999999999994</c:v>
                </c:pt>
                <c:pt idx="631" formatCode="0.000">
                  <c:v>45.280816326530605</c:v>
                </c:pt>
                <c:pt idx="632" formatCode="0.000">
                  <c:v>45.277551020408154</c:v>
                </c:pt>
                <c:pt idx="633" formatCode="0.000">
                  <c:v>45.281020408163258</c:v>
                </c:pt>
                <c:pt idx="634" formatCode="0.000">
                  <c:v>45.290816326530603</c:v>
                </c:pt>
                <c:pt idx="635" formatCode="0.000">
                  <c:v>45.301632653061219</c:v>
                </c:pt>
                <c:pt idx="636" formatCode="0.000">
                  <c:v>45.311632653061231</c:v>
                </c:pt>
                <c:pt idx="637" formatCode="0.000">
                  <c:v>45.330204081632658</c:v>
                </c:pt>
                <c:pt idx="638" formatCode="0.000">
                  <c:v>45.349795918367356</c:v>
                </c:pt>
                <c:pt idx="639" formatCode="0.000">
                  <c:v>45.379795918367357</c:v>
                </c:pt>
                <c:pt idx="640" formatCode="0.000">
                  <c:v>45.41387755102042</c:v>
                </c:pt>
                <c:pt idx="641" formatCode="0.000">
                  <c:v>45.453877551020412</c:v>
                </c:pt>
                <c:pt idx="642" formatCode="0.000">
                  <c:v>45.495714285714286</c:v>
                </c:pt>
                <c:pt idx="643" formatCode="0.000">
                  <c:v>45.530612244897959</c:v>
                </c:pt>
                <c:pt idx="644" formatCode="0.000">
                  <c:v>45.567142857142855</c:v>
                </c:pt>
                <c:pt idx="645" formatCode="0.000">
                  <c:v>45.602448979591834</c:v>
                </c:pt>
                <c:pt idx="646" formatCode="0.000">
                  <c:v>45.636122448979606</c:v>
                </c:pt>
                <c:pt idx="647" formatCode="0.000">
                  <c:v>45.662040816326538</c:v>
                </c:pt>
                <c:pt idx="648" formatCode="0.000">
                  <c:v>45.681836734693881</c:v>
                </c:pt>
                <c:pt idx="649" formatCode="0.000">
                  <c:v>45.698367346938781</c:v>
                </c:pt>
                <c:pt idx="650" formatCode="0.000">
                  <c:v>45.717959183673464</c:v>
                </c:pt>
                <c:pt idx="651" formatCode="0.000">
                  <c:v>45.736326530612246</c:v>
                </c:pt>
                <c:pt idx="652" formatCode="0.000">
                  <c:v>45.732448979591837</c:v>
                </c:pt>
                <c:pt idx="653" formatCode="0.000">
                  <c:v>45.734285714285711</c:v>
                </c:pt>
                <c:pt idx="654" formatCode="0.000">
                  <c:v>45.733877551020406</c:v>
                </c:pt>
                <c:pt idx="655" formatCode="0.000">
                  <c:v>45.733061224489795</c:v>
                </c:pt>
                <c:pt idx="656" formatCode="0.000">
                  <c:v>45.732040816326538</c:v>
                </c:pt>
                <c:pt idx="657" formatCode="0.000">
                  <c:v>45.727142857142866</c:v>
                </c:pt>
                <c:pt idx="658" formatCode="0.000">
                  <c:v>45.714897959183681</c:v>
                </c:pt>
                <c:pt idx="659" formatCode="0.000">
                  <c:v>45.70428571428571</c:v>
                </c:pt>
                <c:pt idx="660" formatCode="0.000">
                  <c:v>45.695510204081621</c:v>
                </c:pt>
                <c:pt idx="661" formatCode="0.000">
                  <c:v>45.698979591836725</c:v>
                </c:pt>
                <c:pt idx="662" formatCode="0.000">
                  <c:v>45.709387755102028</c:v>
                </c:pt>
                <c:pt idx="663" formatCode="0.000">
                  <c:v>45.718367346938763</c:v>
                </c:pt>
                <c:pt idx="664" formatCode="0.000">
                  <c:v>45.732244897959177</c:v>
                </c:pt>
                <c:pt idx="665" formatCode="0.000">
                  <c:v>45.75224489795918</c:v>
                </c:pt>
                <c:pt idx="666" formatCode="0.000">
                  <c:v>45.77102040816326</c:v>
                </c:pt>
                <c:pt idx="667" formatCode="0.000">
                  <c:v>45.787551020408159</c:v>
                </c:pt>
                <c:pt idx="668" formatCode="0.000">
                  <c:v>45.804897959183677</c:v>
                </c:pt>
                <c:pt idx="669" formatCode="0.000">
                  <c:v>45.821020408163278</c:v>
                </c:pt>
                <c:pt idx="670" formatCode="0.000">
                  <c:v>45.831632653061234</c:v>
                </c:pt>
                <c:pt idx="671" formatCode="0.000">
                  <c:v>45.831428571428575</c:v>
                </c:pt>
                <c:pt idx="672" formatCode="0.000">
                  <c:v>45.828367346938776</c:v>
                </c:pt>
                <c:pt idx="673" formatCode="0.000">
                  <c:v>45.835918367346942</c:v>
                </c:pt>
                <c:pt idx="674" formatCode="0.000">
                  <c:v>45.844081632653065</c:v>
                </c:pt>
                <c:pt idx="675" formatCode="0.000">
                  <c:v>45.847755102040821</c:v>
                </c:pt>
                <c:pt idx="676" formatCode="0.000">
                  <c:v>45.855510204081632</c:v>
                </c:pt>
                <c:pt idx="677" formatCode="0.000">
                  <c:v>45.860816326530617</c:v>
                </c:pt>
                <c:pt idx="678" formatCode="0.000">
                  <c:v>45.87040816326531</c:v>
                </c:pt>
                <c:pt idx="679" formatCode="0.000">
                  <c:v>45.878571428571426</c:v>
                </c:pt>
                <c:pt idx="680" formatCode="0.000">
                  <c:v>45.879591836734683</c:v>
                </c:pt>
                <c:pt idx="681" formatCode="0.000">
                  <c:v>45.889591836734688</c:v>
                </c:pt>
                <c:pt idx="682" formatCode="0.000">
                  <c:v>45.905714285714261</c:v>
                </c:pt>
                <c:pt idx="683" formatCode="0.000">
                  <c:v>45.919591836734675</c:v>
                </c:pt>
                <c:pt idx="684" formatCode="0.000">
                  <c:v>45.935102040816311</c:v>
                </c:pt>
                <c:pt idx="685" formatCode="0.000">
                  <c:v>45.951428571428558</c:v>
                </c:pt>
                <c:pt idx="686" formatCode="0.000">
                  <c:v>45.981428571428559</c:v>
                </c:pt>
                <c:pt idx="687" formatCode="0.000">
                  <c:v>45.992244897959175</c:v>
                </c:pt>
                <c:pt idx="688" formatCode="0.000">
                  <c:v>45.997346938775507</c:v>
                </c:pt>
                <c:pt idx="689" formatCode="0.000">
                  <c:v>45.980816326530608</c:v>
                </c:pt>
                <c:pt idx="690" formatCode="0.000">
                  <c:v>45.955102040816328</c:v>
                </c:pt>
                <c:pt idx="691" formatCode="0.000">
                  <c:v>45.932857142857152</c:v>
                </c:pt>
                <c:pt idx="692" formatCode="0.000">
                  <c:v>45.927346938775521</c:v>
                </c:pt>
                <c:pt idx="693" formatCode="0.000">
                  <c:v>45.921224489795925</c:v>
                </c:pt>
                <c:pt idx="694" formatCode="0.000">
                  <c:v>45.916938775510218</c:v>
                </c:pt>
                <c:pt idx="695" formatCode="0.000">
                  <c:v>45.91387755102042</c:v>
                </c:pt>
                <c:pt idx="696" formatCode="0.000">
                  <c:v>45.908163265306122</c:v>
                </c:pt>
                <c:pt idx="697" formatCode="0.000">
                  <c:v>45.91571428571428</c:v>
                </c:pt>
                <c:pt idx="698" formatCode="0.000">
                  <c:v>45.925510204081633</c:v>
                </c:pt>
                <c:pt idx="699" formatCode="0.000">
                  <c:v>45.936530612244894</c:v>
                </c:pt>
                <c:pt idx="700" formatCode="0.000">
                  <c:v>45.950612244897968</c:v>
                </c:pt>
                <c:pt idx="701" formatCode="0.000">
                  <c:v>45.987551020408169</c:v>
                </c:pt>
                <c:pt idx="702" formatCode="0.000">
                  <c:v>46.005306122448985</c:v>
                </c:pt>
                <c:pt idx="703" formatCode="0.000">
                  <c:v>46.011428571428581</c:v>
                </c:pt>
                <c:pt idx="704" formatCode="0.000">
                  <c:v>46.022244897959197</c:v>
                </c:pt>
                <c:pt idx="705" formatCode="0.000">
                  <c:v>46.024285714285718</c:v>
                </c:pt>
                <c:pt idx="706" formatCode="0.000">
                  <c:v>46.032448979591841</c:v>
                </c:pt>
                <c:pt idx="707" formatCode="0.000">
                  <c:v>46.042857142857152</c:v>
                </c:pt>
                <c:pt idx="708" formatCode="0.000">
                  <c:v>46.057142857142871</c:v>
                </c:pt>
                <c:pt idx="709" formatCode="0.000">
                  <c:v>46.06775510204082</c:v>
                </c:pt>
                <c:pt idx="710" formatCode="0.000">
                  <c:v>46.073061224489805</c:v>
                </c:pt>
                <c:pt idx="711" formatCode="0.000">
                  <c:v>46.072653061224486</c:v>
                </c:pt>
                <c:pt idx="712" formatCode="0.000">
                  <c:v>46.062244897959175</c:v>
                </c:pt>
                <c:pt idx="713" formatCode="0.000">
                  <c:v>46.050204081632657</c:v>
                </c:pt>
                <c:pt idx="714" formatCode="0.000">
                  <c:v>46.033673469387757</c:v>
                </c:pt>
                <c:pt idx="715" formatCode="0.000">
                  <c:v>46.021632653061225</c:v>
                </c:pt>
                <c:pt idx="716" formatCode="0.000">
                  <c:v>46.007755102040811</c:v>
                </c:pt>
                <c:pt idx="717" formatCode="0.000">
                  <c:v>45.993265306122439</c:v>
                </c:pt>
                <c:pt idx="718" formatCode="0.000">
                  <c:v>45.976122448979581</c:v>
                </c:pt>
                <c:pt idx="719" formatCode="0.000">
                  <c:v>45.958163265306119</c:v>
                </c:pt>
                <c:pt idx="720" formatCode="0.000">
                  <c:v>45.956122448979592</c:v>
                </c:pt>
                <c:pt idx="721" formatCode="0.000">
                  <c:v>45.956530612244897</c:v>
                </c:pt>
                <c:pt idx="722" formatCode="0.000">
                  <c:v>45.951836734693885</c:v>
                </c:pt>
                <c:pt idx="723" formatCode="0.000">
                  <c:v>45.955102040816328</c:v>
                </c:pt>
                <c:pt idx="724" formatCode="0.000">
                  <c:v>45.959387755102057</c:v>
                </c:pt>
                <c:pt idx="725" formatCode="0.000">
                  <c:v>45.960612244897959</c:v>
                </c:pt>
                <c:pt idx="726" formatCode="0.000">
                  <c:v>45.967755102040826</c:v>
                </c:pt>
                <c:pt idx="727" formatCode="0.000">
                  <c:v>45.981020408163268</c:v>
                </c:pt>
                <c:pt idx="728" formatCode="0.000">
                  <c:v>45.998367346938785</c:v>
                </c:pt>
                <c:pt idx="729" formatCode="0.000">
                  <c:v>46.027142857142863</c:v>
                </c:pt>
                <c:pt idx="730" formatCode="0.000">
                  <c:v>46.052040816326532</c:v>
                </c:pt>
                <c:pt idx="731" formatCode="0.000">
                  <c:v>46.076530612244909</c:v>
                </c:pt>
                <c:pt idx="732" formatCode="0.000">
                  <c:v>46.101428571428571</c:v>
                </c:pt>
                <c:pt idx="733" formatCode="0.000">
                  <c:v>46.127755102040808</c:v>
                </c:pt>
                <c:pt idx="734" formatCode="0.000">
                  <c:v>46.150612244897964</c:v>
                </c:pt>
                <c:pt idx="735" formatCode="0.000">
                  <c:v>46.1730612244898</c:v>
                </c:pt>
                <c:pt idx="736" formatCode="0.000">
                  <c:v>46.191224489795914</c:v>
                </c:pt>
                <c:pt idx="737" formatCode="0.000">
                  <c:v>46.208775510204084</c:v>
                </c:pt>
                <c:pt idx="738" formatCode="0.000">
                  <c:v>46.247142857142862</c:v>
                </c:pt>
                <c:pt idx="739" formatCode="0.000">
                  <c:v>46.287755102040812</c:v>
                </c:pt>
                <c:pt idx="740" formatCode="0.000">
                  <c:v>46.307142857142864</c:v>
                </c:pt>
                <c:pt idx="741" formatCode="0.000">
                  <c:v>46.287755102040812</c:v>
                </c:pt>
                <c:pt idx="742" formatCode="0.000">
                  <c:v>46.263061224489796</c:v>
                </c:pt>
                <c:pt idx="743" formatCode="0.000">
                  <c:v>46.23571428571428</c:v>
                </c:pt>
                <c:pt idx="744" formatCode="0.000">
                  <c:v>46.179999999999993</c:v>
                </c:pt>
                <c:pt idx="745" formatCode="0.000">
                  <c:v>46.131632653061232</c:v>
                </c:pt>
                <c:pt idx="746" formatCode="0.000">
                  <c:v>46.094897959183676</c:v>
                </c:pt>
                <c:pt idx="747" formatCode="0.000">
                  <c:v>46.058571428571433</c:v>
                </c:pt>
                <c:pt idx="748" formatCode="0.000">
                  <c:v>46.01510204081633</c:v>
                </c:pt>
                <c:pt idx="749" formatCode="0.000">
                  <c:v>45.984897959183677</c:v>
                </c:pt>
                <c:pt idx="750" formatCode="0.000">
                  <c:v>45.954897959183683</c:v>
                </c:pt>
                <c:pt idx="751" formatCode="0.000">
                  <c:v>45.918367346938787</c:v>
                </c:pt>
                <c:pt idx="752" formatCode="0.000">
                  <c:v>45.878163265306135</c:v>
                </c:pt>
                <c:pt idx="753" formatCode="0.000">
                  <c:v>45.841224489795927</c:v>
                </c:pt>
                <c:pt idx="754" formatCode="0.000">
                  <c:v>45.815714285714293</c:v>
                </c:pt>
                <c:pt idx="755" formatCode="0.000">
                  <c:v>45.777551020408183</c:v>
                </c:pt>
                <c:pt idx="756" formatCode="0.000">
                  <c:v>45.728367346938789</c:v>
                </c:pt>
                <c:pt idx="757" formatCode="0.000">
                  <c:v>45.667755102040822</c:v>
                </c:pt>
                <c:pt idx="758" formatCode="0.000">
                  <c:v>45.616734693877547</c:v>
                </c:pt>
                <c:pt idx="759" formatCode="0.000">
                  <c:v>45.567551020408153</c:v>
                </c:pt>
                <c:pt idx="760" formatCode="0.000">
                  <c:v>45.522857142857134</c:v>
                </c:pt>
                <c:pt idx="761" formatCode="0.000">
                  <c:v>45.488775510204071</c:v>
                </c:pt>
                <c:pt idx="762" formatCode="0.000">
                  <c:v>45.452653061224474</c:v>
                </c:pt>
                <c:pt idx="763" formatCode="0.000">
                  <c:v>45.424897959183667</c:v>
                </c:pt>
                <c:pt idx="764" formatCode="0.000">
                  <c:v>45.402244897959193</c:v>
                </c:pt>
                <c:pt idx="765" formatCode="0.000">
                  <c:v>45.377959183673475</c:v>
                </c:pt>
                <c:pt idx="766" formatCode="0.000">
                  <c:v>45.351224489795925</c:v>
                </c:pt>
                <c:pt idx="767" formatCode="0.000">
                  <c:v>45.315306122448995</c:v>
                </c:pt>
                <c:pt idx="768" formatCode="0.000">
                  <c:v>45.279183673469404</c:v>
                </c:pt>
                <c:pt idx="769" formatCode="0.000">
                  <c:v>45.225714285714297</c:v>
                </c:pt>
                <c:pt idx="770" formatCode="0.000">
                  <c:v>45.168367346938787</c:v>
                </c:pt>
                <c:pt idx="771" formatCode="0.000">
                  <c:v>45.110408163265305</c:v>
                </c:pt>
                <c:pt idx="772" formatCode="0.000">
                  <c:v>45.044489795918366</c:v>
                </c:pt>
                <c:pt idx="773" formatCode="0.000">
                  <c:v>44.976938775510199</c:v>
                </c:pt>
                <c:pt idx="774" formatCode="0.000">
                  <c:v>44.901224489795915</c:v>
                </c:pt>
                <c:pt idx="775" formatCode="0.000">
                  <c:v>44.830612244897964</c:v>
                </c:pt>
                <c:pt idx="776" formatCode="0.000">
                  <c:v>44.756326530612242</c:v>
                </c:pt>
                <c:pt idx="777" formatCode="0.000">
                  <c:v>44.684897959183672</c:v>
                </c:pt>
                <c:pt idx="778" formatCode="0.000">
                  <c:v>44.61448979591836</c:v>
                </c:pt>
                <c:pt idx="779" formatCode="0.000">
                  <c:v>44.522857142857148</c:v>
                </c:pt>
                <c:pt idx="780" formatCode="0.000">
                  <c:v>44.441224489795928</c:v>
                </c:pt>
                <c:pt idx="781" formatCode="0.000">
                  <c:v>44.375714285714295</c:v>
                </c:pt>
                <c:pt idx="782" formatCode="0.000">
                  <c:v>44.305714285714288</c:v>
                </c:pt>
                <c:pt idx="783" formatCode="0.000">
                  <c:v>44.225714285714297</c:v>
                </c:pt>
                <c:pt idx="784" formatCode="0.000">
                  <c:v>44.129795918367357</c:v>
                </c:pt>
                <c:pt idx="785" formatCode="0.000">
                  <c:v>44.054081632653066</c:v>
                </c:pt>
                <c:pt idx="786" formatCode="0.000">
                  <c:v>43.984285714285711</c:v>
                </c:pt>
                <c:pt idx="787" formatCode="0.000">
                  <c:v>43.911632653061226</c:v>
                </c:pt>
                <c:pt idx="788" formatCode="0.000">
                  <c:v>43.851632653061245</c:v>
                </c:pt>
                <c:pt idx="789" formatCode="0.000">
                  <c:v>43.809795918367364</c:v>
                </c:pt>
                <c:pt idx="790" formatCode="0.000">
                  <c:v>43.809591836734704</c:v>
                </c:pt>
                <c:pt idx="791" formatCode="0.000">
                  <c:v>43.80632653061226</c:v>
                </c:pt>
                <c:pt idx="792" formatCode="0.000">
                  <c:v>43.801224489795942</c:v>
                </c:pt>
                <c:pt idx="793" formatCode="0.000">
                  <c:v>43.814285714285724</c:v>
                </c:pt>
                <c:pt idx="794" formatCode="0.000">
                  <c:v>43.831632653061234</c:v>
                </c:pt>
                <c:pt idx="795" formatCode="0.000">
                  <c:v>43.813265306122467</c:v>
                </c:pt>
                <c:pt idx="796" formatCode="0.000">
                  <c:v>43.777346938775523</c:v>
                </c:pt>
                <c:pt idx="797" formatCode="0.000">
                  <c:v>43.749795918367361</c:v>
                </c:pt>
                <c:pt idx="798" formatCode="0.000">
                  <c:v>43.719795918367353</c:v>
                </c:pt>
                <c:pt idx="799" formatCode="0.000">
                  <c:v>43.683673469387763</c:v>
                </c:pt>
                <c:pt idx="800" formatCode="0.000">
                  <c:v>43.655102040816345</c:v>
                </c:pt>
                <c:pt idx="801" formatCode="0.000">
                  <c:v>43.628979591836746</c:v>
                </c:pt>
                <c:pt idx="802" formatCode="0.000">
                  <c:v>43.595714285714294</c:v>
                </c:pt>
                <c:pt idx="803" formatCode="0.000">
                  <c:v>43.561428571428586</c:v>
                </c:pt>
                <c:pt idx="804" formatCode="0.000">
                  <c:v>43.522857142857141</c:v>
                </c:pt>
                <c:pt idx="805" formatCode="0.000">
                  <c:v>43.48591836734694</c:v>
                </c:pt>
                <c:pt idx="806" formatCode="0.000">
                  <c:v>43.456530612244904</c:v>
                </c:pt>
                <c:pt idx="807" formatCode="0.000">
                  <c:v>43.431020408163263</c:v>
                </c:pt>
                <c:pt idx="808" formatCode="0.000">
                  <c:v>43.398775510204075</c:v>
                </c:pt>
                <c:pt idx="809" formatCode="0.000">
                  <c:v>43.361020408163263</c:v>
                </c:pt>
                <c:pt idx="810" formatCode="0.000">
                  <c:v>43.315918367346939</c:v>
                </c:pt>
                <c:pt idx="811" formatCode="0.000">
                  <c:v>43.269591836734698</c:v>
                </c:pt>
                <c:pt idx="812" formatCode="0.000">
                  <c:v>43.225714285714297</c:v>
                </c:pt>
                <c:pt idx="813" formatCode="0.000">
                  <c:v>43.171836734693876</c:v>
                </c:pt>
                <c:pt idx="814" formatCode="0.000">
                  <c:v>43.128571428571426</c:v>
                </c:pt>
                <c:pt idx="815" formatCode="0.000">
                  <c:v>43.081224489795908</c:v>
                </c:pt>
                <c:pt idx="816" formatCode="0.000">
                  <c:v>43.053061224489795</c:v>
                </c:pt>
                <c:pt idx="817" formatCode="0.000">
                  <c:v>43.025510204081634</c:v>
                </c:pt>
                <c:pt idx="818" formatCode="0.000">
                  <c:v>43.003877551020409</c:v>
                </c:pt>
                <c:pt idx="819" formatCode="0.000">
                  <c:v>42.992040816326522</c:v>
                </c:pt>
                <c:pt idx="820" formatCode="0.000">
                  <c:v>42.991428571428578</c:v>
                </c:pt>
                <c:pt idx="821" formatCode="0.000">
                  <c:v>42.991428571428578</c:v>
                </c:pt>
                <c:pt idx="822" formatCode="0.000">
                  <c:v>42.998775510204084</c:v>
                </c:pt>
                <c:pt idx="823" formatCode="0.000">
                  <c:v>43.022448979591836</c:v>
                </c:pt>
                <c:pt idx="824" formatCode="0.000">
                  <c:v>43.031020408163272</c:v>
                </c:pt>
                <c:pt idx="825" formatCode="0.000">
                  <c:v>43.042653061224492</c:v>
                </c:pt>
                <c:pt idx="826" formatCode="0.000">
                  <c:v>43.045102040816339</c:v>
                </c:pt>
                <c:pt idx="827" formatCode="0.000">
                  <c:v>43.055714285714295</c:v>
                </c:pt>
                <c:pt idx="828" formatCode="0.000">
                  <c:v>43.085510204081643</c:v>
                </c:pt>
                <c:pt idx="829" formatCode="0.000">
                  <c:v>43.106530612244903</c:v>
                </c:pt>
                <c:pt idx="830" formatCode="0.000">
                  <c:v>43.105306122448987</c:v>
                </c:pt>
                <c:pt idx="831" formatCode="0.000">
                  <c:v>43.088571428571441</c:v>
                </c:pt>
                <c:pt idx="832" formatCode="0.000">
                  <c:v>43.09265306122451</c:v>
                </c:pt>
                <c:pt idx="833" formatCode="0.000">
                  <c:v>43.08693877551022</c:v>
                </c:pt>
                <c:pt idx="834" formatCode="0.000">
                  <c:v>43.078979591836742</c:v>
                </c:pt>
                <c:pt idx="835" formatCode="0.000">
                  <c:v>43.064081632653078</c:v>
                </c:pt>
                <c:pt idx="836" formatCode="0.000">
                  <c:v>43.044897959183679</c:v>
                </c:pt>
                <c:pt idx="837" formatCode="0.000">
                  <c:v>43.019183673469392</c:v>
                </c:pt>
                <c:pt idx="838" formatCode="0.000">
                  <c:v>42.996734693877556</c:v>
                </c:pt>
                <c:pt idx="839" formatCode="0.000">
                  <c:v>42.965102040816326</c:v>
                </c:pt>
                <c:pt idx="840" formatCode="0.000">
                  <c:v>42.935714285714283</c:v>
                </c:pt>
                <c:pt idx="841" formatCode="0.000">
                  <c:v>42.918571428571411</c:v>
                </c:pt>
                <c:pt idx="842" formatCode="0.000">
                  <c:v>42.921020408163258</c:v>
                </c:pt>
                <c:pt idx="843" formatCode="0.000">
                  <c:v>42.916326530612238</c:v>
                </c:pt>
                <c:pt idx="844" formatCode="0.000">
                  <c:v>42.935102040816311</c:v>
                </c:pt>
                <c:pt idx="845" formatCode="0.000">
                  <c:v>42.980612244897941</c:v>
                </c:pt>
                <c:pt idx="846" formatCode="0.000">
                  <c:v>43.019183673469371</c:v>
                </c:pt>
                <c:pt idx="847" formatCode="0.000">
                  <c:v>43.041428571428568</c:v>
                </c:pt>
                <c:pt idx="848" formatCode="0.000">
                  <c:v>43.077346938775499</c:v>
                </c:pt>
                <c:pt idx="849" formatCode="0.000">
                  <c:v>43.122244897959177</c:v>
                </c:pt>
                <c:pt idx="850" formatCode="0.000">
                  <c:v>43.17551020408164</c:v>
                </c:pt>
                <c:pt idx="851" formatCode="0.000">
                  <c:v>43.233673469387753</c:v>
                </c:pt>
                <c:pt idx="852" formatCode="0.000">
                  <c:v>43.282040816326521</c:v>
                </c:pt>
                <c:pt idx="853" formatCode="0.000">
                  <c:v>43.345510204081627</c:v>
                </c:pt>
                <c:pt idx="854" formatCode="0.000">
                  <c:v>43.413061224489795</c:v>
                </c:pt>
                <c:pt idx="855" formatCode="0.000">
                  <c:v>43.481020408163261</c:v>
                </c:pt>
                <c:pt idx="856" formatCode="0.000">
                  <c:v>43.544285714285714</c:v>
                </c:pt>
                <c:pt idx="857" formatCode="0.000">
                  <c:v>43.601632653061216</c:v>
                </c:pt>
                <c:pt idx="858" formatCode="0.000">
                  <c:v>43.667346938775509</c:v>
                </c:pt>
                <c:pt idx="859" formatCode="0.000">
                  <c:v>43.756530612244902</c:v>
                </c:pt>
                <c:pt idx="860" formatCode="0.000">
                  <c:v>43.852244897959181</c:v>
                </c:pt>
                <c:pt idx="861" formatCode="0.000">
                  <c:v>43.93204081632652</c:v>
                </c:pt>
                <c:pt idx="862" formatCode="0.000">
                  <c:v>44.014693877551018</c:v>
                </c:pt>
                <c:pt idx="863" formatCode="0.000">
                  <c:v>44.100816326530612</c:v>
                </c:pt>
                <c:pt idx="864" formatCode="0.000">
                  <c:v>44.185306122448978</c:v>
                </c:pt>
                <c:pt idx="865" formatCode="0.000">
                  <c:v>44.262448979591831</c:v>
                </c:pt>
                <c:pt idx="866" formatCode="0.000">
                  <c:v>44.350204081632647</c:v>
                </c:pt>
                <c:pt idx="867" formatCode="0.000">
                  <c:v>44.436938775510214</c:v>
                </c:pt>
                <c:pt idx="868" formatCode="0.000">
                  <c:v>44.514897959183692</c:v>
                </c:pt>
                <c:pt idx="869" formatCode="0.000">
                  <c:v>44.576530612244909</c:v>
                </c:pt>
                <c:pt idx="870" formatCode="0.000">
                  <c:v>44.64489795918368</c:v>
                </c:pt>
                <c:pt idx="871" formatCode="0.000">
                  <c:v>44.705306122448988</c:v>
                </c:pt>
                <c:pt idx="872" formatCode="0.000">
                  <c:v>44.753061224489798</c:v>
                </c:pt>
                <c:pt idx="873" formatCode="0.000">
                  <c:v>44.809795918367342</c:v>
                </c:pt>
                <c:pt idx="874" formatCode="0.000">
                  <c:v>44.86326530612245</c:v>
                </c:pt>
                <c:pt idx="875" formatCode="0.000">
                  <c:v>44.92</c:v>
                </c:pt>
                <c:pt idx="876" formatCode="0.000">
                  <c:v>44.974081632653053</c:v>
                </c:pt>
                <c:pt idx="877" formatCode="0.000">
                  <c:v>45.027142857142856</c:v>
                </c:pt>
                <c:pt idx="878" formatCode="0.000">
                  <c:v>45.06408163265305</c:v>
                </c:pt>
                <c:pt idx="879" formatCode="0.000">
                  <c:v>45.099795918367334</c:v>
                </c:pt>
                <c:pt idx="880" formatCode="0.000">
                  <c:v>45.143061224489784</c:v>
                </c:pt>
                <c:pt idx="881" formatCode="0.000">
                  <c:v>45.173877551020396</c:v>
                </c:pt>
                <c:pt idx="882" formatCode="0.000">
                  <c:v>45.217551020408159</c:v>
                </c:pt>
                <c:pt idx="883" formatCode="0.000">
                  <c:v>45.253673469387763</c:v>
                </c:pt>
                <c:pt idx="884" formatCode="0.000">
                  <c:v>45.295918367346935</c:v>
                </c:pt>
                <c:pt idx="885" formatCode="0.000">
                  <c:v>45.333877551020407</c:v>
                </c:pt>
                <c:pt idx="886" formatCode="0.000">
                  <c:v>45.360816326530617</c:v>
                </c:pt>
                <c:pt idx="887" formatCode="0.000">
                  <c:v>45.384897959183682</c:v>
                </c:pt>
                <c:pt idx="888" formatCode="0.000">
                  <c:v>45.426734693877563</c:v>
                </c:pt>
                <c:pt idx="889" formatCode="0.000">
                  <c:v>45.481836734693893</c:v>
                </c:pt>
                <c:pt idx="890" formatCode="0.000">
                  <c:v>45.527755102040828</c:v>
                </c:pt>
                <c:pt idx="891" formatCode="0.000">
                  <c:v>45.572653061224486</c:v>
                </c:pt>
                <c:pt idx="892" formatCode="0.000">
                  <c:v>45.618979591836734</c:v>
                </c:pt>
                <c:pt idx="893" formatCode="0.000">
                  <c:v>45.664897959183669</c:v>
                </c:pt>
                <c:pt idx="894" formatCode="0.000">
                  <c:v>45.688775510204074</c:v>
                </c:pt>
                <c:pt idx="895" formatCode="0.000">
                  <c:v>45.716326530612236</c:v>
                </c:pt>
                <c:pt idx="896" formatCode="0.000">
                  <c:v>45.755510204081624</c:v>
                </c:pt>
                <c:pt idx="897" formatCode="0.000">
                  <c:v>45.775102040816314</c:v>
                </c:pt>
                <c:pt idx="898" formatCode="0.000">
                  <c:v>45.798979591836734</c:v>
                </c:pt>
                <c:pt idx="899" formatCode="0.000">
                  <c:v>45.839183673469385</c:v>
                </c:pt>
                <c:pt idx="900" formatCode="0.000">
                  <c:v>45.876734693877545</c:v>
                </c:pt>
                <c:pt idx="901" formatCode="0.000">
                  <c:v>45.904081632653067</c:v>
                </c:pt>
                <c:pt idx="902" formatCode="0.000">
                  <c:v>45.912857142857142</c:v>
                </c:pt>
                <c:pt idx="903" formatCode="0.000">
                  <c:v>45.92775510204082</c:v>
                </c:pt>
                <c:pt idx="904" formatCode="0.000">
                  <c:v>45.946122448979601</c:v>
                </c:pt>
                <c:pt idx="905" formatCode="0.000">
                  <c:v>45.964693877551028</c:v>
                </c:pt>
                <c:pt idx="906" formatCode="0.000">
                  <c:v>45.990816326530613</c:v>
                </c:pt>
                <c:pt idx="907" formatCode="0.000">
                  <c:v>46.016326530612261</c:v>
                </c:pt>
                <c:pt idx="908" formatCode="0.000">
                  <c:v>46.011836734693887</c:v>
                </c:pt>
                <c:pt idx="909" formatCode="0.000">
                  <c:v>46.003877551020402</c:v>
                </c:pt>
                <c:pt idx="910" formatCode="0.000">
                  <c:v>45.997142857142862</c:v>
                </c:pt>
                <c:pt idx="911" formatCode="0.000">
                  <c:v>46.002244897959187</c:v>
                </c:pt>
                <c:pt idx="912" formatCode="0.000">
                  <c:v>45.997346938775507</c:v>
                </c:pt>
                <c:pt idx="913" formatCode="0.000">
                  <c:v>45.982857142857142</c:v>
                </c:pt>
                <c:pt idx="914" formatCode="0.000">
                  <c:v>45.951428571428558</c:v>
                </c:pt>
                <c:pt idx="915" formatCode="0.000">
                  <c:v>45.911836734693864</c:v>
                </c:pt>
                <c:pt idx="916" formatCode="0.000">
                  <c:v>45.876326530612225</c:v>
                </c:pt>
                <c:pt idx="917" formatCode="0.000">
                  <c:v>45.855714285714271</c:v>
                </c:pt>
                <c:pt idx="918" formatCode="0.000">
                  <c:v>45.849795918367342</c:v>
                </c:pt>
                <c:pt idx="919" formatCode="0.000">
                  <c:v>45.834693877551025</c:v>
                </c:pt>
                <c:pt idx="920" formatCode="0.000">
                  <c:v>45.839795918367351</c:v>
                </c:pt>
                <c:pt idx="921" formatCode="0.000">
                  <c:v>45.842653061224496</c:v>
                </c:pt>
                <c:pt idx="922" formatCode="0.000">
                  <c:v>45.852244897959196</c:v>
                </c:pt>
                <c:pt idx="923" formatCode="0.000">
                  <c:v>45.865510204081637</c:v>
                </c:pt>
                <c:pt idx="924" formatCode="0.000">
                  <c:v>45.871428571428574</c:v>
                </c:pt>
                <c:pt idx="925" formatCode="0.000">
                  <c:v>45.857551020408174</c:v>
                </c:pt>
                <c:pt idx="926" formatCode="0.000">
                  <c:v>45.852040816326543</c:v>
                </c:pt>
                <c:pt idx="927" formatCode="0.000">
                  <c:v>45.880816326530621</c:v>
                </c:pt>
                <c:pt idx="928" formatCode="0.000">
                  <c:v>45.920612244897974</c:v>
                </c:pt>
                <c:pt idx="929" formatCode="0.000">
                  <c:v>45.962244897959188</c:v>
                </c:pt>
                <c:pt idx="930" formatCode="0.000">
                  <c:v>46.010612244897956</c:v>
                </c:pt>
                <c:pt idx="931" formatCode="0.000">
                  <c:v>46.071836734693875</c:v>
                </c:pt>
                <c:pt idx="932" formatCode="0.000">
                  <c:v>46.148163265306124</c:v>
                </c:pt>
                <c:pt idx="933" formatCode="0.000">
                  <c:v>46.230612244897962</c:v>
                </c:pt>
                <c:pt idx="934" formatCode="0.000">
                  <c:v>46.320000000000007</c:v>
                </c:pt>
                <c:pt idx="935" formatCode="0.000">
                  <c:v>46.424285714285723</c:v>
                </c:pt>
                <c:pt idx="936" formatCode="0.000">
                  <c:v>46.528571428571432</c:v>
                </c:pt>
                <c:pt idx="937" formatCode="0.000">
                  <c:v>46.620000000000005</c:v>
                </c:pt>
                <c:pt idx="938" formatCode="0.000">
                  <c:v>46.701428571428579</c:v>
                </c:pt>
                <c:pt idx="939" formatCode="0.000">
                  <c:v>46.783469387755098</c:v>
                </c:pt>
                <c:pt idx="940" formatCode="0.000">
                  <c:v>46.867346938775512</c:v>
                </c:pt>
                <c:pt idx="941" formatCode="0.000">
                  <c:v>46.958979591836737</c:v>
                </c:pt>
                <c:pt idx="942" formatCode="0.000">
                  <c:v>47.023061224489801</c:v>
                </c:pt>
                <c:pt idx="943" formatCode="0.000">
                  <c:v>47.082244897959178</c:v>
                </c:pt>
                <c:pt idx="944" formatCode="0.000">
                  <c:v>47.144081632653062</c:v>
                </c:pt>
                <c:pt idx="945" formatCode="0.000">
                  <c:v>47.196122448979587</c:v>
                </c:pt>
                <c:pt idx="946" formatCode="0.000">
                  <c:v>47.26632653061224</c:v>
                </c:pt>
                <c:pt idx="947" formatCode="0.000">
                  <c:v>47.342857142857135</c:v>
                </c:pt>
                <c:pt idx="948" formatCode="0.000">
                  <c:v>47.390612244897959</c:v>
                </c:pt>
                <c:pt idx="949" formatCode="0.000">
                  <c:v>47.46857142857143</c:v>
                </c:pt>
                <c:pt idx="950" formatCode="0.000">
                  <c:v>47.542448979591846</c:v>
                </c:pt>
                <c:pt idx="951" formatCode="0.000">
                  <c:v>47.622040816326532</c:v>
                </c:pt>
                <c:pt idx="952" formatCode="0.000">
                  <c:v>47.694081632653059</c:v>
                </c:pt>
                <c:pt idx="953" formatCode="0.000">
                  <c:v>47.756938775510207</c:v>
                </c:pt>
                <c:pt idx="954" formatCode="0.000">
                  <c:v>47.819183673469382</c:v>
                </c:pt>
                <c:pt idx="955" formatCode="0.000">
                  <c:v>47.88673469387755</c:v>
                </c:pt>
                <c:pt idx="956" formatCode="0.000">
                  <c:v>47.942040816326518</c:v>
                </c:pt>
                <c:pt idx="957" formatCode="0.000">
                  <c:v>48.015510204081622</c:v>
                </c:pt>
                <c:pt idx="958" formatCode="0.000">
                  <c:v>48.086734693877531</c:v>
                </c:pt>
                <c:pt idx="959" formatCode="0.000">
                  <c:v>48.136734693877536</c:v>
                </c:pt>
                <c:pt idx="960" formatCode="0.000">
                  <c:v>48.174285714285702</c:v>
                </c:pt>
                <c:pt idx="961" formatCode="0.000">
                  <c:v>48.205102040816321</c:v>
                </c:pt>
                <c:pt idx="962" formatCode="0.000">
                  <c:v>48.243061224489793</c:v>
                </c:pt>
                <c:pt idx="963" formatCode="0.000">
                  <c:v>48.302857142857142</c:v>
                </c:pt>
                <c:pt idx="964" formatCode="0.000">
                  <c:v>48.328979591836742</c:v>
                </c:pt>
                <c:pt idx="965" formatCode="0.000">
                  <c:v>48.370408163265317</c:v>
                </c:pt>
                <c:pt idx="966" formatCode="0.000">
                  <c:v>48.412040816326538</c:v>
                </c:pt>
                <c:pt idx="967" formatCode="0.000">
                  <c:v>48.439387755102047</c:v>
                </c:pt>
                <c:pt idx="968" formatCode="0.000">
                  <c:v>48.474897959183686</c:v>
                </c:pt>
                <c:pt idx="969" formatCode="0.000">
                  <c:v>48.487142857142857</c:v>
                </c:pt>
                <c:pt idx="970" formatCode="0.000">
                  <c:v>48.50081632653059</c:v>
                </c:pt>
                <c:pt idx="971" formatCode="0.000">
                  <c:v>48.525510204081627</c:v>
                </c:pt>
                <c:pt idx="972" formatCode="0.000">
                  <c:v>48.529999999999987</c:v>
                </c:pt>
                <c:pt idx="973" formatCode="0.000">
                  <c:v>48.54979591836733</c:v>
                </c:pt>
                <c:pt idx="974" formatCode="0.000">
                  <c:v>48.563061224489786</c:v>
                </c:pt>
                <c:pt idx="975" formatCode="0.000">
                  <c:v>48.575510204081631</c:v>
                </c:pt>
                <c:pt idx="976" formatCode="0.000">
                  <c:v>48.569591836734702</c:v>
                </c:pt>
                <c:pt idx="977" formatCode="0.000">
                  <c:v>48.554693877551024</c:v>
                </c:pt>
                <c:pt idx="978" formatCode="0.000">
                  <c:v>48.551224489795935</c:v>
                </c:pt>
                <c:pt idx="979" formatCode="0.000">
                  <c:v>48.529183673469404</c:v>
                </c:pt>
                <c:pt idx="980" formatCode="0.000">
                  <c:v>48.495918367346952</c:v>
                </c:pt>
                <c:pt idx="981" formatCode="0.000">
                  <c:v>48.465306122448993</c:v>
                </c:pt>
                <c:pt idx="982" formatCode="0.000">
                  <c:v>48.431632653061229</c:v>
                </c:pt>
                <c:pt idx="983" formatCode="0.000">
                  <c:v>48.410000000000004</c:v>
                </c:pt>
                <c:pt idx="984" formatCode="0.000">
                  <c:v>48.369387755102039</c:v>
                </c:pt>
                <c:pt idx="985" formatCode="0.000">
                  <c:v>48.318367346938764</c:v>
                </c:pt>
                <c:pt idx="986" formatCode="0.000">
                  <c:v>48.263469387755102</c:v>
                </c:pt>
                <c:pt idx="987" formatCode="0.000">
                  <c:v>48.215306122448972</c:v>
                </c:pt>
                <c:pt idx="988" formatCode="0.000">
                  <c:v>48.176938775510209</c:v>
                </c:pt>
                <c:pt idx="989" formatCode="0.000">
                  <c:v>48.135306122448988</c:v>
                </c:pt>
                <c:pt idx="990" formatCode="0.000">
                  <c:v>48.09836734693878</c:v>
                </c:pt>
                <c:pt idx="991" formatCode="0.000">
                  <c:v>48.095714285714287</c:v>
                </c:pt>
                <c:pt idx="992" formatCode="0.000">
                  <c:v>48.106530612244903</c:v>
                </c:pt>
                <c:pt idx="993" formatCode="0.000">
                  <c:v>48.111428571428583</c:v>
                </c:pt>
                <c:pt idx="994" formatCode="0.000">
                  <c:v>48.122653061224504</c:v>
                </c:pt>
                <c:pt idx="995" formatCode="0.000">
                  <c:v>48.12530612244899</c:v>
                </c:pt>
                <c:pt idx="996" formatCode="0.000">
                  <c:v>48.12326530612247</c:v>
                </c:pt>
                <c:pt idx="997" formatCode="0.000">
                  <c:v>48.137142857142869</c:v>
                </c:pt>
                <c:pt idx="998" formatCode="0.000">
                  <c:v>48.124693877551032</c:v>
                </c:pt>
                <c:pt idx="999" formatCode="0.000">
                  <c:v>48.04102040816327</c:v>
                </c:pt>
                <c:pt idx="1000" formatCode="0.000">
                  <c:v>47.952448979591829</c:v>
                </c:pt>
                <c:pt idx="1001" formatCode="0.000">
                  <c:v>47.859591836734694</c:v>
                </c:pt>
                <c:pt idx="1002" formatCode="0.000">
                  <c:v>47.778163265306112</c:v>
                </c:pt>
                <c:pt idx="1003" formatCode="0.000">
                  <c:v>47.70918367346939</c:v>
                </c:pt>
                <c:pt idx="1004" formatCode="0.000">
                  <c:v>47.622244897959199</c:v>
                </c:pt>
                <c:pt idx="1005" formatCode="0.000">
                  <c:v>47.534897959183681</c:v>
                </c:pt>
                <c:pt idx="1006" formatCode="0.000">
                  <c:v>47.437346938775519</c:v>
                </c:pt>
                <c:pt idx="1007" formatCode="0.000">
                  <c:v>47.347551020408176</c:v>
                </c:pt>
                <c:pt idx="1008" formatCode="0.000">
                  <c:v>47.28653061224491</c:v>
                </c:pt>
                <c:pt idx="1009" formatCode="0.000">
                  <c:v>47.226530612244908</c:v>
                </c:pt>
                <c:pt idx="1010" formatCode="0.000">
                  <c:v>47.180612244897965</c:v>
                </c:pt>
                <c:pt idx="1011" formatCode="0.000">
                  <c:v>47.141020408163271</c:v>
                </c:pt>
                <c:pt idx="1012" formatCode="0.000">
                  <c:v>47.097755102040814</c:v>
                </c:pt>
                <c:pt idx="1013" formatCode="0.000">
                  <c:v>47.083877551020407</c:v>
                </c:pt>
                <c:pt idx="1014" formatCode="0.000">
                  <c:v>47.041020408163263</c:v>
                </c:pt>
                <c:pt idx="1015" formatCode="0.000">
                  <c:v>47.013469387755102</c:v>
                </c:pt>
                <c:pt idx="1016" formatCode="0.000">
                  <c:v>46.99</c:v>
                </c:pt>
                <c:pt idx="1017" formatCode="0.000">
                  <c:v>46.966938775510194</c:v>
                </c:pt>
                <c:pt idx="1018" formatCode="0.000">
                  <c:v>46.941836734693872</c:v>
                </c:pt>
                <c:pt idx="1019" formatCode="0.000">
                  <c:v>46.914489795918364</c:v>
                </c:pt>
                <c:pt idx="1020" formatCode="0.000">
                  <c:v>46.870408163265296</c:v>
                </c:pt>
                <c:pt idx="1021" formatCode="0.000">
                  <c:v>46.842040816326517</c:v>
                </c:pt>
                <c:pt idx="1022" formatCode="0.000">
                  <c:v>46.80224489795917</c:v>
                </c:pt>
                <c:pt idx="1023" formatCode="0.000">
                  <c:v>46.780612244897959</c:v>
                </c:pt>
                <c:pt idx="1024" formatCode="0.000">
                  <c:v>46.757346938775513</c:v>
                </c:pt>
                <c:pt idx="1025" formatCode="0.000">
                  <c:v>46.730612244897962</c:v>
                </c:pt>
                <c:pt idx="1026" formatCode="0.000">
                  <c:v>46.720204081632659</c:v>
                </c:pt>
                <c:pt idx="1027" formatCode="0.000">
                  <c:v>46.700612244897968</c:v>
                </c:pt>
                <c:pt idx="1028" formatCode="0.000">
                  <c:v>46.693673469387754</c:v>
                </c:pt>
                <c:pt idx="1029" formatCode="0.000">
                  <c:v>46.689591836734692</c:v>
                </c:pt>
                <c:pt idx="1030" formatCode="0.000">
                  <c:v>46.671428571428571</c:v>
                </c:pt>
                <c:pt idx="1031" formatCode="0.000">
                  <c:v>46.647959183673478</c:v>
                </c:pt>
                <c:pt idx="1032" formatCode="0.000">
                  <c:v>46.605306122448987</c:v>
                </c:pt>
                <c:pt idx="1033" formatCode="0.000">
                  <c:v>46.580612244897964</c:v>
                </c:pt>
                <c:pt idx="1034" formatCode="0.000">
                  <c:v>46.562244897959175</c:v>
                </c:pt>
                <c:pt idx="1035" formatCode="0.000">
                  <c:v>46.549591836734692</c:v>
                </c:pt>
                <c:pt idx="1036" formatCode="0.000">
                  <c:v>46.534693877551014</c:v>
                </c:pt>
                <c:pt idx="1037" formatCode="0.000">
                  <c:v>46.509795918367345</c:v>
                </c:pt>
                <c:pt idx="1038" formatCode="0.000">
                  <c:v>46.480816326530608</c:v>
                </c:pt>
                <c:pt idx="1039" formatCode="0.000">
                  <c:v>46.440816326530609</c:v>
                </c:pt>
                <c:pt idx="1040" formatCode="0.000">
                  <c:v>46.394897959183659</c:v>
                </c:pt>
                <c:pt idx="1041" formatCode="0.000">
                  <c:v>46.347755102040807</c:v>
                </c:pt>
                <c:pt idx="1042" formatCode="0.000">
                  <c:v>46.30734693877551</c:v>
                </c:pt>
                <c:pt idx="1043" formatCode="0.000">
                  <c:v>46.267755102040823</c:v>
                </c:pt>
                <c:pt idx="1044" formatCode="0.000">
                  <c:v>46.224897959183672</c:v>
                </c:pt>
                <c:pt idx="1045" formatCode="0.000">
                  <c:v>46.196326530612254</c:v>
                </c:pt>
                <c:pt idx="1046" formatCode="0.000">
                  <c:v>46.162040816326531</c:v>
                </c:pt>
                <c:pt idx="1047" formatCode="0.000">
                  <c:v>46.122244897959192</c:v>
                </c:pt>
                <c:pt idx="1048" formatCode="0.000">
                  <c:v>46.176734693877556</c:v>
                </c:pt>
                <c:pt idx="1049" formatCode="0.000">
                  <c:v>46.241632653061238</c:v>
                </c:pt>
                <c:pt idx="1050" formatCode="0.000">
                  <c:v>46.327959183673485</c:v>
                </c:pt>
                <c:pt idx="1051" formatCode="0.000">
                  <c:v>46.399183673469395</c:v>
                </c:pt>
                <c:pt idx="1052" formatCode="0.000">
                  <c:v>46.450816326530614</c:v>
                </c:pt>
                <c:pt idx="1053" formatCode="0.000">
                  <c:v>46.52102040816326</c:v>
                </c:pt>
                <c:pt idx="1054" formatCode="0.000">
                  <c:v>46.593061224489794</c:v>
                </c:pt>
                <c:pt idx="1055" formatCode="0.000">
                  <c:v>46.660612244897955</c:v>
                </c:pt>
                <c:pt idx="1056" formatCode="0.000">
                  <c:v>46.719999999999992</c:v>
                </c:pt>
                <c:pt idx="1057" formatCode="0.000">
                  <c:v>46.762040816326525</c:v>
                </c:pt>
                <c:pt idx="1058" formatCode="0.000">
                  <c:v>46.819387755102042</c:v>
                </c:pt>
                <c:pt idx="1059" formatCode="0.000">
                  <c:v>46.86836734693879</c:v>
                </c:pt>
                <c:pt idx="1060" formatCode="0.000">
                  <c:v>46.931428571428576</c:v>
                </c:pt>
                <c:pt idx="1061" formatCode="0.000">
                  <c:v>47.007551020408179</c:v>
                </c:pt>
                <c:pt idx="1062" formatCode="0.000">
                  <c:v>47.095306122448989</c:v>
                </c:pt>
                <c:pt idx="1063" formatCode="0.000">
                  <c:v>47.184285714285721</c:v>
                </c:pt>
                <c:pt idx="1064" formatCode="0.000">
                  <c:v>47.238775510204079</c:v>
                </c:pt>
                <c:pt idx="1065" formatCode="0.000">
                  <c:v>47.290816326530603</c:v>
                </c:pt>
                <c:pt idx="1066" formatCode="0.000">
                  <c:v>47.36081632653061</c:v>
                </c:pt>
                <c:pt idx="1067" formatCode="0.000">
                  <c:v>47.445510204081629</c:v>
                </c:pt>
                <c:pt idx="1068" formatCode="0.000">
                  <c:v>47.533469387755112</c:v>
                </c:pt>
                <c:pt idx="1069" formatCode="0.000">
                  <c:v>47.60877551020409</c:v>
                </c:pt>
                <c:pt idx="1070" formatCode="0.000">
                  <c:v>47.671020408163265</c:v>
                </c:pt>
                <c:pt idx="1071" formatCode="0.000">
                  <c:v>47.746938775510202</c:v>
                </c:pt>
                <c:pt idx="1072" formatCode="0.000">
                  <c:v>47.820816326530618</c:v>
                </c:pt>
                <c:pt idx="1073" formatCode="0.000">
                  <c:v>47.903469387755109</c:v>
                </c:pt>
                <c:pt idx="1074" formatCode="0.000">
                  <c:v>47.984489795918371</c:v>
                </c:pt>
                <c:pt idx="1075" formatCode="0.000">
                  <c:v>48.068979591836744</c:v>
                </c:pt>
                <c:pt idx="1076" formatCode="0.000">
                  <c:v>48.166734693877565</c:v>
                </c:pt>
                <c:pt idx="1077" formatCode="0.000">
                  <c:v>48.266938775510205</c:v>
                </c:pt>
                <c:pt idx="1078" formatCode="0.000">
                  <c:v>48.359183673469389</c:v>
                </c:pt>
                <c:pt idx="1079" formatCode="0.000">
                  <c:v>48.453265306122447</c:v>
                </c:pt>
                <c:pt idx="1080" formatCode="0.000">
                  <c:v>48.556734693877544</c:v>
                </c:pt>
                <c:pt idx="1081" formatCode="0.000">
                  <c:v>48.657755102040817</c:v>
                </c:pt>
                <c:pt idx="1082" formatCode="0.000">
                  <c:v>48.756326530612235</c:v>
                </c:pt>
                <c:pt idx="1083" formatCode="0.000">
                  <c:v>48.846122448979585</c:v>
                </c:pt>
                <c:pt idx="1084" formatCode="0.000">
                  <c:v>48.92959183673468</c:v>
                </c:pt>
                <c:pt idx="1085" formatCode="0.000">
                  <c:v>49.020408163265294</c:v>
                </c:pt>
                <c:pt idx="1086" formatCode="0.000">
                  <c:v>49.122857142857136</c:v>
                </c:pt>
                <c:pt idx="1087" formatCode="0.000">
                  <c:v>49.221632653061221</c:v>
                </c:pt>
                <c:pt idx="1088" formatCode="0.000">
                  <c:v>49.327346938775499</c:v>
                </c:pt>
                <c:pt idx="1089" formatCode="0.000">
                  <c:v>49.424489795918369</c:v>
                </c:pt>
                <c:pt idx="1090" formatCode="0.000">
                  <c:v>49.509591836734693</c:v>
                </c:pt>
                <c:pt idx="1091" formatCode="0.000">
                  <c:v>49.587142857142858</c:v>
                </c:pt>
                <c:pt idx="1092" formatCode="0.000">
                  <c:v>49.657346938775518</c:v>
                </c:pt>
                <c:pt idx="1093" formatCode="0.000">
                  <c:v>49.7430612244898</c:v>
                </c:pt>
                <c:pt idx="1094" formatCode="0.000">
                  <c:v>49.820000000000007</c:v>
                </c:pt>
                <c:pt idx="1095" formatCode="0.000">
                  <c:v>49.904081632653067</c:v>
                </c:pt>
                <c:pt idx="1096" formatCode="0.000">
                  <c:v>49.991224489795933</c:v>
                </c:pt>
                <c:pt idx="1097" formatCode="0.000">
                  <c:v>50.067551020408175</c:v>
                </c:pt>
                <c:pt idx="1098" formatCode="0.000">
                  <c:v>50.132244897959204</c:v>
                </c:pt>
                <c:pt idx="1099" formatCode="0.000">
                  <c:v>50.188571428571443</c:v>
                </c:pt>
                <c:pt idx="1100" formatCode="0.000">
                  <c:v>50.258979591836749</c:v>
                </c:pt>
                <c:pt idx="1101" formatCode="0.000">
                  <c:v>50.335102040816338</c:v>
                </c:pt>
                <c:pt idx="1102" formatCode="0.000">
                  <c:v>50.404693877551026</c:v>
                </c:pt>
                <c:pt idx="1103" formatCode="0.000">
                  <c:v>50.479591836734706</c:v>
                </c:pt>
                <c:pt idx="1104" formatCode="0.000">
                  <c:v>50.564897959183668</c:v>
                </c:pt>
                <c:pt idx="1105" formatCode="0.000">
                  <c:v>50.650204081632644</c:v>
                </c:pt>
                <c:pt idx="1106" formatCode="0.000">
                  <c:v>50.731632653061226</c:v>
                </c:pt>
                <c:pt idx="1107" formatCode="0.000">
                  <c:v>50.793469387755088</c:v>
                </c:pt>
                <c:pt idx="1108" formatCode="0.000">
                  <c:v>50.921632653061202</c:v>
                </c:pt>
                <c:pt idx="1109" formatCode="0.000">
                  <c:v>51.025510204081613</c:v>
                </c:pt>
                <c:pt idx="1110" formatCode="0.000">
                  <c:v>51.10489795918366</c:v>
                </c:pt>
                <c:pt idx="1111" formatCode="0.000">
                  <c:v>51.19857142857142</c:v>
                </c:pt>
                <c:pt idx="1112" formatCode="0.000">
                  <c:v>51.296326530612234</c:v>
                </c:pt>
                <c:pt idx="1113" formatCode="0.000">
                  <c:v>51.395714285714277</c:v>
                </c:pt>
                <c:pt idx="1114" formatCode="0.000">
                  <c:v>51.477959183673462</c:v>
                </c:pt>
                <c:pt idx="1115" formatCode="0.000">
                  <c:v>51.526530612244891</c:v>
                </c:pt>
                <c:pt idx="1116" formatCode="0.000">
                  <c:v>51.57714285714286</c:v>
                </c:pt>
                <c:pt idx="1117" formatCode="0.000">
                  <c:v>51.618775510204088</c:v>
                </c:pt>
                <c:pt idx="1118" formatCode="0.000">
                  <c:v>51.683469387755096</c:v>
                </c:pt>
                <c:pt idx="1119" formatCode="0.000">
                  <c:v>51.776734693877543</c:v>
                </c:pt>
                <c:pt idx="1120" formatCode="0.000">
                  <c:v>51.867346938775491</c:v>
                </c:pt>
                <c:pt idx="1121" formatCode="0.000">
                  <c:v>51.954897959183661</c:v>
                </c:pt>
                <c:pt idx="1122" formatCode="0.000">
                  <c:v>52.020612244897954</c:v>
                </c:pt>
                <c:pt idx="1123" formatCode="0.000">
                  <c:v>52.092040816326524</c:v>
                </c:pt>
                <c:pt idx="1124" formatCode="0.000">
                  <c:v>52.137142857142841</c:v>
                </c:pt>
                <c:pt idx="1125" formatCode="0.000">
                  <c:v>52.187551020408158</c:v>
                </c:pt>
                <c:pt idx="1126" formatCode="0.000">
                  <c:v>52.24714285714284</c:v>
                </c:pt>
                <c:pt idx="1127" formatCode="0.000">
                  <c:v>52.314693877551015</c:v>
                </c:pt>
                <c:pt idx="1128" formatCode="0.000">
                  <c:v>52.366734693877547</c:v>
                </c:pt>
                <c:pt idx="1129" formatCode="0.000">
                  <c:v>52.416938775510204</c:v>
                </c:pt>
                <c:pt idx="1130" formatCode="0.000">
                  <c:v>52.485510204081621</c:v>
                </c:pt>
                <c:pt idx="1131" formatCode="0.000">
                  <c:v>52.535102040816319</c:v>
                </c:pt>
                <c:pt idx="1132" formatCode="0.000">
                  <c:v>52.609999999999985</c:v>
                </c:pt>
                <c:pt idx="1133" formatCode="0.000">
                  <c:v>52.693265306122434</c:v>
                </c:pt>
                <c:pt idx="1134" formatCode="0.000">
                  <c:v>52.774693877551023</c:v>
                </c:pt>
                <c:pt idx="1135" formatCode="0.000">
                  <c:v>52.843877551020405</c:v>
                </c:pt>
                <c:pt idx="1136" formatCode="0.000">
                  <c:v>52.915102040816322</c:v>
                </c:pt>
                <c:pt idx="1137" formatCode="0.000">
                  <c:v>52.984081632653066</c:v>
                </c:pt>
                <c:pt idx="1138" formatCode="0.000">
                  <c:v>53.065918367346939</c:v>
                </c:pt>
                <c:pt idx="1139" formatCode="0.000">
                  <c:v>53.147551020408166</c:v>
                </c:pt>
                <c:pt idx="1140" formatCode="0.000">
                  <c:v>53.232244897959184</c:v>
                </c:pt>
                <c:pt idx="1141" formatCode="0.000">
                  <c:v>53.305714285714295</c:v>
                </c:pt>
                <c:pt idx="1142" formatCode="0.000">
                  <c:v>53.362857142857159</c:v>
                </c:pt>
                <c:pt idx="1143" formatCode="0.000">
                  <c:v>53.419795918367356</c:v>
                </c:pt>
                <c:pt idx="1144" formatCode="0.000">
                  <c:v>53.481224489795935</c:v>
                </c:pt>
                <c:pt idx="1145" formatCode="0.000">
                  <c:v>53.525102040816343</c:v>
                </c:pt>
                <c:pt idx="1146" formatCode="0.000">
                  <c:v>53.565102040816349</c:v>
                </c:pt>
                <c:pt idx="1147" formatCode="0.000">
                  <c:v>53.619183673469401</c:v>
                </c:pt>
                <c:pt idx="1148" formatCode="0.000">
                  <c:v>53.668367346938787</c:v>
                </c:pt>
                <c:pt idx="1149" formatCode="0.000">
                  <c:v>53.718979591836735</c:v>
                </c:pt>
                <c:pt idx="1150" formatCode="0.000">
                  <c:v>53.755510204081631</c:v>
                </c:pt>
                <c:pt idx="1151" formatCode="0.000">
                  <c:v>53.796530612244894</c:v>
                </c:pt>
                <c:pt idx="1152" formatCode="0.000">
                  <c:v>53.840612244897962</c:v>
                </c:pt>
                <c:pt idx="1153" formatCode="0.000">
                  <c:v>53.881224489795912</c:v>
                </c:pt>
                <c:pt idx="1154" formatCode="0.000">
                  <c:v>53.929387755102042</c:v>
                </c:pt>
                <c:pt idx="1155" formatCode="0.000">
                  <c:v>53.988979591836724</c:v>
                </c:pt>
                <c:pt idx="1156" formatCode="0.000">
                  <c:v>54.05469387755101</c:v>
                </c:pt>
                <c:pt idx="1157" formatCode="0.000">
                  <c:v>54.061224489795897</c:v>
                </c:pt>
                <c:pt idx="1158" formatCode="0.000">
                  <c:v>54.046938775510192</c:v>
                </c:pt>
                <c:pt idx="1159" formatCode="0.000">
                  <c:v>54.062653061224474</c:v>
                </c:pt>
                <c:pt idx="1160" formatCode="0.000">
                  <c:v>54.070204081632646</c:v>
                </c:pt>
                <c:pt idx="1161" formatCode="0.000">
                  <c:v>54.067755102040813</c:v>
                </c:pt>
                <c:pt idx="1162" formatCode="0.000">
                  <c:v>54.064897959183668</c:v>
                </c:pt>
                <c:pt idx="1163" formatCode="0.000">
                  <c:v>54.089387755102031</c:v>
                </c:pt>
                <c:pt idx="1164" formatCode="0.000">
                  <c:v>54.122653061224483</c:v>
                </c:pt>
                <c:pt idx="1165" formatCode="0.000">
                  <c:v>54.14244897959184</c:v>
                </c:pt>
                <c:pt idx="1166" formatCode="0.000">
                  <c:v>54.176122448979605</c:v>
                </c:pt>
                <c:pt idx="1167" formatCode="0.000">
                  <c:v>54.201428571428579</c:v>
                </c:pt>
                <c:pt idx="1168" formatCode="0.000">
                  <c:v>54.207755102040821</c:v>
                </c:pt>
                <c:pt idx="1169" formatCode="0.000">
                  <c:v>54.209795918367348</c:v>
                </c:pt>
                <c:pt idx="1170" formatCode="0.000">
                  <c:v>54.237551020408169</c:v>
                </c:pt>
                <c:pt idx="1171" formatCode="0.000">
                  <c:v>54.258571428571436</c:v>
                </c:pt>
                <c:pt idx="1172" formatCode="0.000">
                  <c:v>54.265714285714296</c:v>
                </c:pt>
                <c:pt idx="1173" formatCode="0.000">
                  <c:v>54.299387755102039</c:v>
                </c:pt>
                <c:pt idx="1174" formatCode="0.000">
                  <c:v>54.314489795918377</c:v>
                </c:pt>
                <c:pt idx="1175" formatCode="0.000">
                  <c:v>54.301020408163275</c:v>
                </c:pt>
                <c:pt idx="1176" formatCode="0.000">
                  <c:v>54.278163265306134</c:v>
                </c:pt>
                <c:pt idx="1177" formatCode="0.000">
                  <c:v>54.268571428571434</c:v>
                </c:pt>
                <c:pt idx="1178" formatCode="0.000">
                  <c:v>54.265306122448976</c:v>
                </c:pt>
                <c:pt idx="1179" formatCode="0.000">
                  <c:v>54.26408163265306</c:v>
                </c:pt>
                <c:pt idx="1180" formatCode="0.000">
                  <c:v>54.267346938775518</c:v>
                </c:pt>
                <c:pt idx="1181" formatCode="0.000">
                  <c:v>54.238775510204079</c:v>
                </c:pt>
                <c:pt idx="1182" formatCode="0.000">
                  <c:v>54.191836734693872</c:v>
                </c:pt>
                <c:pt idx="1183" formatCode="0.000">
                  <c:v>54.144693877551013</c:v>
                </c:pt>
                <c:pt idx="1184" formatCode="0.000">
                  <c:v>54.088367346938767</c:v>
                </c:pt>
                <c:pt idx="1185" formatCode="0.000">
                  <c:v>54.030612244897952</c:v>
                </c:pt>
                <c:pt idx="1186" formatCode="0.000">
                  <c:v>53.959999999999987</c:v>
                </c:pt>
                <c:pt idx="1187" formatCode="0.000">
                  <c:v>53.87714285714285</c:v>
                </c:pt>
                <c:pt idx="1188" formatCode="0.000">
                  <c:v>53.821836734693868</c:v>
                </c:pt>
                <c:pt idx="1189" formatCode="0.000">
                  <c:v>53.768775510204073</c:v>
                </c:pt>
                <c:pt idx="1190" formatCode="0.000">
                  <c:v>53.731020408163268</c:v>
                </c:pt>
                <c:pt idx="1191" formatCode="0.000">
                  <c:v>53.703061224489801</c:v>
                </c:pt>
                <c:pt idx="1192" formatCode="0.000">
                  <c:v>53.66857142857144</c:v>
                </c:pt>
                <c:pt idx="1193" formatCode="0.000">
                  <c:v>53.630000000000017</c:v>
                </c:pt>
                <c:pt idx="1194" formatCode="0.000">
                  <c:v>53.603469387755112</c:v>
                </c:pt>
                <c:pt idx="1195" formatCode="0.000">
                  <c:v>53.584489795918387</c:v>
                </c:pt>
                <c:pt idx="1196" formatCode="0.000">
                  <c:v>53.563673469387766</c:v>
                </c:pt>
                <c:pt idx="1197" formatCode="0.000">
                  <c:v>53.556938775510204</c:v>
                </c:pt>
                <c:pt idx="1198" formatCode="0.000">
                  <c:v>53.545306122448977</c:v>
                </c:pt>
                <c:pt idx="1199" formatCode="0.000">
                  <c:v>53.534897959183674</c:v>
                </c:pt>
                <c:pt idx="1200" formatCode="0.000">
                  <c:v>53.52693877551021</c:v>
                </c:pt>
                <c:pt idx="1201" formatCode="0.000">
                  <c:v>53.516734693877552</c:v>
                </c:pt>
                <c:pt idx="1202" formatCode="0.000">
                  <c:v>53.519183673469399</c:v>
                </c:pt>
                <c:pt idx="1203" formatCode="0.000">
                  <c:v>53.515102040816338</c:v>
                </c:pt>
                <c:pt idx="1204" formatCode="0.000">
                  <c:v>53.517346938775518</c:v>
                </c:pt>
                <c:pt idx="1205" formatCode="0.000">
                  <c:v>53.509795918367367</c:v>
                </c:pt>
                <c:pt idx="1206" formatCode="0.000">
                  <c:v>53.491836734693891</c:v>
                </c:pt>
                <c:pt idx="1207" formatCode="0.000">
                  <c:v>53.509591836734707</c:v>
                </c:pt>
                <c:pt idx="1208" formatCode="0.000">
                  <c:v>53.515714285714303</c:v>
                </c:pt>
                <c:pt idx="1209" formatCode="0.000">
                  <c:v>53.513265306122463</c:v>
                </c:pt>
                <c:pt idx="1210" formatCode="0.000">
                  <c:v>53.524489795918385</c:v>
                </c:pt>
                <c:pt idx="1211" formatCode="0.000">
                  <c:v>53.541632653061235</c:v>
                </c:pt>
                <c:pt idx="1212" formatCode="0.000">
                  <c:v>53.543265306122457</c:v>
                </c:pt>
                <c:pt idx="1213" formatCode="0.000">
                  <c:v>53.556734693877559</c:v>
                </c:pt>
                <c:pt idx="1214" formatCode="0.000">
                  <c:v>53.590816326530614</c:v>
                </c:pt>
                <c:pt idx="1215" formatCode="0.000">
                  <c:v>53.623673469387754</c:v>
                </c:pt>
                <c:pt idx="1216" formatCode="0.000">
                  <c:v>53.648163265306117</c:v>
                </c:pt>
                <c:pt idx="1217" formatCode="0.000">
                  <c:v>53.679387755102042</c:v>
                </c:pt>
                <c:pt idx="1218" formatCode="0.000">
                  <c:v>53.711224489795917</c:v>
                </c:pt>
                <c:pt idx="1219" formatCode="0.000">
                  <c:v>53.721224489795915</c:v>
                </c:pt>
                <c:pt idx="1220" formatCode="0.000">
                  <c:v>53.744081632653064</c:v>
                </c:pt>
                <c:pt idx="1221" formatCode="0.000">
                  <c:v>53.767346938775496</c:v>
                </c:pt>
                <c:pt idx="1222" formatCode="0.000">
                  <c:v>53.768367346938774</c:v>
                </c:pt>
                <c:pt idx="1223" formatCode="0.000">
                  <c:v>53.769591836734698</c:v>
                </c:pt>
                <c:pt idx="1224" formatCode="0.000">
                  <c:v>53.779795918367348</c:v>
                </c:pt>
                <c:pt idx="1225" formatCode="0.000">
                  <c:v>53.79571428571429</c:v>
                </c:pt>
                <c:pt idx="1226" formatCode="0.000">
                  <c:v>53.835102040816338</c:v>
                </c:pt>
                <c:pt idx="1227" formatCode="0.000">
                  <c:v>53.867551020408179</c:v>
                </c:pt>
                <c:pt idx="1228" formatCode="0.000">
                  <c:v>53.9022448979592</c:v>
                </c:pt>
                <c:pt idx="1229" formatCode="0.000">
                  <c:v>53.945102040816344</c:v>
                </c:pt>
                <c:pt idx="1230" formatCode="0.000">
                  <c:v>54.01775510204083</c:v>
                </c:pt>
                <c:pt idx="1231" formatCode="0.000">
                  <c:v>54.107551020408181</c:v>
                </c:pt>
                <c:pt idx="1232" formatCode="0.000">
                  <c:v>54.192040816326546</c:v>
                </c:pt>
                <c:pt idx="1233" formatCode="0.000">
                  <c:v>54.291632653061242</c:v>
                </c:pt>
                <c:pt idx="1234" formatCode="0.000">
                  <c:v>54.401836734693894</c:v>
                </c:pt>
                <c:pt idx="1235" formatCode="0.000">
                  <c:v>54.524081632653079</c:v>
                </c:pt>
                <c:pt idx="1236" formatCode="0.000">
                  <c:v>54.645918367346958</c:v>
                </c:pt>
                <c:pt idx="1237" formatCode="0.000">
                  <c:v>54.749387755102056</c:v>
                </c:pt>
                <c:pt idx="1238" formatCode="0.000">
                  <c:v>54.838775510204087</c:v>
                </c:pt>
                <c:pt idx="1239" formatCode="0.000">
                  <c:v>54.927346938775521</c:v>
                </c:pt>
                <c:pt idx="1240" formatCode="0.000">
                  <c:v>55.046326530612255</c:v>
                </c:pt>
                <c:pt idx="1241" formatCode="0.000">
                  <c:v>55.154897959183685</c:v>
                </c:pt>
                <c:pt idx="1242" formatCode="0.000">
                  <c:v>55.264285714285727</c:v>
                </c:pt>
                <c:pt idx="1243" formatCode="0.000">
                  <c:v>55.384285714285724</c:v>
                </c:pt>
                <c:pt idx="1244" formatCode="0.000">
                  <c:v>55.503061224489805</c:v>
                </c:pt>
                <c:pt idx="1245" formatCode="0.000">
                  <c:v>55.620816326530615</c:v>
                </c:pt>
                <c:pt idx="1246" formatCode="0.000">
                  <c:v>55.72877551020408</c:v>
                </c:pt>
                <c:pt idx="1247" formatCode="0.000">
                  <c:v>55.847142857142863</c:v>
                </c:pt>
                <c:pt idx="1248" formatCode="0.000">
                  <c:v>55.973469387755109</c:v>
                </c:pt>
                <c:pt idx="1249" formatCode="0.000">
                  <c:v>56.08897959183674</c:v>
                </c:pt>
                <c:pt idx="1250" formatCode="0.000">
                  <c:v>56.207551020408168</c:v>
                </c:pt>
                <c:pt idx="1251" formatCode="0.000">
                  <c:v>56.323061224489805</c:v>
                </c:pt>
                <c:pt idx="1252" formatCode="0.000">
                  <c:v>56.432040816326534</c:v>
                </c:pt>
                <c:pt idx="1253" formatCode="0.000">
                  <c:v>56.541224489795916</c:v>
                </c:pt>
                <c:pt idx="1254" formatCode="0.000">
                  <c:v>56.6565306122449</c:v>
                </c:pt>
                <c:pt idx="1255" formatCode="0.000">
                  <c:v>56.786326530612243</c:v>
                </c:pt>
                <c:pt idx="1256" formatCode="0.000">
                  <c:v>56.882244897959183</c:v>
                </c:pt>
                <c:pt idx="1257" formatCode="0.000">
                  <c:v>56.957346938775515</c:v>
                </c:pt>
                <c:pt idx="1258" formatCode="0.000">
                  <c:v>57.022244897959176</c:v>
                </c:pt>
                <c:pt idx="1259" formatCode="0.000">
                  <c:v>57.03265306122448</c:v>
                </c:pt>
                <c:pt idx="1260" formatCode="0.000">
                  <c:v>57.013673469387747</c:v>
                </c:pt>
                <c:pt idx="1261" formatCode="0.000">
                  <c:v>57.054693877551017</c:v>
                </c:pt>
                <c:pt idx="1262" formatCode="0.000">
                  <c:v>57.090204081632642</c:v>
                </c:pt>
                <c:pt idx="1263" formatCode="0.000">
                  <c:v>57.170816326530613</c:v>
                </c:pt>
                <c:pt idx="1264" formatCode="0.000">
                  <c:v>57.208163265306112</c:v>
                </c:pt>
                <c:pt idx="1265" formatCode="0.000">
                  <c:v>57.219387755102034</c:v>
                </c:pt>
                <c:pt idx="1266" formatCode="0.000">
                  <c:v>57.154897959183664</c:v>
                </c:pt>
                <c:pt idx="1267" formatCode="0.000">
                  <c:v>57.120408163265296</c:v>
                </c:pt>
                <c:pt idx="1268" formatCode="0.000">
                  <c:v>57.057959183673461</c:v>
                </c:pt>
                <c:pt idx="1269" formatCode="0.000">
                  <c:v>56.890816326530604</c:v>
                </c:pt>
                <c:pt idx="1270" formatCode="0.000">
                  <c:v>56.757755102040797</c:v>
                </c:pt>
                <c:pt idx="1271" formatCode="0.000">
                  <c:v>56.565306122448966</c:v>
                </c:pt>
                <c:pt idx="1272" formatCode="0.000">
                  <c:v>56.412448979591829</c:v>
                </c:pt>
                <c:pt idx="1273" formatCode="0.000">
                  <c:v>56.22061224489795</c:v>
                </c:pt>
                <c:pt idx="1274" formatCode="0.000">
                  <c:v>55.965102040816319</c:v>
                </c:pt>
                <c:pt idx="1275" formatCode="0.000">
                  <c:v>55.617346938775512</c:v>
                </c:pt>
                <c:pt idx="1276" formatCode="0.000">
                  <c:v>55.250612244897951</c:v>
                </c:pt>
                <c:pt idx="1277" formatCode="0.000">
                  <c:v>54.910204081632649</c:v>
                </c:pt>
                <c:pt idx="1278" formatCode="0.000">
                  <c:v>54.616530612244901</c:v>
                </c:pt>
                <c:pt idx="1279" formatCode="0.000">
                  <c:v>54.363265306122443</c:v>
                </c:pt>
                <c:pt idx="1280" formatCode="0.000">
                  <c:v>54.077346938775499</c:v>
                </c:pt>
                <c:pt idx="1281" formatCode="0.000">
                  <c:v>53.833673469387755</c:v>
                </c:pt>
                <c:pt idx="1282" formatCode="0.000">
                  <c:v>53.569999999999993</c:v>
                </c:pt>
                <c:pt idx="1283" formatCode="0.000">
                  <c:v>53.253877551020409</c:v>
                </c:pt>
                <c:pt idx="1284" formatCode="0.000">
                  <c:v>52.970612244897957</c:v>
                </c:pt>
                <c:pt idx="1285" formatCode="0.000">
                  <c:v>52.68795918367347</c:v>
                </c:pt>
                <c:pt idx="1286" formatCode="0.000">
                  <c:v>52.467346938775513</c:v>
                </c:pt>
                <c:pt idx="1287" formatCode="0.000">
                  <c:v>52.253061224489798</c:v>
                </c:pt>
                <c:pt idx="1288" formatCode="0.000">
                  <c:v>52.065510204081633</c:v>
                </c:pt>
                <c:pt idx="1289" formatCode="0.000">
                  <c:v>51.864285714285714</c:v>
                </c:pt>
                <c:pt idx="1290" formatCode="0.000">
                  <c:v>51.630204081632655</c:v>
                </c:pt>
                <c:pt idx="1291" formatCode="0.000">
                  <c:v>51.433061224489791</c:v>
                </c:pt>
                <c:pt idx="1292" formatCode="0.000">
                  <c:v>51.203877551020412</c:v>
                </c:pt>
                <c:pt idx="1293" formatCode="0.000">
                  <c:v>50.964081632653055</c:v>
                </c:pt>
                <c:pt idx="1294" formatCode="0.000">
                  <c:v>50.741020408163266</c:v>
                </c:pt>
                <c:pt idx="1295" formatCode="0.000">
                  <c:v>50.482653061224489</c:v>
                </c:pt>
                <c:pt idx="1296" formatCode="0.000">
                  <c:v>50.189387755102047</c:v>
                </c:pt>
                <c:pt idx="1297" formatCode="0.000">
                  <c:v>49.905510204081629</c:v>
                </c:pt>
                <c:pt idx="1298" formatCode="0.000">
                  <c:v>49.612857142857138</c:v>
                </c:pt>
                <c:pt idx="1299" formatCode="0.000">
                  <c:v>49.32346938775509</c:v>
                </c:pt>
                <c:pt idx="1300" formatCode="0.000">
                  <c:v>49.054693877551017</c:v>
                </c:pt>
                <c:pt idx="1301" formatCode="0.000">
                  <c:v>48.793673469387755</c:v>
                </c:pt>
                <c:pt idx="1302" formatCode="0.000">
                  <c:v>48.535510204081618</c:v>
                </c:pt>
                <c:pt idx="1303" formatCode="0.000">
                  <c:v>48.253265306122437</c:v>
                </c:pt>
                <c:pt idx="1304" formatCode="0.000">
                  <c:v>47.956734693877536</c:v>
                </c:pt>
                <c:pt idx="1305" formatCode="0.000">
                  <c:v>47.681020408163242</c:v>
                </c:pt>
                <c:pt idx="1306" formatCode="0.000">
                  <c:v>47.427551020408153</c:v>
                </c:pt>
                <c:pt idx="1307" formatCode="0.000">
                  <c:v>47.165306122448975</c:v>
                </c:pt>
                <c:pt idx="1308" formatCode="0.000">
                  <c:v>46.954489795918356</c:v>
                </c:pt>
                <c:pt idx="1309" formatCode="0.000">
                  <c:v>46.803877551020406</c:v>
                </c:pt>
                <c:pt idx="1310" formatCode="0.000">
                  <c:v>46.592040816326524</c:v>
                </c:pt>
                <c:pt idx="1311" formatCode="0.000">
                  <c:v>46.362653061224499</c:v>
                </c:pt>
                <c:pt idx="1312" formatCode="0.000">
                  <c:v>46.056938775510211</c:v>
                </c:pt>
                <c:pt idx="1313" formatCode="0.000">
                  <c:v>45.79081632653061</c:v>
                </c:pt>
                <c:pt idx="1314" formatCode="0.000">
                  <c:v>45.54591836734695</c:v>
                </c:pt>
                <c:pt idx="1315" formatCode="0.000">
                  <c:v>45.40530612244897</c:v>
                </c:pt>
                <c:pt idx="1316" formatCode="0.000">
                  <c:v>45.219183673469381</c:v>
                </c:pt>
                <c:pt idx="1317" formatCode="0.000">
                  <c:v>45.090204081632642</c:v>
                </c:pt>
                <c:pt idx="1318" formatCode="0.000">
                  <c:v>45.049591836734692</c:v>
                </c:pt>
                <c:pt idx="1319" formatCode="0.000">
                  <c:v>44.979387755102046</c:v>
                </c:pt>
                <c:pt idx="1320" formatCode="0.000">
                  <c:v>44.996326530612258</c:v>
                </c:pt>
                <c:pt idx="1321" formatCode="0.000">
                  <c:v>44.987142857142864</c:v>
                </c:pt>
                <c:pt idx="1322" formatCode="0.000">
                  <c:v>45.032857142857154</c:v>
                </c:pt>
                <c:pt idx="1323" formatCode="0.000">
                  <c:v>45.131836734693877</c:v>
                </c:pt>
                <c:pt idx="1324" formatCode="0.000">
                  <c:v>45.309183673469377</c:v>
                </c:pt>
                <c:pt idx="1325" formatCode="0.000">
                  <c:v>45.499795918367333</c:v>
                </c:pt>
                <c:pt idx="1326" formatCode="0.000">
                  <c:v>45.672244897959175</c:v>
                </c:pt>
                <c:pt idx="1327" formatCode="0.000">
                  <c:v>45.801020408163254</c:v>
                </c:pt>
                <c:pt idx="1328" formatCode="0.000">
                  <c:v>45.898979591836735</c:v>
                </c:pt>
                <c:pt idx="1329" formatCode="0.000">
                  <c:v>46.042653061224492</c:v>
                </c:pt>
                <c:pt idx="1330" formatCode="0.000">
                  <c:v>46.124285714285719</c:v>
                </c:pt>
                <c:pt idx="1331" formatCode="0.000">
                  <c:v>46.213469387755104</c:v>
                </c:pt>
                <c:pt idx="1332" formatCode="0.000">
                  <c:v>46.283265306122452</c:v>
                </c:pt>
                <c:pt idx="1333" formatCode="0.000">
                  <c:v>46.316938775510202</c:v>
                </c:pt>
                <c:pt idx="1334" formatCode="0.000">
                  <c:v>46.367346938775512</c:v>
                </c:pt>
                <c:pt idx="1335" formatCode="0.000">
                  <c:v>46.369387755102039</c:v>
                </c:pt>
                <c:pt idx="1336" formatCode="0.000">
                  <c:v>46.370816326530615</c:v>
                </c:pt>
                <c:pt idx="1337" formatCode="0.000">
                  <c:v>46.353877551020403</c:v>
                </c:pt>
                <c:pt idx="1338" formatCode="0.000">
                  <c:v>46.29306122448979</c:v>
                </c:pt>
                <c:pt idx="1339" formatCode="0.000">
                  <c:v>46.268775510204073</c:v>
                </c:pt>
                <c:pt idx="1340" formatCode="0.000">
                  <c:v>46.201836734693863</c:v>
                </c:pt>
                <c:pt idx="1341" formatCode="0.000">
                  <c:v>46.141428571428555</c:v>
                </c:pt>
                <c:pt idx="1342" formatCode="0.000">
                  <c:v>46.097142857142842</c:v>
                </c:pt>
                <c:pt idx="1343" formatCode="0.000">
                  <c:v>46.005510204081624</c:v>
                </c:pt>
                <c:pt idx="1344" formatCode="0.000">
                  <c:v>45.961224489795917</c:v>
                </c:pt>
                <c:pt idx="1345" formatCode="0.000">
                  <c:v>45.946938775510198</c:v>
                </c:pt>
                <c:pt idx="1346" formatCode="0.000">
                  <c:v>45.929387755102042</c:v>
                </c:pt>
                <c:pt idx="1347" formatCode="0.000">
                  <c:v>45.92551020408164</c:v>
                </c:pt>
                <c:pt idx="1348" formatCode="0.000">
                  <c:v>45.921428571428571</c:v>
                </c:pt>
                <c:pt idx="1349" formatCode="0.000">
                  <c:v>45.889387755102049</c:v>
                </c:pt>
                <c:pt idx="1350" formatCode="0.000">
                  <c:v>45.855306122448987</c:v>
                </c:pt>
                <c:pt idx="1351" formatCode="0.000">
                  <c:v>45.789795918367346</c:v>
                </c:pt>
                <c:pt idx="1352" formatCode="0.000">
                  <c:v>45.774693877551009</c:v>
                </c:pt>
                <c:pt idx="1353" formatCode="0.000">
                  <c:v>45.767551020408156</c:v>
                </c:pt>
                <c:pt idx="1354" formatCode="0.000">
                  <c:v>45.782448979591834</c:v>
                </c:pt>
                <c:pt idx="1355" formatCode="0.000">
                  <c:v>45.802857142857135</c:v>
                </c:pt>
                <c:pt idx="1356" formatCode="0.000">
                  <c:v>45.831428571428567</c:v>
                </c:pt>
                <c:pt idx="1357" formatCode="0.000">
                  <c:v>45.876734693877559</c:v>
                </c:pt>
                <c:pt idx="1358" formatCode="0.000">
                  <c:v>45.876938775510212</c:v>
                </c:pt>
                <c:pt idx="1359" formatCode="0.000">
                  <c:v>45.910816326530615</c:v>
                </c:pt>
                <c:pt idx="1360" formatCode="0.000">
                  <c:v>45.985510204081635</c:v>
                </c:pt>
                <c:pt idx="1361" formatCode="0.000">
                  <c:v>46.074081632653076</c:v>
                </c:pt>
                <c:pt idx="1362" formatCode="0.000">
                  <c:v>46.171836734693876</c:v>
                </c:pt>
                <c:pt idx="1363" formatCode="0.000">
                  <c:v>46.278367346938779</c:v>
                </c:pt>
                <c:pt idx="1364" formatCode="0.000">
                  <c:v>46.343877551020405</c:v>
                </c:pt>
                <c:pt idx="1365" formatCode="0.000">
                  <c:v>46.414897959183669</c:v>
                </c:pt>
                <c:pt idx="1366" formatCode="0.000">
                  <c:v>46.451632653061225</c:v>
                </c:pt>
                <c:pt idx="1367" formatCode="0.000">
                  <c:v>46.493877551020404</c:v>
                </c:pt>
                <c:pt idx="1368" formatCode="0.000">
                  <c:v>46.51979591836735</c:v>
                </c:pt>
                <c:pt idx="1369" formatCode="0.000">
                  <c:v>46.532040816326536</c:v>
                </c:pt>
                <c:pt idx="1370" formatCode="0.000">
                  <c:v>46.542040816326526</c:v>
                </c:pt>
                <c:pt idx="1371" formatCode="0.000">
                  <c:v>46.550000000000004</c:v>
                </c:pt>
                <c:pt idx="1372" formatCode="0.000">
                  <c:v>46.572857142857153</c:v>
                </c:pt>
                <c:pt idx="1373" formatCode="0.000">
                  <c:v>46.587755102040823</c:v>
                </c:pt>
                <c:pt idx="1374" formatCode="0.000">
                  <c:v>46.608775510204083</c:v>
                </c:pt>
                <c:pt idx="1375" formatCode="0.000">
                  <c:v>46.619591836734685</c:v>
                </c:pt>
                <c:pt idx="1376" formatCode="0.000">
                  <c:v>46.628979591836739</c:v>
                </c:pt>
                <c:pt idx="1377" formatCode="0.000">
                  <c:v>46.615918367346936</c:v>
                </c:pt>
                <c:pt idx="1378" formatCode="0.000">
                  <c:v>46.582448979591838</c:v>
                </c:pt>
                <c:pt idx="1379" formatCode="0.000">
                  <c:v>46.570612244897973</c:v>
                </c:pt>
                <c:pt idx="1380" formatCode="0.000">
                  <c:v>46.545102040816325</c:v>
                </c:pt>
                <c:pt idx="1381" formatCode="0.000">
                  <c:v>46.58204081632654</c:v>
                </c:pt>
                <c:pt idx="1382" formatCode="0.000">
                  <c:v>46.616326530612248</c:v>
                </c:pt>
                <c:pt idx="1383" formatCode="0.000">
                  <c:v>46.650408163265311</c:v>
                </c:pt>
                <c:pt idx="1384" formatCode="0.000">
                  <c:v>46.673673469387758</c:v>
                </c:pt>
                <c:pt idx="1385" formatCode="0.000">
                  <c:v>46.705918367346939</c:v>
                </c:pt>
                <c:pt idx="1386" formatCode="0.000">
                  <c:v>46.731224489795927</c:v>
                </c:pt>
                <c:pt idx="1387" formatCode="0.000">
                  <c:v>46.808979591836732</c:v>
                </c:pt>
                <c:pt idx="1388" formatCode="0.000">
                  <c:v>46.886326530612244</c:v>
                </c:pt>
                <c:pt idx="1389" formatCode="0.000">
                  <c:v>46.957346938775515</c:v>
                </c:pt>
                <c:pt idx="1390" formatCode="0.000">
                  <c:v>47.090816326530614</c:v>
                </c:pt>
                <c:pt idx="1391" formatCode="0.000">
                  <c:v>47.204081632653072</c:v>
                </c:pt>
                <c:pt idx="1392" formatCode="0.000">
                  <c:v>47.35653061224491</c:v>
                </c:pt>
                <c:pt idx="1393" formatCode="0.000">
                  <c:v>47.467755102040819</c:v>
                </c:pt>
                <c:pt idx="1394" formatCode="0.000">
                  <c:v>47.580204081632658</c:v>
                </c:pt>
                <c:pt idx="1395" formatCode="0.000">
                  <c:v>47.685918367346943</c:v>
                </c:pt>
                <c:pt idx="1396" formatCode="0.000">
                  <c:v>47.81204081632653</c:v>
                </c:pt>
                <c:pt idx="1397" formatCode="0.000">
                  <c:v>47.923877551020411</c:v>
                </c:pt>
                <c:pt idx="1398" formatCode="0.000">
                  <c:v>48.043061224489804</c:v>
                </c:pt>
                <c:pt idx="1399" formatCode="0.000">
                  <c:v>48.159795918367358</c:v>
                </c:pt>
                <c:pt idx="1400" formatCode="0.000">
                  <c:v>48.295306122448984</c:v>
                </c:pt>
                <c:pt idx="1401" formatCode="0.000">
                  <c:v>48.403469387755109</c:v>
                </c:pt>
                <c:pt idx="1402" formatCode="0.000">
                  <c:v>48.481836734693893</c:v>
                </c:pt>
                <c:pt idx="1403" formatCode="0.000">
                  <c:v>48.559183673469391</c:v>
                </c:pt>
                <c:pt idx="1404" formatCode="0.000">
                  <c:v>48.596122448979592</c:v>
                </c:pt>
                <c:pt idx="1405" formatCode="0.000">
                  <c:v>48.648163265306117</c:v>
                </c:pt>
                <c:pt idx="1406" formatCode="0.000">
                  <c:v>48.686938775510193</c:v>
                </c:pt>
                <c:pt idx="1407" formatCode="0.000">
                  <c:v>48.751428571428555</c:v>
                </c:pt>
                <c:pt idx="1408" formatCode="0.000">
                  <c:v>48.786530612244889</c:v>
                </c:pt>
                <c:pt idx="1409" formatCode="0.000">
                  <c:v>48.804693877551017</c:v>
                </c:pt>
                <c:pt idx="1410" formatCode="0.000">
                  <c:v>48.823061224489784</c:v>
                </c:pt>
                <c:pt idx="1411" formatCode="0.000">
                  <c:v>48.8408163265306</c:v>
                </c:pt>
                <c:pt idx="1412" formatCode="0.000">
                  <c:v>48.859183673469389</c:v>
                </c:pt>
                <c:pt idx="1413" formatCode="0.000">
                  <c:v>48.874693877551024</c:v>
                </c:pt>
                <c:pt idx="1414" formatCode="0.000">
                  <c:v>48.906122448979595</c:v>
                </c:pt>
                <c:pt idx="1415" formatCode="0.000">
                  <c:v>48.962653061224493</c:v>
                </c:pt>
                <c:pt idx="1416" formatCode="0.000">
                  <c:v>49.035510204081625</c:v>
                </c:pt>
                <c:pt idx="1417" formatCode="0.000">
                  <c:v>49.133265306122453</c:v>
                </c:pt>
                <c:pt idx="1418" formatCode="0.000">
                  <c:v>49.205306122448981</c:v>
                </c:pt>
                <c:pt idx="1419" formatCode="0.000">
                  <c:v>49.264489795918358</c:v>
                </c:pt>
                <c:pt idx="1420" formatCode="0.000">
                  <c:v>49.315714285714272</c:v>
                </c:pt>
                <c:pt idx="1421" formatCode="0.000">
                  <c:v>49.361224489795916</c:v>
                </c:pt>
                <c:pt idx="1422" formatCode="0.000">
                  <c:v>49.399999999999991</c:v>
                </c:pt>
                <c:pt idx="1423" formatCode="0.000">
                  <c:v>49.447346938775503</c:v>
                </c:pt>
                <c:pt idx="1424" formatCode="0.000">
                  <c:v>49.479183673469379</c:v>
                </c:pt>
                <c:pt idx="1425" formatCode="0.000">
                  <c:v>49.526122448979578</c:v>
                </c:pt>
                <c:pt idx="1426" formatCode="0.000">
                  <c:v>49.568367346938764</c:v>
                </c:pt>
                <c:pt idx="1427" formatCode="0.000">
                  <c:v>49.600816326530605</c:v>
                </c:pt>
                <c:pt idx="1428" formatCode="0.000">
                  <c:v>49.631020408163259</c:v>
                </c:pt>
                <c:pt idx="1429" formatCode="0.000">
                  <c:v>49.643061224489792</c:v>
                </c:pt>
                <c:pt idx="1430" formatCode="0.000">
                  <c:v>49.656734693877539</c:v>
                </c:pt>
                <c:pt idx="1431" formatCode="0.000">
                  <c:v>49.67265306122448</c:v>
                </c:pt>
                <c:pt idx="1432" formatCode="0.000">
                  <c:v>49.685918367346929</c:v>
                </c:pt>
                <c:pt idx="1433" formatCode="0.000">
                  <c:v>49.715306122448972</c:v>
                </c:pt>
                <c:pt idx="1434" formatCode="0.000">
                  <c:v>49.73591836734694</c:v>
                </c:pt>
                <c:pt idx="1435" formatCode="0.000">
                  <c:v>49.760612244897949</c:v>
                </c:pt>
                <c:pt idx="1436" formatCode="0.000">
                  <c:v>49.752857142857131</c:v>
                </c:pt>
                <c:pt idx="1437" formatCode="0.000">
                  <c:v>49.814897959183668</c:v>
                </c:pt>
                <c:pt idx="1438" formatCode="0.000">
                  <c:v>49.914081632653058</c:v>
                </c:pt>
                <c:pt idx="1439" formatCode="0.000">
                  <c:v>49.962857142857139</c:v>
                </c:pt>
                <c:pt idx="1440" formatCode="0.000">
                  <c:v>50.014489795918365</c:v>
                </c:pt>
                <c:pt idx="1441" formatCode="0.000">
                  <c:v>50.063673469387744</c:v>
                </c:pt>
                <c:pt idx="1442" formatCode="0.000">
                  <c:v>50.146122448979582</c:v>
                </c:pt>
                <c:pt idx="1443" formatCode="0.000">
                  <c:v>50.217346938775492</c:v>
                </c:pt>
                <c:pt idx="1444" formatCode="0.000">
                  <c:v>50.270612244897947</c:v>
                </c:pt>
                <c:pt idx="1445" formatCode="0.000">
                  <c:v>50.312857142857133</c:v>
                </c:pt>
                <c:pt idx="1446" formatCode="0.000">
                  <c:v>50.352857142857133</c:v>
                </c:pt>
                <c:pt idx="1447" formatCode="0.000">
                  <c:v>50.386122448979584</c:v>
                </c:pt>
                <c:pt idx="1448" formatCode="0.000">
                  <c:v>50.435714285714276</c:v>
                </c:pt>
                <c:pt idx="1449" formatCode="0.000">
                  <c:v>50.484285714285697</c:v>
                </c:pt>
                <c:pt idx="1450" formatCode="0.000">
                  <c:v>50.530204081632647</c:v>
                </c:pt>
                <c:pt idx="1451" formatCode="0.000">
                  <c:v>50.58142857142856</c:v>
                </c:pt>
                <c:pt idx="1452" formatCode="0.000">
                  <c:v>50.629999999999988</c:v>
                </c:pt>
                <c:pt idx="1453" formatCode="0.000">
                  <c:v>50.709591836734674</c:v>
                </c:pt>
                <c:pt idx="1454" formatCode="0.000">
                  <c:v>50.79285714285713</c:v>
                </c:pt>
                <c:pt idx="1455" formatCode="0.000">
                  <c:v>50.897551020408152</c:v>
                </c:pt>
                <c:pt idx="1456" formatCode="0.000">
                  <c:v>50.973265306122428</c:v>
                </c:pt>
                <c:pt idx="1457" formatCode="0.000">
                  <c:v>51.060204081632641</c:v>
                </c:pt>
                <c:pt idx="1458" formatCode="0.000">
                  <c:v>51.14102040816325</c:v>
                </c:pt>
                <c:pt idx="1459" formatCode="0.000">
                  <c:v>51.220000000000006</c:v>
                </c:pt>
                <c:pt idx="1460" formatCode="0.000">
                  <c:v>51.301428571428573</c:v>
                </c:pt>
                <c:pt idx="1461" formatCode="0.000">
                  <c:v>51.380816326530606</c:v>
                </c:pt>
                <c:pt idx="1462" formatCode="0.000">
                  <c:v>51.480816326530608</c:v>
                </c:pt>
                <c:pt idx="1463" formatCode="0.000">
                  <c:v>51.55224489795917</c:v>
                </c:pt>
                <c:pt idx="1464" formatCode="0.000">
                  <c:v>51.60959183673468</c:v>
                </c:pt>
                <c:pt idx="1465" formatCode="0.000">
                  <c:v>51.669387755102029</c:v>
                </c:pt>
                <c:pt idx="1466" formatCode="0.000">
                  <c:v>51.704489795918356</c:v>
                </c:pt>
                <c:pt idx="1467" formatCode="0.000">
                  <c:v>51.756326530612256</c:v>
                </c:pt>
                <c:pt idx="1468" formatCode="0.000">
                  <c:v>51.816734693877549</c:v>
                </c:pt>
                <c:pt idx="1469" formatCode="0.000">
                  <c:v>51.887142857142855</c:v>
                </c:pt>
                <c:pt idx="1470" formatCode="0.000">
                  <c:v>51.971428571428568</c:v>
                </c:pt>
                <c:pt idx="1471" formatCode="0.000">
                  <c:v>52.063469387755099</c:v>
                </c:pt>
                <c:pt idx="1472" formatCode="0.000">
                  <c:v>52.148979591836728</c:v>
                </c:pt>
                <c:pt idx="1473" formatCode="0.000">
                  <c:v>52.247959183673473</c:v>
                </c:pt>
                <c:pt idx="1474" formatCode="0.000">
                  <c:v>52.290408163265305</c:v>
                </c:pt>
                <c:pt idx="1475" formatCode="0.000">
                  <c:v>52.324285714285715</c:v>
                </c:pt>
                <c:pt idx="1476" formatCode="0.000">
                  <c:v>52.338979591836726</c:v>
                </c:pt>
                <c:pt idx="1477" formatCode="0.000">
                  <c:v>52.340204081632642</c:v>
                </c:pt>
                <c:pt idx="1478" formatCode="0.000">
                  <c:v>52.4038775510204</c:v>
                </c:pt>
                <c:pt idx="1479" formatCode="0.000">
                  <c:v>52.44836734693876</c:v>
                </c:pt>
                <c:pt idx="1480" formatCode="0.000">
                  <c:v>52.490204081632641</c:v>
                </c:pt>
                <c:pt idx="1481" formatCode="0.000">
                  <c:v>52.521632653061211</c:v>
                </c:pt>
                <c:pt idx="1482" formatCode="0.000">
                  <c:v>52.519183673469378</c:v>
                </c:pt>
                <c:pt idx="1483" formatCode="0.000">
                  <c:v>52.509591836734678</c:v>
                </c:pt>
                <c:pt idx="1484" formatCode="0.000">
                  <c:v>52.490612244897946</c:v>
                </c:pt>
                <c:pt idx="1485" formatCode="0.000">
                  <c:v>52.474897959183657</c:v>
                </c:pt>
                <c:pt idx="1486" formatCode="0.000">
                  <c:v>52.401020408163248</c:v>
                </c:pt>
                <c:pt idx="1487" formatCode="0.000">
                  <c:v>52.288979591836714</c:v>
                </c:pt>
                <c:pt idx="1488" formatCode="0.000">
                  <c:v>52.191020408163261</c:v>
                </c:pt>
                <c:pt idx="1489" formatCode="0.000">
                  <c:v>52.115102040816318</c:v>
                </c:pt>
                <c:pt idx="1490" formatCode="0.000">
                  <c:v>52.014693877551018</c:v>
                </c:pt>
                <c:pt idx="1491" formatCode="0.000">
                  <c:v>51.918775510204078</c:v>
                </c:pt>
                <c:pt idx="1492" formatCode="0.000">
                  <c:v>51.805918367346941</c:v>
                </c:pt>
                <c:pt idx="1493" formatCode="0.000">
                  <c:v>51.721632653061228</c:v>
                </c:pt>
                <c:pt idx="1494" formatCode="0.000">
                  <c:v>51.636530612244911</c:v>
                </c:pt>
                <c:pt idx="1495" formatCode="0.000">
                  <c:v>51.556938775510211</c:v>
                </c:pt>
                <c:pt idx="1496" formatCode="0.000">
                  <c:v>51.482040816326545</c:v>
                </c:pt>
                <c:pt idx="1497" formatCode="0.000">
                  <c:v>51.409183673469407</c:v>
                </c:pt>
                <c:pt idx="1498" formatCode="0.000">
                  <c:v>51.347755102040843</c:v>
                </c:pt>
                <c:pt idx="1499" formatCode="0.000">
                  <c:v>51.286530612244917</c:v>
                </c:pt>
                <c:pt idx="1500" formatCode="0.000">
                  <c:v>51.245714285714293</c:v>
                </c:pt>
                <c:pt idx="1501" formatCode="0.000">
                  <c:v>51.210204081632654</c:v>
                </c:pt>
                <c:pt idx="1502" formatCode="0.000">
                  <c:v>51.18122448979593</c:v>
                </c:pt>
                <c:pt idx="1503" formatCode="0.000">
                  <c:v>51.130000000000017</c:v>
                </c:pt>
                <c:pt idx="1504" formatCode="0.000">
                  <c:v>51.054081632653073</c:v>
                </c:pt>
                <c:pt idx="1505" formatCode="0.000">
                  <c:v>51.008775510204096</c:v>
                </c:pt>
                <c:pt idx="1506" formatCode="0.000">
                  <c:v>50.946122448979601</c:v>
                </c:pt>
                <c:pt idx="1507" formatCode="0.000">
                  <c:v>50.891020408163278</c:v>
                </c:pt>
                <c:pt idx="1508" formatCode="0.000">
                  <c:v>50.839795918367365</c:v>
                </c:pt>
                <c:pt idx="1509" formatCode="0.000">
                  <c:v>50.785918367346959</c:v>
                </c:pt>
                <c:pt idx="1510" formatCode="0.000">
                  <c:v>50.722653061224506</c:v>
                </c:pt>
                <c:pt idx="1511" formatCode="0.000">
                  <c:v>50.623673469387775</c:v>
                </c:pt>
                <c:pt idx="1512" formatCode="0.000">
                  <c:v>50.559183673469398</c:v>
                </c:pt>
                <c:pt idx="1513" formatCode="0.000">
                  <c:v>50.494489795918383</c:v>
                </c:pt>
                <c:pt idx="1514" formatCode="0.000">
                  <c:v>50.417755102040822</c:v>
                </c:pt>
                <c:pt idx="1515" formatCode="0.000">
                  <c:v>50.359183673469396</c:v>
                </c:pt>
                <c:pt idx="1516" formatCode="0.000">
                  <c:v>50.318979591836744</c:v>
                </c:pt>
                <c:pt idx="1517" formatCode="0.000">
                  <c:v>50.289591836734694</c:v>
                </c:pt>
                <c:pt idx="1518" formatCode="0.000">
                  <c:v>50.236938775510204</c:v>
                </c:pt>
                <c:pt idx="1519" formatCode="0.000">
                  <c:v>50.181428571428576</c:v>
                </c:pt>
                <c:pt idx="1520" formatCode="0.000">
                  <c:v>50.115102040816332</c:v>
                </c:pt>
                <c:pt idx="1521" formatCode="0.000">
                  <c:v>50.031836734693883</c:v>
                </c:pt>
                <c:pt idx="1522" formatCode="0.000">
                  <c:v>49.954081632653072</c:v>
                </c:pt>
                <c:pt idx="1523" formatCode="0.000">
                  <c:v>49.922653061224509</c:v>
                </c:pt>
                <c:pt idx="1524" formatCode="0.000">
                  <c:v>49.903469387755109</c:v>
                </c:pt>
                <c:pt idx="1525" formatCode="0.000">
                  <c:v>49.90448979591838</c:v>
                </c:pt>
                <c:pt idx="1526" formatCode="0.000">
                  <c:v>49.921836734693876</c:v>
                </c:pt>
                <c:pt idx="1527" formatCode="0.000">
                  <c:v>49.920204081632654</c:v>
                </c:pt>
                <c:pt idx="1528" formatCode="0.000">
                  <c:v>49.944489795918372</c:v>
                </c:pt>
                <c:pt idx="1529" formatCode="0.000">
                  <c:v>49.97326530612245</c:v>
                </c:pt>
                <c:pt idx="1530" formatCode="0.000">
                  <c:v>50.011224489795914</c:v>
                </c:pt>
                <c:pt idx="1531" formatCode="0.000">
                  <c:v>50.08897959183674</c:v>
                </c:pt>
                <c:pt idx="1532" formatCode="0.000">
                  <c:v>50.194081632653059</c:v>
                </c:pt>
                <c:pt idx="1533" formatCode="0.000">
                  <c:v>50.288775510204083</c:v>
                </c:pt>
                <c:pt idx="1534" formatCode="0.000">
                  <c:v>50.371020408163261</c:v>
                </c:pt>
                <c:pt idx="1535" formatCode="0.000">
                  <c:v>50.443673469387761</c:v>
                </c:pt>
                <c:pt idx="1536" formatCode="0.000">
                  <c:v>50.531836734693883</c:v>
                </c:pt>
                <c:pt idx="1537" formatCode="0.000">
                  <c:v>50.621836734693886</c:v>
                </c:pt>
                <c:pt idx="1538" formatCode="0.000">
                  <c:v>50.703265306122461</c:v>
                </c:pt>
                <c:pt idx="1539" formatCode="0.000">
                  <c:v>50.79693877551022</c:v>
                </c:pt>
                <c:pt idx="1540" formatCode="0.000">
                  <c:v>50.879183673469399</c:v>
                </c:pt>
                <c:pt idx="1541" formatCode="0.000">
                  <c:v>50.985306122448975</c:v>
                </c:pt>
                <c:pt idx="1542" formatCode="0.000">
                  <c:v>51.07938775510204</c:v>
                </c:pt>
                <c:pt idx="1543" formatCode="0.000">
                  <c:v>51.163469387755107</c:v>
                </c:pt>
                <c:pt idx="1544" formatCode="0.000">
                  <c:v>51.256530612244894</c:v>
                </c:pt>
                <c:pt idx="1545" formatCode="0.000">
                  <c:v>51.351836734693862</c:v>
                </c:pt>
                <c:pt idx="1546" formatCode="0.000">
                  <c:v>51.440612244897956</c:v>
                </c:pt>
                <c:pt idx="1547" formatCode="0.000">
                  <c:v>51.527346938775501</c:v>
                </c:pt>
                <c:pt idx="1548" formatCode="0.000">
                  <c:v>51.627551020408156</c:v>
                </c:pt>
                <c:pt idx="1549" formatCode="0.000">
                  <c:v>51.726326530612241</c:v>
                </c:pt>
                <c:pt idx="1550" formatCode="0.000">
                  <c:v>51.811428571428564</c:v>
                </c:pt>
                <c:pt idx="1551" formatCode="0.000">
                  <c:v>51.872040816326525</c:v>
                </c:pt>
                <c:pt idx="1552" formatCode="0.000">
                  <c:v>51.939591836734685</c:v>
                </c:pt>
                <c:pt idx="1553" formatCode="0.000">
                  <c:v>52.010204081632644</c:v>
                </c:pt>
                <c:pt idx="1554" formatCode="0.000">
                  <c:v>52.081428571428567</c:v>
                </c:pt>
                <c:pt idx="1555" formatCode="0.000">
                  <c:v>52.160408163265309</c:v>
                </c:pt>
                <c:pt idx="1556" formatCode="0.000">
                  <c:v>52.238979591836738</c:v>
                </c:pt>
                <c:pt idx="1557" formatCode="0.000">
                  <c:v>52.312448979591835</c:v>
                </c:pt>
                <c:pt idx="1558" formatCode="0.000">
                  <c:v>52.379591836734683</c:v>
                </c:pt>
                <c:pt idx="1559" formatCode="0.000">
                  <c:v>52.468775510204075</c:v>
                </c:pt>
                <c:pt idx="1560" formatCode="0.000">
                  <c:v>52.581428571428575</c:v>
                </c:pt>
                <c:pt idx="1561" formatCode="0.000">
                  <c:v>52.683673469387763</c:v>
                </c:pt>
                <c:pt idx="1562" formatCode="0.000">
                  <c:v>52.76979591836735</c:v>
                </c:pt>
                <c:pt idx="1563" formatCode="0.000">
                  <c:v>52.852653061224487</c:v>
                </c:pt>
                <c:pt idx="1564" formatCode="0.000">
                  <c:v>52.945918367346934</c:v>
                </c:pt>
                <c:pt idx="1565" formatCode="0.000">
                  <c:v>53.026326530612245</c:v>
                </c:pt>
                <c:pt idx="1566" formatCode="0.000">
                  <c:v>53.087551020408164</c:v>
                </c:pt>
                <c:pt idx="1567" formatCode="0.000">
                  <c:v>53.158571428571427</c:v>
                </c:pt>
                <c:pt idx="1568" formatCode="0.000">
                  <c:v>53.214285714285722</c:v>
                </c:pt>
                <c:pt idx="1569" formatCode="0.000">
                  <c:v>53.29122448979593</c:v>
                </c:pt>
                <c:pt idx="1570" formatCode="0.000">
                  <c:v>53.378163265306128</c:v>
                </c:pt>
                <c:pt idx="1571" formatCode="0.000">
                  <c:v>53.455102040816342</c:v>
                </c:pt>
                <c:pt idx="1572" formatCode="0.000">
                  <c:v>53.527959183673488</c:v>
                </c:pt>
                <c:pt idx="1573" formatCode="0.000">
                  <c:v>53.605306122449008</c:v>
                </c:pt>
                <c:pt idx="1574" formatCode="0.000">
                  <c:v>53.705714285714294</c:v>
                </c:pt>
                <c:pt idx="1575" formatCode="0.000">
                  <c:v>53.797142857142866</c:v>
                </c:pt>
                <c:pt idx="1576" formatCode="0.000">
                  <c:v>53.884489795918377</c:v>
                </c:pt>
                <c:pt idx="1577" formatCode="0.000">
                  <c:v>53.968367346938784</c:v>
                </c:pt>
                <c:pt idx="1578" formatCode="0.000">
                  <c:v>54.052448979591837</c:v>
                </c:pt>
                <c:pt idx="1579" formatCode="0.000">
                  <c:v>54.138571428571424</c:v>
                </c:pt>
                <c:pt idx="1580" formatCode="0.000">
                  <c:v>54.199795918367343</c:v>
                </c:pt>
                <c:pt idx="1581" formatCode="0.000">
                  <c:v>54.236530612244898</c:v>
                </c:pt>
                <c:pt idx="1582" formatCode="0.000">
                  <c:v>54.284081632653063</c:v>
                </c:pt>
                <c:pt idx="1583" formatCode="0.000">
                  <c:v>54.349387755102036</c:v>
                </c:pt>
                <c:pt idx="1584" formatCode="0.000">
                  <c:v>54.423877551020396</c:v>
                </c:pt>
                <c:pt idx="1585" formatCode="0.000">
                  <c:v>54.479795918367344</c:v>
                </c:pt>
                <c:pt idx="1586" formatCode="0.000">
                  <c:v>54.525102040816314</c:v>
                </c:pt>
                <c:pt idx="1587" formatCode="0.000">
                  <c:v>54.553469387755094</c:v>
                </c:pt>
                <c:pt idx="1588" formatCode="0.000">
                  <c:v>54.5908163265306</c:v>
                </c:pt>
                <c:pt idx="1589" formatCode="0.000">
                  <c:v>54.602857142857133</c:v>
                </c:pt>
                <c:pt idx="1590" formatCode="0.000">
                  <c:v>54.623469387755094</c:v>
                </c:pt>
                <c:pt idx="1591" formatCode="0.000">
                  <c:v>54.653469387755102</c:v>
                </c:pt>
                <c:pt idx="1592" formatCode="0.000">
                  <c:v>54.674693877551007</c:v>
                </c:pt>
                <c:pt idx="1593" formatCode="0.000">
                  <c:v>54.696326530612232</c:v>
                </c:pt>
                <c:pt idx="1594" formatCode="0.000">
                  <c:v>54.709387755102036</c:v>
                </c:pt>
                <c:pt idx="1595" formatCode="0.000">
                  <c:v>54.714693877551021</c:v>
                </c:pt>
                <c:pt idx="1596" formatCode="0.000">
                  <c:v>54.708367346938786</c:v>
                </c:pt>
                <c:pt idx="1597" formatCode="0.000">
                  <c:v>54.698163265306135</c:v>
                </c:pt>
                <c:pt idx="1598" formatCode="0.000">
                  <c:v>54.688367346938783</c:v>
                </c:pt>
                <c:pt idx="1599" formatCode="0.000">
                  <c:v>54.682448979591847</c:v>
                </c:pt>
                <c:pt idx="1600" formatCode="0.000">
                  <c:v>54.686938775510221</c:v>
                </c:pt>
                <c:pt idx="1601" formatCode="0.000">
                  <c:v>54.702040816326551</c:v>
                </c:pt>
                <c:pt idx="1602" formatCode="0.000">
                  <c:v>54.713061224489813</c:v>
                </c:pt>
                <c:pt idx="1603" formatCode="0.000">
                  <c:v>54.717142857142875</c:v>
                </c:pt>
                <c:pt idx="1604" formatCode="0.000">
                  <c:v>54.727346938775526</c:v>
                </c:pt>
                <c:pt idx="1605" formatCode="0.000">
                  <c:v>54.738367346938801</c:v>
                </c:pt>
                <c:pt idx="1606" formatCode="0.000">
                  <c:v>54.781632653061244</c:v>
                </c:pt>
                <c:pt idx="1607" formatCode="0.000">
                  <c:v>54.831428571428589</c:v>
                </c:pt>
                <c:pt idx="1608" formatCode="0.000">
                  <c:v>54.869387755102061</c:v>
                </c:pt>
                <c:pt idx="1609" formatCode="0.000">
                  <c:v>54.894285714285715</c:v>
                </c:pt>
                <c:pt idx="1610" formatCode="0.000">
                  <c:v>54.913061224489809</c:v>
                </c:pt>
                <c:pt idx="1611" formatCode="0.000">
                  <c:v>54.958571428571446</c:v>
                </c:pt>
                <c:pt idx="1612" formatCode="0.000">
                  <c:v>55.008163265306131</c:v>
                </c:pt>
                <c:pt idx="1613" formatCode="0.000">
                  <c:v>55.059183673469398</c:v>
                </c:pt>
                <c:pt idx="1614" formatCode="0.000">
                  <c:v>55.106734693877563</c:v>
                </c:pt>
                <c:pt idx="1615" formatCode="0.000">
                  <c:v>55.160204081632664</c:v>
                </c:pt>
                <c:pt idx="1616" formatCode="0.000">
                  <c:v>55.209183673469397</c:v>
                </c:pt>
                <c:pt idx="1617" formatCode="0.000">
                  <c:v>55.267959183673469</c:v>
                </c:pt>
                <c:pt idx="1618" formatCode="0.000">
                  <c:v>55.316530612244904</c:v>
                </c:pt>
                <c:pt idx="1619" formatCode="0.000">
                  <c:v>55.362653061224499</c:v>
                </c:pt>
                <c:pt idx="1620" formatCode="0.000">
                  <c:v>55.405918367346942</c:v>
                </c:pt>
                <c:pt idx="1621" formatCode="0.000">
                  <c:v>55.432653061224507</c:v>
                </c:pt>
                <c:pt idx="1622" formatCode="0.000">
                  <c:v>55.462653061224501</c:v>
                </c:pt>
                <c:pt idx="1623" formatCode="0.000">
                  <c:v>55.486122448979593</c:v>
                </c:pt>
                <c:pt idx="1624" formatCode="0.000">
                  <c:v>55.513877551020414</c:v>
                </c:pt>
                <c:pt idx="1625" formatCode="0.000">
                  <c:v>55.5448979591837</c:v>
                </c:pt>
                <c:pt idx="1626" formatCode="0.000">
                  <c:v>55.570000000000014</c:v>
                </c:pt>
                <c:pt idx="1627" formatCode="0.000">
                  <c:v>55.594489795918385</c:v>
                </c:pt>
                <c:pt idx="1628" formatCode="0.000">
                  <c:v>55.614693877551034</c:v>
                </c:pt>
                <c:pt idx="1629" formatCode="0.000">
                  <c:v>55.644081632653076</c:v>
                </c:pt>
                <c:pt idx="1630" formatCode="0.000">
                  <c:v>55.677346938775521</c:v>
                </c:pt>
                <c:pt idx="1631" formatCode="0.000">
                  <c:v>55.698163265306135</c:v>
                </c:pt>
                <c:pt idx="1632" formatCode="0.000">
                  <c:v>55.71755102040818</c:v>
                </c:pt>
                <c:pt idx="1633" formatCode="0.000">
                  <c:v>55.727346938775526</c:v>
                </c:pt>
                <c:pt idx="1634" formatCode="0.000">
                  <c:v>55.745510204081647</c:v>
                </c:pt>
                <c:pt idx="1635" formatCode="0.000">
                  <c:v>55.757755102040839</c:v>
                </c:pt>
                <c:pt idx="1636" formatCode="0.000">
                  <c:v>55.786326530612264</c:v>
                </c:pt>
                <c:pt idx="1637" formatCode="0.000">
                  <c:v>55.798367346938804</c:v>
                </c:pt>
                <c:pt idx="1638" formatCode="0.000">
                  <c:v>55.836734693877567</c:v>
                </c:pt>
                <c:pt idx="1639" formatCode="0.000">
                  <c:v>55.873877551020421</c:v>
                </c:pt>
                <c:pt idx="1640" formatCode="0.000">
                  <c:v>55.909591836734705</c:v>
                </c:pt>
                <c:pt idx="1641" formatCode="0.000">
                  <c:v>55.962040816326535</c:v>
                </c:pt>
                <c:pt idx="1642" formatCode="0.000">
                  <c:v>56.01061224489797</c:v>
                </c:pt>
                <c:pt idx="1643" formatCode="0.000">
                  <c:v>56.05979591836735</c:v>
                </c:pt>
                <c:pt idx="1644" formatCode="0.000">
                  <c:v>56.088571428571434</c:v>
                </c:pt>
                <c:pt idx="1645" formatCode="0.000">
                  <c:v>56.140816326530626</c:v>
                </c:pt>
                <c:pt idx="1646" formatCode="0.000">
                  <c:v>56.17653061224491</c:v>
                </c:pt>
                <c:pt idx="1647" formatCode="0.000">
                  <c:v>56.210204081632668</c:v>
                </c:pt>
                <c:pt idx="1648" formatCode="0.000">
                  <c:v>56.248775510204091</c:v>
                </c:pt>
                <c:pt idx="1649" formatCode="0.000">
                  <c:v>56.285714285714292</c:v>
                </c:pt>
                <c:pt idx="1650" formatCode="0.000">
                  <c:v>56.317551020408175</c:v>
                </c:pt>
                <c:pt idx="1651" formatCode="0.000">
                  <c:v>56.34244897959185</c:v>
                </c:pt>
                <c:pt idx="1652" formatCode="0.000">
                  <c:v>56.342040816326552</c:v>
                </c:pt>
                <c:pt idx="1653" formatCode="0.000">
                  <c:v>56.333469387755116</c:v>
                </c:pt>
                <c:pt idx="1654" formatCode="0.000">
                  <c:v>56.313673469387773</c:v>
                </c:pt>
                <c:pt idx="1655" formatCode="0.000">
                  <c:v>56.27020408163267</c:v>
                </c:pt>
                <c:pt idx="1656" formatCode="0.000">
                  <c:v>56.221224489795929</c:v>
                </c:pt>
                <c:pt idx="1657" formatCode="0.000">
                  <c:v>56.170000000000016</c:v>
                </c:pt>
                <c:pt idx="1658" formatCode="0.000">
                  <c:v>56.126734693877573</c:v>
                </c:pt>
                <c:pt idx="1659" formatCode="0.000">
                  <c:v>56.061632653061231</c:v>
                </c:pt>
                <c:pt idx="1660" formatCode="0.000">
                  <c:v>55.98836734693878</c:v>
                </c:pt>
                <c:pt idx="1661" formatCode="0.000">
                  <c:v>55.906734693877546</c:v>
                </c:pt>
                <c:pt idx="1662" formatCode="0.000">
                  <c:v>55.825306122448978</c:v>
                </c:pt>
                <c:pt idx="1663" formatCode="0.000">
                  <c:v>55.742244897959182</c:v>
                </c:pt>
                <c:pt idx="1664" formatCode="0.000">
                  <c:v>55.656938775510199</c:v>
                </c:pt>
                <c:pt idx="1665" formatCode="0.000">
                  <c:v>55.595102040816322</c:v>
                </c:pt>
                <c:pt idx="1666" formatCode="0.000">
                  <c:v>55.530408163265299</c:v>
                </c:pt>
                <c:pt idx="1667" formatCode="0.000">
                  <c:v>55.471020408163255</c:v>
                </c:pt>
                <c:pt idx="1668" formatCode="0.000">
                  <c:v>55.416938775510204</c:v>
                </c:pt>
                <c:pt idx="1669" formatCode="0.000">
                  <c:v>55.362040816326527</c:v>
                </c:pt>
                <c:pt idx="1670" formatCode="0.000">
                  <c:v>55.324081632653048</c:v>
                </c:pt>
                <c:pt idx="1671" formatCode="0.000">
                  <c:v>55.285510204081618</c:v>
                </c:pt>
                <c:pt idx="1672" formatCode="0.000">
                  <c:v>55.241428571428564</c:v>
                </c:pt>
                <c:pt idx="1673" formatCode="0.000">
                  <c:v>55.186122448979589</c:v>
                </c:pt>
                <c:pt idx="1674" formatCode="0.000">
                  <c:v>55.132040816326537</c:v>
                </c:pt>
                <c:pt idx="1675" formatCode="0.000">
                  <c:v>55.089183673469385</c:v>
                </c:pt>
                <c:pt idx="1676" formatCode="0.000">
                  <c:v>55.03836734693877</c:v>
                </c:pt>
                <c:pt idx="1677" formatCode="0.000">
                  <c:v>54.981632653061226</c:v>
                </c:pt>
                <c:pt idx="1678" formatCode="0.000">
                  <c:v>54.915306122448989</c:v>
                </c:pt>
                <c:pt idx="1679" formatCode="0.000">
                  <c:v>54.857959183673472</c:v>
                </c:pt>
                <c:pt idx="1680" formatCode="0.000">
                  <c:v>54.837959183673469</c:v>
                </c:pt>
                <c:pt idx="1681" formatCode="0.000">
                  <c:v>54.821224489795917</c:v>
                </c:pt>
                <c:pt idx="1682" formatCode="0.000">
                  <c:v>54.815714285714279</c:v>
                </c:pt>
                <c:pt idx="1683" formatCode="0.000">
                  <c:v>54.810204081632648</c:v>
                </c:pt>
                <c:pt idx="1684" formatCode="0.000">
                  <c:v>54.812040816326522</c:v>
                </c:pt>
                <c:pt idx="1685" formatCode="0.000">
                  <c:v>54.81653061224489</c:v>
                </c:pt>
                <c:pt idx="1686" formatCode="0.000">
                  <c:v>54.838163265306115</c:v>
                </c:pt>
                <c:pt idx="1687" formatCode="0.000">
                  <c:v>54.862448979591832</c:v>
                </c:pt>
                <c:pt idx="1688" formatCode="0.000">
                  <c:v>54.865510204081623</c:v>
                </c:pt>
                <c:pt idx="1689" formatCode="0.000">
                  <c:v>54.869183673469372</c:v>
                </c:pt>
                <c:pt idx="1690" formatCode="0.000">
                  <c:v>54.869795918367338</c:v>
                </c:pt>
                <c:pt idx="1691" formatCode="0.000">
                  <c:v>54.869183673469372</c:v>
                </c:pt>
                <c:pt idx="1692" formatCode="0.000">
                  <c:v>54.86673469387754</c:v>
                </c:pt>
                <c:pt idx="1693" formatCode="0.000">
                  <c:v>54.886122448979577</c:v>
                </c:pt>
                <c:pt idx="1694" formatCode="0.000">
                  <c:v>54.882040816326516</c:v>
                </c:pt>
                <c:pt idx="1695" formatCode="0.000">
                  <c:v>54.883061224489779</c:v>
                </c:pt>
                <c:pt idx="1696" formatCode="0.000">
                  <c:v>54.878979591836718</c:v>
                </c:pt>
                <c:pt idx="1697" formatCode="0.000">
                  <c:v>54.859795918367332</c:v>
                </c:pt>
                <c:pt idx="1698" formatCode="0.000">
                  <c:v>54.855306122448958</c:v>
                </c:pt>
                <c:pt idx="1699" formatCode="0.000">
                  <c:v>54.855306122448958</c:v>
                </c:pt>
                <c:pt idx="1700" formatCode="0.000">
                  <c:v>54.85693877551018</c:v>
                </c:pt>
                <c:pt idx="1701" formatCode="0.000">
                  <c:v>54.842448979591815</c:v>
                </c:pt>
                <c:pt idx="1702" formatCode="0.000">
                  <c:v>54.853061224489778</c:v>
                </c:pt>
                <c:pt idx="1703" formatCode="0.000">
                  <c:v>54.820408163265284</c:v>
                </c:pt>
                <c:pt idx="1704" formatCode="0.000">
                  <c:v>54.783061224489778</c:v>
                </c:pt>
                <c:pt idx="1705" formatCode="0.000">
                  <c:v>54.763265306122435</c:v>
                </c:pt>
                <c:pt idx="1706" formatCode="0.000">
                  <c:v>54.756122448979575</c:v>
                </c:pt>
                <c:pt idx="1707" formatCode="0.000">
                  <c:v>54.782653061224472</c:v>
                </c:pt>
                <c:pt idx="1708" formatCode="0.000">
                  <c:v>54.835102040816309</c:v>
                </c:pt>
                <c:pt idx="1709" formatCode="0.000">
                  <c:v>54.876734693877545</c:v>
                </c:pt>
                <c:pt idx="1710" formatCode="0.000">
                  <c:v>54.925510204081633</c:v>
                </c:pt>
                <c:pt idx="1711" formatCode="0.000">
                  <c:v>54.992040816326536</c:v>
                </c:pt>
                <c:pt idx="1712" formatCode="0.000">
                  <c:v>55.089387755102052</c:v>
                </c:pt>
                <c:pt idx="1713" formatCode="0.000">
                  <c:v>55.185714285714305</c:v>
                </c:pt>
                <c:pt idx="1714" formatCode="0.000">
                  <c:v>55.274489795918385</c:v>
                </c:pt>
                <c:pt idx="1715" formatCode="0.000">
                  <c:v>55.3718367346939</c:v>
                </c:pt>
                <c:pt idx="1716" formatCode="0.000">
                  <c:v>55.44551020408165</c:v>
                </c:pt>
                <c:pt idx="1717" formatCode="0.000">
                  <c:v>55.51306122448981</c:v>
                </c:pt>
                <c:pt idx="1718" formatCode="0.000">
                  <c:v>55.585306122448998</c:v>
                </c:pt>
                <c:pt idx="1719" formatCode="0.000">
                  <c:v>55.665714285714301</c:v>
                </c:pt>
                <c:pt idx="1720" formatCode="0.000">
                  <c:v>55.739387755102051</c:v>
                </c:pt>
                <c:pt idx="1721" formatCode="0.000">
                  <c:v>55.824489795918382</c:v>
                </c:pt>
                <c:pt idx="1722" formatCode="0.000">
                  <c:v>55.925306122448994</c:v>
                </c:pt>
                <c:pt idx="1723" formatCode="0.000">
                  <c:v>56.023265306122454</c:v>
                </c:pt>
                <c:pt idx="1724" formatCode="0.000">
                  <c:v>56.107959183673479</c:v>
                </c:pt>
                <c:pt idx="1725" formatCode="0.000">
                  <c:v>56.20714285714287</c:v>
                </c:pt>
                <c:pt idx="1726" formatCode="0.000">
                  <c:v>56.3061224489796</c:v>
                </c:pt>
                <c:pt idx="1727" formatCode="0.000">
                  <c:v>56.429795918367347</c:v>
                </c:pt>
                <c:pt idx="1728" formatCode="0.000">
                  <c:v>56.558775510204072</c:v>
                </c:pt>
                <c:pt idx="1729" formatCode="0.000">
                  <c:v>56.659795918367344</c:v>
                </c:pt>
                <c:pt idx="1730" formatCode="0.000">
                  <c:v>56.7473469387755</c:v>
                </c:pt>
                <c:pt idx="1731" formatCode="0.000">
                  <c:v>56.830204081632644</c:v>
                </c:pt>
                <c:pt idx="1732" formatCode="0.000">
                  <c:v>56.917551020408155</c:v>
                </c:pt>
                <c:pt idx="1733" formatCode="0.000">
                  <c:v>57.008163265306116</c:v>
                </c:pt>
                <c:pt idx="1734" formatCode="0.000">
                  <c:v>57.102244897959181</c:v>
                </c:pt>
                <c:pt idx="1735" formatCode="0.000">
                  <c:v>57.199999999999996</c:v>
                </c:pt>
                <c:pt idx="1736" formatCode="0.000">
                  <c:v>57.282857142857146</c:v>
                </c:pt>
                <c:pt idx="1737" formatCode="0.000">
                  <c:v>57.378163265306114</c:v>
                </c:pt>
                <c:pt idx="1738" formatCode="0.000">
                  <c:v>57.465102040816319</c:v>
                </c:pt>
                <c:pt idx="1739" formatCode="0.000">
                  <c:v>57.541224489795908</c:v>
                </c:pt>
                <c:pt idx="1740" formatCode="0.000">
                  <c:v>57.606938775510187</c:v>
                </c:pt>
                <c:pt idx="1741" formatCode="0.000">
                  <c:v>57.672448979591834</c:v>
                </c:pt>
                <c:pt idx="1742" formatCode="0.000">
                  <c:v>57.733265306122448</c:v>
                </c:pt>
                <c:pt idx="1743" formatCode="0.000">
                  <c:v>57.803265306122455</c:v>
                </c:pt>
                <c:pt idx="1744" formatCode="0.000">
                  <c:v>57.903877551020408</c:v>
                </c:pt>
                <c:pt idx="1745" formatCode="0.000">
                  <c:v>58.018163265306129</c:v>
                </c:pt>
                <c:pt idx="1746" formatCode="0.000">
                  <c:v>58.128979591836746</c:v>
                </c:pt>
                <c:pt idx="1747" formatCode="0.000">
                  <c:v>58.24551020408164</c:v>
                </c:pt>
                <c:pt idx="1748" formatCode="0.000">
                  <c:v>58.362448979591854</c:v>
                </c:pt>
                <c:pt idx="1749" formatCode="0.000">
                  <c:v>58.475306122448991</c:v>
                </c:pt>
                <c:pt idx="1750" formatCode="0.000">
                  <c:v>58.635918367346946</c:v>
                </c:pt>
                <c:pt idx="1751" formatCode="0.000">
                  <c:v>58.787346938775521</c:v>
                </c:pt>
                <c:pt idx="1752" formatCode="0.000">
                  <c:v>58.962653061224501</c:v>
                </c:pt>
                <c:pt idx="1753" formatCode="0.000">
                  <c:v>59.147959183673478</c:v>
                </c:pt>
                <c:pt idx="1754" formatCode="0.000">
                  <c:v>59.295306122448984</c:v>
                </c:pt>
                <c:pt idx="1755" formatCode="0.000">
                  <c:v>59.441020408163276</c:v>
                </c:pt>
                <c:pt idx="1756" formatCode="0.000">
                  <c:v>59.563469387755106</c:v>
                </c:pt>
                <c:pt idx="1757" formatCode="0.000">
                  <c:v>59.679591836734694</c:v>
                </c:pt>
                <c:pt idx="1758" formatCode="0.000">
                  <c:v>59.824897959183673</c:v>
                </c:pt>
                <c:pt idx="1759" formatCode="0.000">
                  <c:v>59.981632653061226</c:v>
                </c:pt>
                <c:pt idx="1760" formatCode="0.000">
                  <c:v>60.104081632653056</c:v>
                </c:pt>
                <c:pt idx="1761" formatCode="0.000">
                  <c:v>60.182244897959187</c:v>
                </c:pt>
                <c:pt idx="1762" formatCode="0.000">
                  <c:v>60.237551020408169</c:v>
                </c:pt>
                <c:pt idx="1763" formatCode="0.000">
                  <c:v>60.335306122448976</c:v>
                </c:pt>
                <c:pt idx="1764" formatCode="0.000">
                  <c:v>60.408571428571427</c:v>
                </c:pt>
                <c:pt idx="1765" formatCode="0.000">
                  <c:v>60.49510204081632</c:v>
                </c:pt>
                <c:pt idx="1766" formatCode="0.000">
                  <c:v>60.594897959183669</c:v>
                </c:pt>
                <c:pt idx="1767" formatCode="0.000">
                  <c:v>60.690816326530594</c:v>
                </c:pt>
                <c:pt idx="1768" formatCode="0.000">
                  <c:v>60.780408163265292</c:v>
                </c:pt>
                <c:pt idx="1769" formatCode="0.000">
                  <c:v>60.838775510204073</c:v>
                </c:pt>
                <c:pt idx="1770" formatCode="0.000">
                  <c:v>60.838979591836718</c:v>
                </c:pt>
                <c:pt idx="1771" formatCode="0.000">
                  <c:v>60.840612244897954</c:v>
                </c:pt>
                <c:pt idx="1772" formatCode="0.000">
                  <c:v>60.81877551020407</c:v>
                </c:pt>
                <c:pt idx="1773" formatCode="0.000">
                  <c:v>60.801224489795914</c:v>
                </c:pt>
                <c:pt idx="1774" formatCode="0.000">
                  <c:v>60.787551020408166</c:v>
                </c:pt>
                <c:pt idx="1775" formatCode="0.000">
                  <c:v>60.794081632653061</c:v>
                </c:pt>
                <c:pt idx="1776" formatCode="0.000">
                  <c:v>60.777142857142849</c:v>
                </c:pt>
                <c:pt idx="1777" formatCode="0.000">
                  <c:v>60.762857142857136</c:v>
                </c:pt>
                <c:pt idx="1778" formatCode="0.000">
                  <c:v>60.755306122448964</c:v>
                </c:pt>
                <c:pt idx="1779" formatCode="0.000">
                  <c:v>60.760408163265289</c:v>
                </c:pt>
                <c:pt idx="1780" formatCode="0.000">
                  <c:v>60.767959183673462</c:v>
                </c:pt>
                <c:pt idx="1781" formatCode="0.000">
                  <c:v>60.766938775510205</c:v>
                </c:pt>
                <c:pt idx="1782" formatCode="0.000">
                  <c:v>60.775918367346939</c:v>
                </c:pt>
                <c:pt idx="1783" formatCode="0.000">
                  <c:v>60.78877551020409</c:v>
                </c:pt>
                <c:pt idx="1784" formatCode="0.000">
                  <c:v>60.799591836734706</c:v>
                </c:pt>
                <c:pt idx="1785" formatCode="0.000">
                  <c:v>60.825306122448993</c:v>
                </c:pt>
                <c:pt idx="1786" formatCode="0.000">
                  <c:v>60.85</c:v>
                </c:pt>
                <c:pt idx="1787" formatCode="0.000">
                  <c:v>60.875510204081635</c:v>
                </c:pt>
                <c:pt idx="1788" formatCode="0.000">
                  <c:v>60.924897959183674</c:v>
                </c:pt>
                <c:pt idx="1789" formatCode="0.000">
                  <c:v>60.977551020408164</c:v>
                </c:pt>
                <c:pt idx="1790" formatCode="0.000">
                  <c:v>61.031632653061216</c:v>
                </c:pt>
                <c:pt idx="1791" formatCode="0.000">
                  <c:v>61.103061224489792</c:v>
                </c:pt>
                <c:pt idx="1792" formatCode="0.000">
                  <c:v>61.180408163265298</c:v>
                </c:pt>
                <c:pt idx="1793" formatCode="0.000">
                  <c:v>61.241428571428571</c:v>
                </c:pt>
                <c:pt idx="1794" formatCode="0.000">
                  <c:v>61.298571428571421</c:v>
                </c:pt>
                <c:pt idx="1795" formatCode="0.000">
                  <c:v>61.380204081632648</c:v>
                </c:pt>
                <c:pt idx="1796" formatCode="0.000">
                  <c:v>61.452653061224474</c:v>
                </c:pt>
                <c:pt idx="1797" formatCode="0.000">
                  <c:v>61.522244897959169</c:v>
                </c:pt>
                <c:pt idx="1798" formatCode="0.000">
                  <c:v>61.593265306122433</c:v>
                </c:pt>
                <c:pt idx="1799" formatCode="0.000">
                  <c:v>61.664081632653044</c:v>
                </c:pt>
                <c:pt idx="1800" formatCode="0.000">
                  <c:v>61.744897959183668</c:v>
                </c:pt>
                <c:pt idx="1801" formatCode="0.000">
                  <c:v>61.850408163265307</c:v>
                </c:pt>
                <c:pt idx="1802" formatCode="0.000">
                  <c:v>61.929387755102042</c:v>
                </c:pt>
                <c:pt idx="1803" formatCode="0.000">
                  <c:v>62.044693877551019</c:v>
                </c:pt>
                <c:pt idx="1804" formatCode="0.000">
                  <c:v>62.133877551020419</c:v>
                </c:pt>
                <c:pt idx="1805" formatCode="0.000">
                  <c:v>62.22877551020408</c:v>
                </c:pt>
                <c:pt idx="1806" formatCode="0.000">
                  <c:v>62.33673469387756</c:v>
                </c:pt>
                <c:pt idx="1807" formatCode="0.000">
                  <c:v>62.387551020408168</c:v>
                </c:pt>
                <c:pt idx="1808" formatCode="0.000">
                  <c:v>62.405918367346942</c:v>
                </c:pt>
                <c:pt idx="1809" formatCode="0.000">
                  <c:v>62.422244897959196</c:v>
                </c:pt>
                <c:pt idx="1810" formatCode="0.000">
                  <c:v>62.492448979591849</c:v>
                </c:pt>
                <c:pt idx="1811" formatCode="0.000">
                  <c:v>62.574081632653083</c:v>
                </c:pt>
                <c:pt idx="1812" formatCode="0.000">
                  <c:v>62.612653061224506</c:v>
                </c:pt>
                <c:pt idx="1813" formatCode="0.000">
                  <c:v>62.661020408163282</c:v>
                </c:pt>
                <c:pt idx="1814" formatCode="0.000">
                  <c:v>62.702653061224517</c:v>
                </c:pt>
                <c:pt idx="1815" formatCode="0.000">
                  <c:v>62.74102040816328</c:v>
                </c:pt>
                <c:pt idx="1816" formatCode="0.000">
                  <c:v>62.782653061224508</c:v>
                </c:pt>
                <c:pt idx="1817" formatCode="0.000">
                  <c:v>62.84693877551021</c:v>
                </c:pt>
                <c:pt idx="1818" formatCode="0.000">
                  <c:v>62.946530612244906</c:v>
                </c:pt>
                <c:pt idx="1819" formatCode="0.000">
                  <c:v>63.091836734693885</c:v>
                </c:pt>
                <c:pt idx="1820" formatCode="0.000">
                  <c:v>63.137551020408175</c:v>
                </c:pt>
                <c:pt idx="1821" formatCode="0.000">
                  <c:v>63.180816326530625</c:v>
                </c:pt>
                <c:pt idx="1822" formatCode="0.000">
                  <c:v>63.243265306122453</c:v>
                </c:pt>
                <c:pt idx="1823" formatCode="0.000">
                  <c:v>63.331428571428589</c:v>
                </c:pt>
                <c:pt idx="1824" formatCode="0.000">
                  <c:v>63.421224489795925</c:v>
                </c:pt>
                <c:pt idx="1825" formatCode="0.000">
                  <c:v>63.515306122448997</c:v>
                </c:pt>
                <c:pt idx="1826" formatCode="0.000">
                  <c:v>63.601224489795939</c:v>
                </c:pt>
                <c:pt idx="1827" formatCode="0.000">
                  <c:v>63.694693877551032</c:v>
                </c:pt>
                <c:pt idx="1828" formatCode="0.000">
                  <c:v>63.751836734693889</c:v>
                </c:pt>
                <c:pt idx="1829" formatCode="0.000">
                  <c:v>63.798163265306144</c:v>
                </c:pt>
                <c:pt idx="1830" formatCode="0.000">
                  <c:v>63.866122448979603</c:v>
                </c:pt>
                <c:pt idx="1831" formatCode="0.000">
                  <c:v>63.90673469387756</c:v>
                </c:pt>
                <c:pt idx="1832" formatCode="0.000">
                  <c:v>63.934081632653069</c:v>
                </c:pt>
                <c:pt idx="1833" formatCode="0.000">
                  <c:v>63.961224489795917</c:v>
                </c:pt>
                <c:pt idx="1834" formatCode="0.000">
                  <c:v>63.976122448979588</c:v>
                </c:pt>
                <c:pt idx="1835" formatCode="0.000">
                  <c:v>63.967755102040819</c:v>
                </c:pt>
                <c:pt idx="1836" formatCode="0.000">
                  <c:v>63.955714285714286</c:v>
                </c:pt>
                <c:pt idx="1837" formatCode="0.000">
                  <c:v>63.924489795918369</c:v>
                </c:pt>
                <c:pt idx="1838" formatCode="0.000">
                  <c:v>63.856938775510208</c:v>
                </c:pt>
                <c:pt idx="1839" formatCode="0.000">
                  <c:v>63.799795918367352</c:v>
                </c:pt>
                <c:pt idx="1840" formatCode="0.000">
                  <c:v>63.717551020408166</c:v>
                </c:pt>
                <c:pt idx="1841" formatCode="0.000">
                  <c:v>63.635714285714286</c:v>
                </c:pt>
                <c:pt idx="1842" formatCode="0.000">
                  <c:v>63.571836734693868</c:v>
                </c:pt>
                <c:pt idx="1843" formatCode="0.000">
                  <c:v>63.517551020408156</c:v>
                </c:pt>
                <c:pt idx="1844" formatCode="0.000">
                  <c:v>63.462857142857139</c:v>
                </c:pt>
                <c:pt idx="1845" formatCode="0.000">
                  <c:v>63.428367346938771</c:v>
                </c:pt>
                <c:pt idx="1846" formatCode="0.000">
                  <c:v>63.385306122448974</c:v>
                </c:pt>
                <c:pt idx="1847" formatCode="0.000">
                  <c:v>63.341224489795913</c:v>
                </c:pt>
                <c:pt idx="1848" formatCode="0.000">
                  <c:v>63.293469387755103</c:v>
                </c:pt>
                <c:pt idx="1849" formatCode="0.000">
                  <c:v>63.23122448979592</c:v>
                </c:pt>
                <c:pt idx="1850" formatCode="0.000">
                  <c:v>63.193877551020407</c:v>
                </c:pt>
                <c:pt idx="1851" formatCode="0.000">
                  <c:v>63.153673469387762</c:v>
                </c:pt>
                <c:pt idx="1852" formatCode="0.000">
                  <c:v>63.102040816326543</c:v>
                </c:pt>
                <c:pt idx="1853" formatCode="0.000">
                  <c:v>63.05836734693878</c:v>
                </c:pt>
                <c:pt idx="1854" formatCode="0.000">
                  <c:v>63.008979591836727</c:v>
                </c:pt>
                <c:pt idx="1855" formatCode="0.000">
                  <c:v>62.942653061224483</c:v>
                </c:pt>
                <c:pt idx="1856" formatCode="0.000">
                  <c:v>62.903061224489797</c:v>
                </c:pt>
                <c:pt idx="1857" formatCode="0.000">
                  <c:v>62.881428571428572</c:v>
                </c:pt>
                <c:pt idx="1858" formatCode="0.000">
                  <c:v>62.863061224489805</c:v>
                </c:pt>
                <c:pt idx="1859" formatCode="0.000">
                  <c:v>62.811428571428578</c:v>
                </c:pt>
                <c:pt idx="1860" formatCode="0.000">
                  <c:v>62.753061224489798</c:v>
                </c:pt>
                <c:pt idx="1861" formatCode="0.000">
                  <c:v>62.707959183673481</c:v>
                </c:pt>
                <c:pt idx="1862" formatCode="0.000">
                  <c:v>62.644489795918375</c:v>
                </c:pt>
                <c:pt idx="1863" formatCode="0.000">
                  <c:v>62.590408163265323</c:v>
                </c:pt>
                <c:pt idx="1864" formatCode="0.000">
                  <c:v>62.534897959183695</c:v>
                </c:pt>
                <c:pt idx="1865" formatCode="0.000">
                  <c:v>62.487551020408191</c:v>
                </c:pt>
                <c:pt idx="1866" formatCode="0.000">
                  <c:v>62.436326530612263</c:v>
                </c:pt>
                <c:pt idx="1867" formatCode="0.000">
                  <c:v>62.376122448979615</c:v>
                </c:pt>
                <c:pt idx="1868" formatCode="0.000">
                  <c:v>62.341020408163281</c:v>
                </c:pt>
                <c:pt idx="1869" formatCode="0.000">
                  <c:v>62.401632653061249</c:v>
                </c:pt>
                <c:pt idx="1870" formatCode="0.000">
                  <c:v>62.493877551020439</c:v>
                </c:pt>
                <c:pt idx="1871" formatCode="0.000">
                  <c:v>62.548163265306151</c:v>
                </c:pt>
                <c:pt idx="1872" formatCode="0.000">
                  <c:v>62.569795918367376</c:v>
                </c:pt>
                <c:pt idx="1873" formatCode="0.000">
                  <c:v>62.562653061224523</c:v>
                </c:pt>
                <c:pt idx="1874" formatCode="0.000">
                  <c:v>62.548571428571456</c:v>
                </c:pt>
                <c:pt idx="1875" formatCode="0.000">
                  <c:v>62.521428571428615</c:v>
                </c:pt>
                <c:pt idx="1876" formatCode="0.000">
                  <c:v>62.488163265306149</c:v>
                </c:pt>
                <c:pt idx="1877" formatCode="0.000">
                  <c:v>62.493673469387787</c:v>
                </c:pt>
                <c:pt idx="1878" formatCode="0.000">
                  <c:v>62.496734693877571</c:v>
                </c:pt>
                <c:pt idx="1879" formatCode="0.000">
                  <c:v>62.496122448979619</c:v>
                </c:pt>
                <c:pt idx="1880" formatCode="0.000">
                  <c:v>62.527346938775523</c:v>
                </c:pt>
                <c:pt idx="1881" formatCode="0.000">
                  <c:v>62.571428571428591</c:v>
                </c:pt>
                <c:pt idx="1882" formatCode="0.000">
                  <c:v>62.604693877551028</c:v>
                </c:pt>
                <c:pt idx="1883" formatCode="0.000">
                  <c:v>62.652244897959193</c:v>
                </c:pt>
                <c:pt idx="1884" formatCode="0.000">
                  <c:v>62.72102040816327</c:v>
                </c:pt>
                <c:pt idx="1885" formatCode="0.000">
                  <c:v>62.777959183673467</c:v>
                </c:pt>
                <c:pt idx="1886" formatCode="0.000">
                  <c:v>62.837755102040823</c:v>
                </c:pt>
                <c:pt idx="1887" formatCode="0.000">
                  <c:v>62.942448979591845</c:v>
                </c:pt>
                <c:pt idx="1888" formatCode="0.000">
                  <c:v>63.044489795918373</c:v>
                </c:pt>
                <c:pt idx="1889" formatCode="0.000">
                  <c:v>63.126938775510212</c:v>
                </c:pt>
                <c:pt idx="1890" formatCode="0.000">
                  <c:v>63.194285714285712</c:v>
                </c:pt>
                <c:pt idx="1891" formatCode="0.000">
                  <c:v>63.223877551020415</c:v>
                </c:pt>
                <c:pt idx="1892" formatCode="0.000">
                  <c:v>63.235306122448982</c:v>
                </c:pt>
                <c:pt idx="1893" formatCode="0.000">
                  <c:v>63.237755102040815</c:v>
                </c:pt>
                <c:pt idx="1894" formatCode="0.000">
                  <c:v>63.199183673469392</c:v>
                </c:pt>
                <c:pt idx="1895" formatCode="0.000">
                  <c:v>63.16387755102042</c:v>
                </c:pt>
                <c:pt idx="1896" formatCode="0.000">
                  <c:v>63.164489795918385</c:v>
                </c:pt>
                <c:pt idx="1897" formatCode="0.000">
                  <c:v>63.152040816326547</c:v>
                </c:pt>
                <c:pt idx="1898" formatCode="0.000">
                  <c:v>63.140000000000015</c:v>
                </c:pt>
                <c:pt idx="1899" formatCode="0.000">
                  <c:v>63.101632653061237</c:v>
                </c:pt>
                <c:pt idx="1900" formatCode="0.000">
                  <c:v>63.044285714285728</c:v>
                </c:pt>
                <c:pt idx="1901" formatCode="0.000">
                  <c:v>62.990816326530627</c:v>
                </c:pt>
                <c:pt idx="1902" formatCode="0.000">
                  <c:v>62.921836734693898</c:v>
                </c:pt>
                <c:pt idx="1903" formatCode="0.000">
                  <c:v>62.848367346938787</c:v>
                </c:pt>
                <c:pt idx="1904" formatCode="0.000">
                  <c:v>62.788163265306117</c:v>
                </c:pt>
                <c:pt idx="1905" formatCode="0.000">
                  <c:v>62.731632653061226</c:v>
                </c:pt>
                <c:pt idx="1906" formatCode="0.000">
                  <c:v>62.670816326530613</c:v>
                </c:pt>
                <c:pt idx="1907" formatCode="0.000">
                  <c:v>62.611224489795916</c:v>
                </c:pt>
                <c:pt idx="1908" formatCode="0.000">
                  <c:v>62.53163265306123</c:v>
                </c:pt>
                <c:pt idx="1909" formatCode="0.000">
                  <c:v>62.45448979591837</c:v>
                </c:pt>
                <c:pt idx="1910" formatCode="0.000">
                  <c:v>62.328979591836735</c:v>
                </c:pt>
                <c:pt idx="1911" formatCode="0.000">
                  <c:v>62.236734693877551</c:v>
                </c:pt>
                <c:pt idx="1912" formatCode="0.000">
                  <c:v>62.138979591836744</c:v>
                </c:pt>
                <c:pt idx="1913" formatCode="0.000">
                  <c:v>62.025306122448995</c:v>
                </c:pt>
                <c:pt idx="1914" formatCode="0.000">
                  <c:v>61.912244897959191</c:v>
                </c:pt>
                <c:pt idx="1915" formatCode="0.000">
                  <c:v>61.781020408163272</c:v>
                </c:pt>
                <c:pt idx="1916" formatCode="0.000">
                  <c:v>61.642857142857153</c:v>
                </c:pt>
                <c:pt idx="1917" formatCode="0.000">
                  <c:v>61.458571428571446</c:v>
                </c:pt>
                <c:pt idx="1918" formatCode="0.000">
                  <c:v>61.261428571428588</c:v>
                </c:pt>
                <c:pt idx="1919" formatCode="0.000">
                  <c:v>61.054693877551038</c:v>
                </c:pt>
                <c:pt idx="1920" formatCode="0.000">
                  <c:v>60.867755102040825</c:v>
                </c:pt>
                <c:pt idx="1921" formatCode="0.000">
                  <c:v>60.688571428571443</c:v>
                </c:pt>
                <c:pt idx="1922" formatCode="0.000">
                  <c:v>60.52938775510205</c:v>
                </c:pt>
                <c:pt idx="1923" formatCode="0.000">
                  <c:v>60.357959183673479</c:v>
                </c:pt>
                <c:pt idx="1924" formatCode="0.000">
                  <c:v>60.209387755102043</c:v>
                </c:pt>
                <c:pt idx="1925" formatCode="0.000">
                  <c:v>60.074489795918382</c:v>
                </c:pt>
                <c:pt idx="1926" formatCode="0.000">
                  <c:v>59.917551020408176</c:v>
                </c:pt>
                <c:pt idx="1927" formatCode="0.000">
                  <c:v>59.751428571428576</c:v>
                </c:pt>
                <c:pt idx="1928" formatCode="0.000">
                  <c:v>59.5934693877551</c:v>
                </c:pt>
                <c:pt idx="1929" formatCode="0.000">
                  <c:v>59.45204081632653</c:v>
                </c:pt>
                <c:pt idx="1930" formatCode="0.000">
                  <c:v>59.327959183673471</c:v>
                </c:pt>
                <c:pt idx="1931" formatCode="0.000">
                  <c:v>59.215918367346937</c:v>
                </c:pt>
                <c:pt idx="1932" formatCode="0.000">
                  <c:v>59.099795918367356</c:v>
                </c:pt>
                <c:pt idx="1933" formatCode="0.000">
                  <c:v>59.009795918367345</c:v>
                </c:pt>
                <c:pt idx="1934" formatCode="0.000">
                  <c:v>58.921020408163265</c:v>
                </c:pt>
                <c:pt idx="1935" formatCode="0.000">
                  <c:v>58.826530612244895</c:v>
                </c:pt>
                <c:pt idx="1936" formatCode="0.000">
                  <c:v>58.713265306122452</c:v>
                </c:pt>
                <c:pt idx="1937" formatCode="0.000">
                  <c:v>58.593061224489801</c:v>
                </c:pt>
                <c:pt idx="1938" formatCode="0.000">
                  <c:v>58.514489795918379</c:v>
                </c:pt>
                <c:pt idx="1939" formatCode="0.000">
                  <c:v>58.448367346938781</c:v>
                </c:pt>
                <c:pt idx="1940" formatCode="0.000">
                  <c:v>58.396326530612249</c:v>
                </c:pt>
                <c:pt idx="1941" formatCode="0.000">
                  <c:v>58.336326530612247</c:v>
                </c:pt>
                <c:pt idx="1942" formatCode="0.000">
                  <c:v>58.313469387755106</c:v>
                </c:pt>
                <c:pt idx="1943" formatCode="0.000">
                  <c:v>58.316938775510216</c:v>
                </c:pt>
                <c:pt idx="1944" formatCode="0.000">
                  <c:v>58.307755102040836</c:v>
                </c:pt>
                <c:pt idx="1945" formatCode="0.000">
                  <c:v>58.273469387755121</c:v>
                </c:pt>
                <c:pt idx="1946" formatCode="0.000">
                  <c:v>58.240816326530627</c:v>
                </c:pt>
                <c:pt idx="1947" formatCode="0.000">
                  <c:v>58.207959183673481</c:v>
                </c:pt>
                <c:pt idx="1948" formatCode="0.000">
                  <c:v>58.18020408163266</c:v>
                </c:pt>
                <c:pt idx="1949" formatCode="0.000">
                  <c:v>58.213061224489806</c:v>
                </c:pt>
                <c:pt idx="1950" formatCode="0.000">
                  <c:v>58.244897959183682</c:v>
                </c:pt>
                <c:pt idx="1951" formatCode="0.000">
                  <c:v>58.308163265306121</c:v>
                </c:pt>
                <c:pt idx="1952" formatCode="0.000">
                  <c:v>58.372448979591837</c:v>
                </c:pt>
                <c:pt idx="1953" formatCode="0.000">
                  <c:v>58.42775510204082</c:v>
                </c:pt>
                <c:pt idx="1954" formatCode="0.000">
                  <c:v>58.480408163265302</c:v>
                </c:pt>
                <c:pt idx="1955" formatCode="0.000">
                  <c:v>58.566326530612244</c:v>
                </c:pt>
                <c:pt idx="1956" formatCode="0.000">
                  <c:v>58.658775510204073</c:v>
                </c:pt>
                <c:pt idx="1957" formatCode="0.000">
                  <c:v>58.776122448979585</c:v>
                </c:pt>
                <c:pt idx="1958" formatCode="0.000">
                  <c:v>58.890408163265299</c:v>
                </c:pt>
                <c:pt idx="1959" formatCode="0.000">
                  <c:v>59.034489795918368</c:v>
                </c:pt>
                <c:pt idx="1960" formatCode="0.000">
                  <c:v>59.168367346938766</c:v>
                </c:pt>
                <c:pt idx="1961" formatCode="0.000">
                  <c:v>59.316122448979584</c:v>
                </c:pt>
                <c:pt idx="1962" formatCode="0.000">
                  <c:v>59.461428571428577</c:v>
                </c:pt>
                <c:pt idx="1963" formatCode="0.000">
                  <c:v>59.61081632653061</c:v>
                </c:pt>
                <c:pt idx="1964" formatCode="0.000">
                  <c:v>59.757959183673456</c:v>
                </c:pt>
                <c:pt idx="1965" formatCode="0.000">
                  <c:v>59.916122448979571</c:v>
                </c:pt>
                <c:pt idx="1966" formatCode="0.000">
                  <c:v>60.081020408163241</c:v>
                </c:pt>
                <c:pt idx="1967" formatCode="0.000">
                  <c:v>60.249183673469368</c:v>
                </c:pt>
                <c:pt idx="1968" formatCode="0.000">
                  <c:v>60.421632653061209</c:v>
                </c:pt>
                <c:pt idx="1969" formatCode="0.000">
                  <c:v>60.591224489795906</c:v>
                </c:pt>
                <c:pt idx="1970" formatCode="0.000">
                  <c:v>60.767959183673462</c:v>
                </c:pt>
                <c:pt idx="1971" formatCode="0.000">
                  <c:v>60.920408163265293</c:v>
                </c:pt>
                <c:pt idx="1972" formatCode="0.000">
                  <c:v>61.100816326530612</c:v>
                </c:pt>
                <c:pt idx="1973" formatCode="0.000">
                  <c:v>61.274693877551023</c:v>
                </c:pt>
                <c:pt idx="1974" formatCode="0.000">
                  <c:v>61.420204081632654</c:v>
                </c:pt>
                <c:pt idx="1975" formatCode="0.000">
                  <c:v>61.583265306122449</c:v>
                </c:pt>
                <c:pt idx="1976" formatCode="0.000">
                  <c:v>61.757346938775513</c:v>
                </c:pt>
                <c:pt idx="1977" formatCode="0.000">
                  <c:v>61.900000000000006</c:v>
                </c:pt>
                <c:pt idx="1978" formatCode="0.000">
                  <c:v>62.009183673469394</c:v>
                </c:pt>
                <c:pt idx="1979" formatCode="0.000">
                  <c:v>62.075510204081638</c:v>
                </c:pt>
                <c:pt idx="1980" formatCode="0.000">
                  <c:v>62.157346938775518</c:v>
                </c:pt>
                <c:pt idx="1981" formatCode="0.000">
                  <c:v>62.220204081632673</c:v>
                </c:pt>
                <c:pt idx="1982" formatCode="0.000">
                  <c:v>62.248163265306147</c:v>
                </c:pt>
                <c:pt idx="1983" formatCode="0.000">
                  <c:v>62.292244897959208</c:v>
                </c:pt>
                <c:pt idx="1984" formatCode="0.000">
                  <c:v>62.324285714285729</c:v>
                </c:pt>
                <c:pt idx="1985" formatCode="0.000">
                  <c:v>62.37775510204083</c:v>
                </c:pt>
                <c:pt idx="1986" formatCode="0.000">
                  <c:v>62.436938775510214</c:v>
                </c:pt>
                <c:pt idx="1987" formatCode="0.000">
                  <c:v>62.448163265306121</c:v>
                </c:pt>
                <c:pt idx="1988" formatCode="0.000">
                  <c:v>62.452857142857134</c:v>
                </c:pt>
                <c:pt idx="1989" formatCode="0.000">
                  <c:v>62.462653061224479</c:v>
                </c:pt>
                <c:pt idx="1990" formatCode="0.000">
                  <c:v>62.492448979591821</c:v>
                </c:pt>
                <c:pt idx="1991" formatCode="0.000">
                  <c:v>62.48571428571428</c:v>
                </c:pt>
                <c:pt idx="1992" formatCode="0.000">
                  <c:v>62.477755102040803</c:v>
                </c:pt>
                <c:pt idx="1993" formatCode="0.000">
                  <c:v>62.479387755102024</c:v>
                </c:pt>
                <c:pt idx="1994" formatCode="0.000">
                  <c:v>62.476530612244879</c:v>
                </c:pt>
                <c:pt idx="1995" formatCode="0.000">
                  <c:v>62.478979591836712</c:v>
                </c:pt>
                <c:pt idx="1996" formatCode="0.000">
                  <c:v>62.49142857142855</c:v>
                </c:pt>
                <c:pt idx="1997" formatCode="0.000">
                  <c:v>62.495306122448959</c:v>
                </c:pt>
                <c:pt idx="1998" formatCode="0.000">
                  <c:v>62.458571428571418</c:v>
                </c:pt>
                <c:pt idx="1999" formatCode="0.000">
                  <c:v>62.407142857142844</c:v>
                </c:pt>
                <c:pt idx="2000" formatCode="0.000">
                  <c:v>62.356938775510187</c:v>
                </c:pt>
                <c:pt idx="2001" formatCode="0.000">
                  <c:v>62.303469387755101</c:v>
                </c:pt>
                <c:pt idx="2002" formatCode="0.000">
                  <c:v>62.242653061224487</c:v>
                </c:pt>
                <c:pt idx="2003" formatCode="0.000">
                  <c:v>62.184285714285707</c:v>
                </c:pt>
                <c:pt idx="2004" formatCode="0.000">
                  <c:v>62.10285714285714</c:v>
                </c:pt>
                <c:pt idx="2005" formatCode="0.000">
                  <c:v>62.037755102040812</c:v>
                </c:pt>
                <c:pt idx="2006" formatCode="0.000">
                  <c:v>61.940612244897963</c:v>
                </c:pt>
                <c:pt idx="2007" formatCode="0.000">
                  <c:v>61.861428571428576</c:v>
                </c:pt>
                <c:pt idx="2008" formatCode="0.000">
                  <c:v>61.775306122448974</c:v>
                </c:pt>
                <c:pt idx="2009" formatCode="0.000">
                  <c:v>61.705510204081634</c:v>
                </c:pt>
                <c:pt idx="2010" formatCode="0.000">
                  <c:v>61.623673469387761</c:v>
                </c:pt>
                <c:pt idx="2011" formatCode="0.000">
                  <c:v>61.559183673469398</c:v>
                </c:pt>
                <c:pt idx="2012" formatCode="0.000">
                  <c:v>61.480000000000011</c:v>
                </c:pt>
                <c:pt idx="2013" formatCode="0.000">
                  <c:v>61.395306122448993</c:v>
                </c:pt>
                <c:pt idx="2014" formatCode="0.000">
                  <c:v>61.310204081632669</c:v>
                </c:pt>
                <c:pt idx="2015" formatCode="0.000">
                  <c:v>61.236734693877558</c:v>
                </c:pt>
                <c:pt idx="2016" formatCode="0.000">
                  <c:v>61.157346938775518</c:v>
                </c:pt>
                <c:pt idx="2017" formatCode="0.000">
                  <c:v>61.09367346938776</c:v>
                </c:pt>
                <c:pt idx="2018" formatCode="0.000">
                  <c:v>61.025306122448981</c:v>
                </c:pt>
                <c:pt idx="2019" formatCode="0.000">
                  <c:v>60.955102040816342</c:v>
                </c:pt>
                <c:pt idx="2020" formatCode="0.000">
                  <c:v>60.887142857142869</c:v>
                </c:pt>
                <c:pt idx="2021" formatCode="0.000">
                  <c:v>60.810000000000009</c:v>
                </c:pt>
                <c:pt idx="2022" formatCode="0.000">
                  <c:v>60.713061224489806</c:v>
                </c:pt>
                <c:pt idx="2023" formatCode="0.000">
                  <c:v>60.624081632653066</c:v>
                </c:pt>
                <c:pt idx="2024" formatCode="0.000">
                  <c:v>60.539591836734701</c:v>
                </c:pt>
                <c:pt idx="2025" formatCode="0.000">
                  <c:v>60.46653061224491</c:v>
                </c:pt>
                <c:pt idx="2026" formatCode="0.000">
                  <c:v>60.415102040816329</c:v>
                </c:pt>
                <c:pt idx="2027" formatCode="0.000">
                  <c:v>60.361632653061228</c:v>
                </c:pt>
                <c:pt idx="2028" formatCode="0.000">
                  <c:v>60.317142857142855</c:v>
                </c:pt>
                <c:pt idx="2029" formatCode="0.000">
                  <c:v>60.26</c:v>
                </c:pt>
                <c:pt idx="2030" formatCode="0.000">
                  <c:v>60.213265306122445</c:v>
                </c:pt>
                <c:pt idx="2031" formatCode="0.000">
                  <c:v>60.170816326530613</c:v>
                </c:pt>
                <c:pt idx="2032" formatCode="0.000">
                  <c:v>60.128163265306128</c:v>
                </c:pt>
                <c:pt idx="2033" formatCode="0.000">
                  <c:v>60.121836734693886</c:v>
                </c:pt>
                <c:pt idx="2034" formatCode="0.000">
                  <c:v>60.12020408163265</c:v>
                </c:pt>
                <c:pt idx="2035" formatCode="0.000">
                  <c:v>60.114897959183679</c:v>
                </c:pt>
                <c:pt idx="2036" formatCode="0.000">
                  <c:v>60.156734693877546</c:v>
                </c:pt>
                <c:pt idx="2037" formatCode="0.000">
                  <c:v>60.200204081632648</c:v>
                </c:pt>
                <c:pt idx="2038" formatCode="0.000">
                  <c:v>60.24</c:v>
                </c:pt>
                <c:pt idx="2039" formatCode="0.000">
                  <c:v>60.284285714285723</c:v>
                </c:pt>
                <c:pt idx="2040" formatCode="0.000">
                  <c:v>60.318163265306133</c:v>
                </c:pt>
                <c:pt idx="2041" formatCode="0.000">
                  <c:v>60.356326530612264</c:v>
                </c:pt>
                <c:pt idx="2042" formatCode="0.000">
                  <c:v>60.397755102040833</c:v>
                </c:pt>
                <c:pt idx="2043" formatCode="0.000">
                  <c:v>60.442653061224512</c:v>
                </c:pt>
                <c:pt idx="2044" formatCode="0.000">
                  <c:v>60.482244897959205</c:v>
                </c:pt>
                <c:pt idx="2045" formatCode="0.000">
                  <c:v>60.510204081632672</c:v>
                </c:pt>
                <c:pt idx="2046" formatCode="0.000">
                  <c:v>60.547346938775526</c:v>
                </c:pt>
                <c:pt idx="2047" formatCode="0.000">
                  <c:v>60.603877551020432</c:v>
                </c:pt>
                <c:pt idx="2048" formatCode="0.000">
                  <c:v>60.677959183673494</c:v>
                </c:pt>
                <c:pt idx="2049" formatCode="0.000">
                  <c:v>60.747142857142876</c:v>
                </c:pt>
                <c:pt idx="2050" formatCode="0.000">
                  <c:v>60.820816326530625</c:v>
                </c:pt>
                <c:pt idx="2051" formatCode="0.000">
                  <c:v>60.907346938775532</c:v>
                </c:pt>
                <c:pt idx="2052" formatCode="0.000">
                  <c:v>60.997755102040834</c:v>
                </c:pt>
                <c:pt idx="2053" formatCode="0.000">
                  <c:v>61.086122448979594</c:v>
                </c:pt>
                <c:pt idx="2054" formatCode="0.000">
                  <c:v>61.152448979591838</c:v>
                </c:pt>
                <c:pt idx="2055" formatCode="0.000">
                  <c:v>61.233265306122462</c:v>
                </c:pt>
                <c:pt idx="2056" formatCode="0.000">
                  <c:v>61.316734693877549</c:v>
                </c:pt>
                <c:pt idx="2057" formatCode="0.000">
                  <c:v>61.417346938775516</c:v>
                </c:pt>
                <c:pt idx="2058" formatCode="0.000">
                  <c:v>61.502653061224493</c:v>
                </c:pt>
                <c:pt idx="2059" formatCode="0.000">
                  <c:v>61.588571428571441</c:v>
                </c:pt>
                <c:pt idx="2060" formatCode="0.000">
                  <c:v>61.663469387755107</c:v>
                </c:pt>
                <c:pt idx="2061" formatCode="0.000">
                  <c:v>61.737551020408169</c:v>
                </c:pt>
                <c:pt idx="2062" formatCode="0.000">
                  <c:v>61.822857142857146</c:v>
                </c:pt>
                <c:pt idx="2063" formatCode="0.000">
                  <c:v>61.9065306122449</c:v>
                </c:pt>
                <c:pt idx="2064" formatCode="0.000">
                  <c:v>61.98571428571428</c:v>
                </c:pt>
                <c:pt idx="2065" formatCode="0.000">
                  <c:v>62.080408163265304</c:v>
                </c:pt>
                <c:pt idx="2066" formatCode="0.000">
                  <c:v>62.164897959183669</c:v>
                </c:pt>
                <c:pt idx="2067" formatCode="0.000">
                  <c:v>62.260204081632665</c:v>
                </c:pt>
                <c:pt idx="2068" formatCode="0.000">
                  <c:v>62.333265306122456</c:v>
                </c:pt>
                <c:pt idx="2069" formatCode="0.000">
                  <c:v>62.398775510204089</c:v>
                </c:pt>
                <c:pt idx="2070" formatCode="0.000">
                  <c:v>62.462244897959195</c:v>
                </c:pt>
                <c:pt idx="2071" formatCode="0.000">
                  <c:v>62.530408163265321</c:v>
                </c:pt>
                <c:pt idx="2072" formatCode="0.000">
                  <c:v>62.604285714285723</c:v>
                </c:pt>
                <c:pt idx="2073" formatCode="0.000">
                  <c:v>62.638979591836751</c:v>
                </c:pt>
                <c:pt idx="2074" formatCode="0.000">
                  <c:v>62.666938775510218</c:v>
                </c:pt>
                <c:pt idx="2075" formatCode="0.000">
                  <c:v>62.676122448979605</c:v>
                </c:pt>
                <c:pt idx="2076" formatCode="0.000">
                  <c:v>62.678367346938778</c:v>
                </c:pt>
                <c:pt idx="2077" formatCode="0.000">
                  <c:v>62.683265306122465</c:v>
                </c:pt>
                <c:pt idx="2078" formatCode="0.000">
                  <c:v>62.666530612244919</c:v>
                </c:pt>
                <c:pt idx="2079" formatCode="0.000">
                  <c:v>62.653061224489818</c:v>
                </c:pt>
                <c:pt idx="2080" formatCode="0.000">
                  <c:v>62.652040816326547</c:v>
                </c:pt>
                <c:pt idx="2081" formatCode="0.000">
                  <c:v>62.677346938775528</c:v>
                </c:pt>
                <c:pt idx="2082" formatCode="0.000">
                  <c:v>62.67428571428573</c:v>
                </c:pt>
                <c:pt idx="2083" formatCode="0.000">
                  <c:v>62.653061224489804</c:v>
                </c:pt>
                <c:pt idx="2084" formatCode="0.000">
                  <c:v>62.628571428571433</c:v>
                </c:pt>
                <c:pt idx="2085" formatCode="0.000">
                  <c:v>62.59816326530612</c:v>
                </c:pt>
                <c:pt idx="2086" formatCode="0.000">
                  <c:v>62.570000000000007</c:v>
                </c:pt>
                <c:pt idx="2087" formatCode="0.000">
                  <c:v>62.532857142857146</c:v>
                </c:pt>
                <c:pt idx="2088" formatCode="0.000">
                  <c:v>62.493061224489793</c:v>
                </c:pt>
                <c:pt idx="2089" formatCode="0.000">
                  <c:v>62.465510204081625</c:v>
                </c:pt>
                <c:pt idx="2090" formatCode="0.000">
                  <c:v>62.433469387755089</c:v>
                </c:pt>
                <c:pt idx="2091" formatCode="0.000">
                  <c:v>62.409591836734691</c:v>
                </c:pt>
                <c:pt idx="2092" formatCode="0.000">
                  <c:v>62.380408163265301</c:v>
                </c:pt>
                <c:pt idx="2093" formatCode="0.000">
                  <c:v>62.356938775510201</c:v>
                </c:pt>
                <c:pt idx="2094" formatCode="0.000">
                  <c:v>62.339795918367329</c:v>
                </c:pt>
                <c:pt idx="2095" formatCode="0.000">
                  <c:v>62.29999999999999</c:v>
                </c:pt>
                <c:pt idx="2096" formatCode="0.000">
                  <c:v>62.262653061224469</c:v>
                </c:pt>
                <c:pt idx="2097" formatCode="0.000">
                  <c:v>62.214285714285708</c:v>
                </c:pt>
                <c:pt idx="2098" formatCode="0.000">
                  <c:v>62.152244897959179</c:v>
                </c:pt>
                <c:pt idx="2099" formatCode="0.000">
                  <c:v>62.077551020408158</c:v>
                </c:pt>
                <c:pt idx="2100" formatCode="0.000">
                  <c:v>62.001224489795909</c:v>
                </c:pt>
                <c:pt idx="2101" formatCode="0.000">
                  <c:v>61.930408163265298</c:v>
                </c:pt>
                <c:pt idx="2102" formatCode="0.000">
                  <c:v>61.870816326530601</c:v>
                </c:pt>
                <c:pt idx="2103" formatCode="0.000">
                  <c:v>61.803673469387746</c:v>
                </c:pt>
                <c:pt idx="2104" formatCode="0.000">
                  <c:v>61.726326530612248</c:v>
                </c:pt>
                <c:pt idx="2105" formatCode="0.000">
                  <c:v>61.637142857142855</c:v>
                </c:pt>
                <c:pt idx="2106" formatCode="0.000">
                  <c:v>61.542653061224492</c:v>
                </c:pt>
                <c:pt idx="2107" formatCode="0.000">
                  <c:v>61.451632653061218</c:v>
                </c:pt>
                <c:pt idx="2108" formatCode="0.000">
                  <c:v>61.376938775510197</c:v>
                </c:pt>
                <c:pt idx="2109" formatCode="0.000">
                  <c:v>61.320816326530618</c:v>
                </c:pt>
                <c:pt idx="2110" formatCode="0.000">
                  <c:v>61.261428571428567</c:v>
                </c:pt>
                <c:pt idx="2111" formatCode="0.000">
                  <c:v>61.191020408163268</c:v>
                </c:pt>
                <c:pt idx="2112" formatCode="0.000">
                  <c:v>61.144489795918368</c:v>
                </c:pt>
                <c:pt idx="2113" formatCode="0.000">
                  <c:v>61.124081632653059</c:v>
                </c:pt>
                <c:pt idx="2114" formatCode="0.000">
                  <c:v>61.102448979591834</c:v>
                </c:pt>
                <c:pt idx="2115" formatCode="0.000">
                  <c:v>61.073877551020409</c:v>
                </c:pt>
                <c:pt idx="2116" formatCode="0.000">
                  <c:v>61.035918367346945</c:v>
                </c:pt>
                <c:pt idx="2117" formatCode="0.000">
                  <c:v>61.017755102040823</c:v>
                </c:pt>
                <c:pt idx="2118" formatCode="0.000">
                  <c:v>61.001836734693882</c:v>
                </c:pt>
                <c:pt idx="2119" formatCode="0.000">
                  <c:v>60.988163265306127</c:v>
                </c:pt>
                <c:pt idx="2120" formatCode="0.000">
                  <c:v>60.970408163265297</c:v>
                </c:pt>
                <c:pt idx="2121" formatCode="0.000">
                  <c:v>60.948775510204086</c:v>
                </c:pt>
                <c:pt idx="2122" formatCode="0.000">
                  <c:v>60.957959183673474</c:v>
                </c:pt>
                <c:pt idx="2123" formatCode="0.000">
                  <c:v>60.962857142857139</c:v>
                </c:pt>
                <c:pt idx="2124" formatCode="0.000">
                  <c:v>60.959387755102036</c:v>
                </c:pt>
                <c:pt idx="2125" formatCode="0.000">
                  <c:v>60.975306122448977</c:v>
                </c:pt>
                <c:pt idx="2126" formatCode="0.000">
                  <c:v>60.988775510204079</c:v>
                </c:pt>
                <c:pt idx="2127" formatCode="0.000">
                  <c:v>61.014897959183664</c:v>
                </c:pt>
                <c:pt idx="2128" formatCode="0.000">
                  <c:v>61.040612244897957</c:v>
                </c:pt>
                <c:pt idx="2129" formatCode="0.000">
                  <c:v>61.064489795918362</c:v>
                </c:pt>
                <c:pt idx="2130" formatCode="0.000">
                  <c:v>61.058775510204086</c:v>
                </c:pt>
                <c:pt idx="2131" formatCode="0.000">
                  <c:v>61.053061224489802</c:v>
                </c:pt>
                <c:pt idx="2132" formatCode="0.000">
                  <c:v>61.056530612244899</c:v>
                </c:pt>
                <c:pt idx="2133" formatCode="0.000">
                  <c:v>61.064489795918362</c:v>
                </c:pt>
                <c:pt idx="2134" formatCode="0.000">
                  <c:v>61.076326530612242</c:v>
                </c:pt>
                <c:pt idx="2135" formatCode="0.000">
                  <c:v>61.075510204081631</c:v>
                </c:pt>
                <c:pt idx="2136" formatCode="0.000">
                  <c:v>61.07244897959184</c:v>
                </c:pt>
                <c:pt idx="2137" formatCode="0.000">
                  <c:v>61.068775510204077</c:v>
                </c:pt>
                <c:pt idx="2138" formatCode="0.000">
                  <c:v>61.053469387755108</c:v>
                </c:pt>
                <c:pt idx="2139" formatCode="0.000">
                  <c:v>61.03632653061225</c:v>
                </c:pt>
                <c:pt idx="2140" formatCode="0.000">
                  <c:v>61.013673469387754</c:v>
                </c:pt>
                <c:pt idx="2141" formatCode="0.000">
                  <c:v>60.998163265306125</c:v>
                </c:pt>
                <c:pt idx="2142" formatCode="0.000">
                  <c:v>60.978571428571435</c:v>
                </c:pt>
                <c:pt idx="2143" formatCode="0.000">
                  <c:v>60.937346938775505</c:v>
                </c:pt>
                <c:pt idx="2144" formatCode="0.000">
                  <c:v>60.898775510204082</c:v>
                </c:pt>
                <c:pt idx="2145" formatCode="0.000">
                  <c:v>60.849795918367342</c:v>
                </c:pt>
                <c:pt idx="2146" formatCode="0.000">
                  <c:v>60.802653061224497</c:v>
                </c:pt>
                <c:pt idx="2147" formatCode="0.000">
                  <c:v>60.757959183673464</c:v>
                </c:pt>
                <c:pt idx="2148" formatCode="0.000">
                  <c:v>60.723469387755095</c:v>
                </c:pt>
                <c:pt idx="2149" formatCode="0.000">
                  <c:v>60.696122448979594</c:v>
                </c:pt>
                <c:pt idx="2150" formatCode="0.000">
                  <c:v>60.6495918367347</c:v>
                </c:pt>
                <c:pt idx="2151" formatCode="0.000">
                  <c:v>60.596734693877565</c:v>
                </c:pt>
                <c:pt idx="2152" formatCode="0.000">
                  <c:v>60.553877551020427</c:v>
                </c:pt>
                <c:pt idx="2153" formatCode="0.000">
                  <c:v>60.516734693877567</c:v>
                </c:pt>
                <c:pt idx="2154" formatCode="0.000">
                  <c:v>60.496122448979612</c:v>
                </c:pt>
                <c:pt idx="2155" formatCode="0.000">
                  <c:v>60.468775510204097</c:v>
                </c:pt>
                <c:pt idx="2156" formatCode="0.000">
                  <c:v>60.440204081632665</c:v>
                </c:pt>
                <c:pt idx="2157" formatCode="0.000">
                  <c:v>60.382857142857155</c:v>
                </c:pt>
                <c:pt idx="2158" formatCode="0.000">
                  <c:v>60.315510204081654</c:v>
                </c:pt>
                <c:pt idx="2159" formatCode="0.000">
                  <c:v>60.237755102040836</c:v>
                </c:pt>
                <c:pt idx="2160" formatCode="0.000">
                  <c:v>60.155306122448998</c:v>
                </c:pt>
                <c:pt idx="2161" formatCode="0.000">
                  <c:v>60.039183673469388</c:v>
                </c:pt>
                <c:pt idx="2162" formatCode="0.000">
                  <c:v>59.904897959183678</c:v>
                </c:pt>
                <c:pt idx="2163" formatCode="0.000">
                  <c:v>59.773061224489801</c:v>
                </c:pt>
                <c:pt idx="2164" formatCode="0.000">
                  <c:v>59.630612244897954</c:v>
                </c:pt>
                <c:pt idx="2165" formatCode="0.000">
                  <c:v>59.48020408163265</c:v>
                </c:pt>
                <c:pt idx="2166" formatCode="0.000">
                  <c:v>59.316734693877542</c:v>
                </c:pt>
                <c:pt idx="2167" formatCode="0.000">
                  <c:v>59.111428571428576</c:v>
                </c:pt>
                <c:pt idx="2168" formatCode="0.000">
                  <c:v>58.920816326530613</c:v>
                </c:pt>
                <c:pt idx="2169" formatCode="0.000">
                  <c:v>58.736122448979586</c:v>
                </c:pt>
                <c:pt idx="2170" formatCode="0.000">
                  <c:v>58.578163265306124</c:v>
                </c:pt>
                <c:pt idx="2171" formatCode="0.000">
                  <c:v>58.409795918367358</c:v>
                </c:pt>
                <c:pt idx="2172" formatCode="0.000">
                  <c:v>58.229591836734706</c:v>
                </c:pt>
                <c:pt idx="2173" formatCode="0.000">
                  <c:v>58.070000000000007</c:v>
                </c:pt>
                <c:pt idx="2174" formatCode="0.000">
                  <c:v>57.911632653061218</c:v>
                </c:pt>
                <c:pt idx="2175" formatCode="0.000">
                  <c:v>57.771836734693871</c:v>
                </c:pt>
                <c:pt idx="2176" formatCode="0.000">
                  <c:v>57.628775510204093</c:v>
                </c:pt>
                <c:pt idx="2177" formatCode="0.000">
                  <c:v>57.494693877551022</c:v>
                </c:pt>
                <c:pt idx="2178" formatCode="0.000">
                  <c:v>57.360000000000014</c:v>
                </c:pt>
                <c:pt idx="2179" formatCode="0.000">
                  <c:v>57.221224489795929</c:v>
                </c:pt>
                <c:pt idx="2180" formatCode="0.000">
                  <c:v>57.122653061224497</c:v>
                </c:pt>
                <c:pt idx="2181" formatCode="0.000">
                  <c:v>57.033673469387764</c:v>
                </c:pt>
                <c:pt idx="2182" formatCode="0.000">
                  <c:v>56.935102040816339</c:v>
                </c:pt>
                <c:pt idx="2183" formatCode="0.000">
                  <c:v>56.818571428571438</c:v>
                </c:pt>
                <c:pt idx="2184" formatCode="0.000">
                  <c:v>56.731224489795927</c:v>
                </c:pt>
                <c:pt idx="2185" formatCode="0.000">
                  <c:v>56.658367346938782</c:v>
                </c:pt>
                <c:pt idx="2186" formatCode="0.000">
                  <c:v>56.580204081632658</c:v>
                </c:pt>
                <c:pt idx="2187" formatCode="0.000">
                  <c:v>56.518571428571434</c:v>
                </c:pt>
                <c:pt idx="2188" formatCode="0.000">
                  <c:v>56.444081632653059</c:v>
                </c:pt>
                <c:pt idx="2189" formatCode="0.000">
                  <c:v>56.370816326530601</c:v>
                </c:pt>
                <c:pt idx="2190" formatCode="0.000">
                  <c:v>56.303061224489788</c:v>
                </c:pt>
                <c:pt idx="2191" formatCode="0.000">
                  <c:v>56.234081632653059</c:v>
                </c:pt>
                <c:pt idx="2192" formatCode="0.000">
                  <c:v>56.169387755102029</c:v>
                </c:pt>
                <c:pt idx="2193" formatCode="0.000">
                  <c:v>56.116530612244887</c:v>
                </c:pt>
                <c:pt idx="2194" formatCode="0.000">
                  <c:v>56.077959183673457</c:v>
                </c:pt>
                <c:pt idx="2195" formatCode="0.000">
                  <c:v>56.043673469387734</c:v>
                </c:pt>
                <c:pt idx="2196" formatCode="0.000">
                  <c:v>56.020816326530593</c:v>
                </c:pt>
                <c:pt idx="2197" formatCode="0.000">
                  <c:v>55.996734693877542</c:v>
                </c:pt>
                <c:pt idx="2198" formatCode="0.000">
                  <c:v>55.963673469387743</c:v>
                </c:pt>
                <c:pt idx="2199" formatCode="0.000">
                  <c:v>55.945306122448962</c:v>
                </c:pt>
                <c:pt idx="2200" formatCode="0.000">
                  <c:v>55.936938775510193</c:v>
                </c:pt>
                <c:pt idx="2201" formatCode="0.000">
                  <c:v>55.936122448979589</c:v>
                </c:pt>
                <c:pt idx="2202" formatCode="0.000">
                  <c:v>55.948979591836746</c:v>
                </c:pt>
                <c:pt idx="2203" formatCode="0.000">
                  <c:v>55.95224489795919</c:v>
                </c:pt>
                <c:pt idx="2204" formatCode="0.000">
                  <c:v>55.960408163265306</c:v>
                </c:pt>
                <c:pt idx="2205" formatCode="0.000">
                  <c:v>55.956122448979599</c:v>
                </c:pt>
                <c:pt idx="2206" formatCode="0.000">
                  <c:v>55.974489795918387</c:v>
                </c:pt>
                <c:pt idx="2207" formatCode="0.000">
                  <c:v>55.995714285714307</c:v>
                </c:pt>
                <c:pt idx="2208" formatCode="0.000">
                  <c:v>56.027755102040835</c:v>
                </c:pt>
                <c:pt idx="2209" formatCode="0.000">
                  <c:v>56.071224489795945</c:v>
                </c:pt>
                <c:pt idx="2210" formatCode="0.000">
                  <c:v>56.125306122448997</c:v>
                </c:pt>
                <c:pt idx="2211" formatCode="0.000">
                  <c:v>56.185102040816332</c:v>
                </c:pt>
                <c:pt idx="2212" formatCode="0.000">
                  <c:v>56.2387755102041</c:v>
                </c:pt>
                <c:pt idx="2213" formatCode="0.000">
                  <c:v>56.311428571428578</c:v>
                </c:pt>
                <c:pt idx="2214" formatCode="0.000">
                  <c:v>56.404081632653067</c:v>
                </c:pt>
                <c:pt idx="2215" formatCode="0.000">
                  <c:v>56.503877551020402</c:v>
                </c:pt>
                <c:pt idx="2216" formatCode="0.000">
                  <c:v>56.639795918367348</c:v>
                </c:pt>
                <c:pt idx="2217" formatCode="0.000">
                  <c:v>56.751224489795909</c:v>
                </c:pt>
                <c:pt idx="2218" formatCode="0.000">
                  <c:v>56.876530612244885</c:v>
                </c:pt>
                <c:pt idx="2219" formatCode="0.000">
                  <c:v>56.974489795918359</c:v>
                </c:pt>
                <c:pt idx="2220" formatCode="0.000">
                  <c:v>57.054081632653052</c:v>
                </c:pt>
                <c:pt idx="2221" formatCode="0.000">
                  <c:v>57.159795918367337</c:v>
                </c:pt>
                <c:pt idx="2222" formatCode="0.000">
                  <c:v>57.270612244897961</c:v>
                </c:pt>
                <c:pt idx="2223" formatCode="0.000">
                  <c:v>57.375306122448976</c:v>
                </c:pt>
                <c:pt idx="2224" formatCode="0.000">
                  <c:v>57.470000000000006</c:v>
                </c:pt>
                <c:pt idx="2225" formatCode="0.000">
                  <c:v>57.565918367346939</c:v>
                </c:pt>
                <c:pt idx="2226" formatCode="0.000">
                  <c:v>57.659387755102038</c:v>
                </c:pt>
                <c:pt idx="2227" formatCode="0.000">
                  <c:v>57.766530612244885</c:v>
                </c:pt>
                <c:pt idx="2228" formatCode="0.000">
                  <c:v>57.886530612244897</c:v>
                </c:pt>
                <c:pt idx="2229" formatCode="0.000">
                  <c:v>57.970612244897964</c:v>
                </c:pt>
                <c:pt idx="2230" formatCode="0.000">
                  <c:v>58.043061224489804</c:v>
                </c:pt>
                <c:pt idx="2231" formatCode="0.000">
                  <c:v>58.131428571428579</c:v>
                </c:pt>
                <c:pt idx="2232" formatCode="0.000">
                  <c:v>58.228571428571435</c:v>
                </c:pt>
                <c:pt idx="2233" formatCode="0.000">
                  <c:v>58.311224489795919</c:v>
                </c:pt>
                <c:pt idx="2234" formatCode="0.000">
                  <c:v>58.378979591836732</c:v>
                </c:pt>
                <c:pt idx="2235" formatCode="0.000">
                  <c:v>58.459591836734695</c:v>
                </c:pt>
                <c:pt idx="2236" formatCode="0.000">
                  <c:v>58.518775510204073</c:v>
                </c:pt>
                <c:pt idx="2237" formatCode="0.000">
                  <c:v>58.585102040816309</c:v>
                </c:pt>
                <c:pt idx="2238" formatCode="0.000">
                  <c:v>58.650204081632637</c:v>
                </c:pt>
                <c:pt idx="2239" formatCode="0.000">
                  <c:v>58.704285714285703</c:v>
                </c:pt>
                <c:pt idx="2240" formatCode="0.000">
                  <c:v>58.754897959183658</c:v>
                </c:pt>
                <c:pt idx="2241" formatCode="0.000">
                  <c:v>58.819999999999979</c:v>
                </c:pt>
                <c:pt idx="2242" formatCode="0.000">
                  <c:v>58.864693877550998</c:v>
                </c:pt>
                <c:pt idx="2243" formatCode="0.000">
                  <c:v>58.910204081632635</c:v>
                </c:pt>
                <c:pt idx="2244" formatCode="0.000">
                  <c:v>58.956530612244869</c:v>
                </c:pt>
                <c:pt idx="2245" formatCode="0.000">
                  <c:v>59.007959183673442</c:v>
                </c:pt>
                <c:pt idx="2246" formatCode="0.000">
                  <c:v>59.064081632653028</c:v>
                </c:pt>
                <c:pt idx="2247" formatCode="0.000">
                  <c:v>59.109591836734651</c:v>
                </c:pt>
                <c:pt idx="2248" formatCode="0.000">
                  <c:v>59.182653061224457</c:v>
                </c:pt>
                <c:pt idx="2249" formatCode="0.000">
                  <c:v>59.233877551020385</c:v>
                </c:pt>
                <c:pt idx="2250" formatCode="0.000">
                  <c:v>59.266938775510177</c:v>
                </c:pt>
                <c:pt idx="2251" formatCode="0.000">
                  <c:v>59.29489795918365</c:v>
                </c:pt>
                <c:pt idx="2252" formatCode="0.000">
                  <c:v>59.326122448979575</c:v>
                </c:pt>
                <c:pt idx="2253" formatCode="0.000">
                  <c:v>59.351632653061216</c:v>
                </c:pt>
                <c:pt idx="2254" formatCode="0.000">
                  <c:v>59.378775510204072</c:v>
                </c:pt>
                <c:pt idx="2255" formatCode="0.000">
                  <c:v>59.404489795918352</c:v>
                </c:pt>
                <c:pt idx="2256" formatCode="0.000">
                  <c:v>59.418979591836717</c:v>
                </c:pt>
                <c:pt idx="2257" formatCode="0.000">
                  <c:v>59.433673469387749</c:v>
                </c:pt>
                <c:pt idx="2258" formatCode="0.000">
                  <c:v>59.448775510204079</c:v>
                </c:pt>
                <c:pt idx="2259" formatCode="0.000">
                  <c:v>59.464897959183659</c:v>
                </c:pt>
                <c:pt idx="2260" formatCode="0.000">
                  <c:v>59.504897959183651</c:v>
                </c:pt>
                <c:pt idx="2261" formatCode="0.000">
                  <c:v>59.558571428571405</c:v>
                </c:pt>
                <c:pt idx="2262" formatCode="0.000">
                  <c:v>59.601632653061209</c:v>
                </c:pt>
                <c:pt idx="2263" formatCode="0.000">
                  <c:v>59.637959183673452</c:v>
                </c:pt>
                <c:pt idx="2264" formatCode="0.000">
                  <c:v>59.653877551020386</c:v>
                </c:pt>
                <c:pt idx="2265" formatCode="0.000">
                  <c:v>59.680408163265291</c:v>
                </c:pt>
                <c:pt idx="2266" formatCode="0.000">
                  <c:v>59.717142857142846</c:v>
                </c:pt>
                <c:pt idx="2267" formatCode="0.000">
                  <c:v>59.737551020408148</c:v>
                </c:pt>
                <c:pt idx="2268" formatCode="0.000">
                  <c:v>59.751836734693875</c:v>
                </c:pt>
                <c:pt idx="2269" formatCode="0.000">
                  <c:v>59.796734693877539</c:v>
                </c:pt>
                <c:pt idx="2270" formatCode="0.000">
                  <c:v>59.827959183673464</c:v>
                </c:pt>
                <c:pt idx="2271" formatCode="0.000">
                  <c:v>59.853061224489799</c:v>
                </c:pt>
                <c:pt idx="2272" formatCode="0.000">
                  <c:v>59.871020408163261</c:v>
                </c:pt>
                <c:pt idx="2273" formatCode="0.000">
                  <c:v>59.887551020408168</c:v>
                </c:pt>
                <c:pt idx="2274" formatCode="0.000">
                  <c:v>59.917959183673467</c:v>
                </c:pt>
                <c:pt idx="2275" formatCode="0.000">
                  <c:v>59.95</c:v>
                </c:pt>
                <c:pt idx="2276" formatCode="0.000">
                  <c:v>59.976530612244908</c:v>
                </c:pt>
                <c:pt idx="2277" formatCode="0.000">
                  <c:v>59.987551020408169</c:v>
                </c:pt>
                <c:pt idx="2278" formatCode="0.000">
                  <c:v>59.990000000000016</c:v>
                </c:pt>
                <c:pt idx="2279" formatCode="0.000">
                  <c:v>59.999387755102056</c:v>
                </c:pt>
                <c:pt idx="2280" formatCode="0.000">
                  <c:v>60.001836734693882</c:v>
                </c:pt>
                <c:pt idx="2281" formatCode="0.000">
                  <c:v>60.017142857142872</c:v>
                </c:pt>
                <c:pt idx="2282" formatCode="0.000">
                  <c:v>60.022653061224496</c:v>
                </c:pt>
                <c:pt idx="2283" formatCode="0.000">
                  <c:v>60.036530612244896</c:v>
                </c:pt>
                <c:pt idx="2284" formatCode="0.000">
                  <c:v>60.036734693877548</c:v>
                </c:pt>
                <c:pt idx="2285" formatCode="0.000">
                  <c:v>60.04795918367347</c:v>
                </c:pt>
                <c:pt idx="2286" formatCode="0.000">
                  <c:v>60.069183673469382</c:v>
                </c:pt>
                <c:pt idx="2287" formatCode="0.000">
                  <c:v>60.089999999999996</c:v>
                </c:pt>
                <c:pt idx="2288" formatCode="0.000">
                  <c:v>60.107346938775507</c:v>
                </c:pt>
                <c:pt idx="2289" formatCode="0.000">
                  <c:v>60.119183673469379</c:v>
                </c:pt>
                <c:pt idx="2290" formatCode="0.000">
                  <c:v>60.118775510204088</c:v>
                </c:pt>
                <c:pt idx="2291" formatCode="0.000">
                  <c:v>60.126734693877552</c:v>
                </c:pt>
                <c:pt idx="2292" formatCode="0.000">
                  <c:v>60.133877551020404</c:v>
                </c:pt>
                <c:pt idx="2293" formatCode="0.000">
                  <c:v>60.131836734693877</c:v>
                </c:pt>
                <c:pt idx="2294" formatCode="0.000">
                  <c:v>60.131632653061217</c:v>
                </c:pt>
                <c:pt idx="2295" formatCode="0.000">
                  <c:v>60.111632653061221</c:v>
                </c:pt>
                <c:pt idx="2296" formatCode="0.000">
                  <c:v>60.102653061224494</c:v>
                </c:pt>
                <c:pt idx="2297" formatCode="0.000">
                  <c:v>60.047551020408179</c:v>
                </c:pt>
                <c:pt idx="2298" formatCode="0.000">
                  <c:v>59.998571428571445</c:v>
                </c:pt>
                <c:pt idx="2299" formatCode="0.000">
                  <c:v>59.95816326530614</c:v>
                </c:pt>
                <c:pt idx="2300" formatCode="0.000">
                  <c:v>59.92897959183675</c:v>
                </c:pt>
                <c:pt idx="2301" formatCode="0.000">
                  <c:v>59.906938775510213</c:v>
                </c:pt>
                <c:pt idx="2302" formatCode="0.000">
                  <c:v>59.91387755102042</c:v>
                </c:pt>
                <c:pt idx="2303" formatCode="0.000">
                  <c:v>59.934081632653083</c:v>
                </c:pt>
                <c:pt idx="2304" formatCode="0.000">
                  <c:v>59.953265306122468</c:v>
                </c:pt>
                <c:pt idx="2305" formatCode="0.000">
                  <c:v>59.998163265306147</c:v>
                </c:pt>
                <c:pt idx="2306" formatCode="0.000">
                  <c:v>60.048163265306137</c:v>
                </c:pt>
                <c:pt idx="2307" formatCode="0.000">
                  <c:v>60.095918367346947</c:v>
                </c:pt>
                <c:pt idx="2308" formatCode="0.000">
                  <c:v>60.150000000000006</c:v>
                </c:pt>
                <c:pt idx="2309" formatCode="0.000">
                  <c:v>60.17183673469389</c:v>
                </c:pt>
                <c:pt idx="2310" formatCode="0.000">
                  <c:v>60.185918367346943</c:v>
                </c:pt>
                <c:pt idx="2311" formatCode="0.000">
                  <c:v>60.20306122448978</c:v>
                </c:pt>
                <c:pt idx="2312" formatCode="0.000">
                  <c:v>60.222857142857137</c:v>
                </c:pt>
                <c:pt idx="2313" formatCode="0.000">
                  <c:v>60.256326530612242</c:v>
                </c:pt>
                <c:pt idx="2314" formatCode="0.000">
                  <c:v>60.302857142857128</c:v>
                </c:pt>
                <c:pt idx="2315" formatCode="0.000">
                  <c:v>60.352857142857133</c:v>
                </c:pt>
                <c:pt idx="2316" formatCode="0.000">
                  <c:v>60.411224489795913</c:v>
                </c:pt>
                <c:pt idx="2317" formatCode="0.000">
                  <c:v>60.487346938775502</c:v>
                </c:pt>
                <c:pt idx="2318" formatCode="0.000">
                  <c:v>60.56428571428571</c:v>
                </c:pt>
                <c:pt idx="2319" formatCode="0.000">
                  <c:v>60.637346938775501</c:v>
                </c:pt>
                <c:pt idx="2320" formatCode="0.000">
                  <c:v>60.710408163265299</c:v>
                </c:pt>
                <c:pt idx="2321" formatCode="0.000">
                  <c:v>60.789591836734687</c:v>
                </c:pt>
                <c:pt idx="2322" formatCode="0.000">
                  <c:v>60.861224489795923</c:v>
                </c:pt>
                <c:pt idx="2323" formatCode="0.000">
                  <c:v>60.908775510204087</c:v>
                </c:pt>
                <c:pt idx="2324" formatCode="0.000">
                  <c:v>60.957959183673474</c:v>
                </c:pt>
                <c:pt idx="2325" formatCode="0.000">
                  <c:v>60.996326530612258</c:v>
                </c:pt>
                <c:pt idx="2326" formatCode="0.000">
                  <c:v>61.028775510204099</c:v>
                </c:pt>
                <c:pt idx="2327" formatCode="0.000">
                  <c:v>61.072040816326542</c:v>
                </c:pt>
                <c:pt idx="2328" formatCode="0.000">
                  <c:v>61.106530612244924</c:v>
                </c:pt>
                <c:pt idx="2329" formatCode="0.000">
                  <c:v>61.136530612244918</c:v>
                </c:pt>
                <c:pt idx="2330" formatCode="0.000">
                  <c:v>61.16142857142858</c:v>
                </c:pt>
                <c:pt idx="2331" formatCode="0.000">
                  <c:v>61.211632653061223</c:v>
                </c:pt>
                <c:pt idx="2332" formatCode="0.000">
                  <c:v>61.261428571428567</c:v>
                </c:pt>
                <c:pt idx="2333" formatCode="0.000">
                  <c:v>61.333673469387755</c:v>
                </c:pt>
                <c:pt idx="2334" formatCode="0.000">
                  <c:v>61.402653061224491</c:v>
                </c:pt>
                <c:pt idx="2335" formatCode="0.000">
                  <c:v>61.466326530612243</c:v>
                </c:pt>
                <c:pt idx="2336" formatCode="0.000">
                  <c:v>61.522040816326523</c:v>
                </c:pt>
                <c:pt idx="2337" formatCode="0.000">
                  <c:v>61.58142857142856</c:v>
                </c:pt>
                <c:pt idx="2338" formatCode="0.000">
                  <c:v>61.650816326530602</c:v>
                </c:pt>
                <c:pt idx="2339" formatCode="0.000">
                  <c:v>61.713061224489785</c:v>
                </c:pt>
                <c:pt idx="2340" formatCode="0.000">
                  <c:v>61.78836734693877</c:v>
                </c:pt>
                <c:pt idx="2341" formatCode="0.000">
                  <c:v>61.8504081632653</c:v>
                </c:pt>
                <c:pt idx="2342" formatCode="0.000">
                  <c:v>61.918775510204071</c:v>
                </c:pt>
                <c:pt idx="2343" formatCode="0.000">
                  <c:v>61.978163265306108</c:v>
                </c:pt>
                <c:pt idx="2344" formatCode="0.000">
                  <c:v>62.044693877551005</c:v>
                </c:pt>
                <c:pt idx="2345" formatCode="0.000">
                  <c:v>62.120612244897949</c:v>
                </c:pt>
                <c:pt idx="2346" formatCode="0.000">
                  <c:v>62.236734693877537</c:v>
                </c:pt>
                <c:pt idx="2347" formatCode="0.000">
                  <c:v>62.353061224489799</c:v>
                </c:pt>
                <c:pt idx="2348" formatCode="0.000">
                  <c:v>62.475306122448991</c:v>
                </c:pt>
                <c:pt idx="2349" formatCode="0.000">
                  <c:v>62.585510204081636</c:v>
                </c:pt>
                <c:pt idx="2350" formatCode="0.000">
                  <c:v>62.682244897959187</c:v>
                </c:pt>
                <c:pt idx="2351" formatCode="0.000">
                  <c:v>62.745714285714293</c:v>
                </c:pt>
                <c:pt idx="2352" formatCode="0.000">
                  <c:v>62.798775510204095</c:v>
                </c:pt>
                <c:pt idx="2353" formatCode="0.000">
                  <c:v>62.853673469387772</c:v>
                </c:pt>
                <c:pt idx="2354" formatCode="0.000">
                  <c:v>62.898775510204096</c:v>
                </c:pt>
                <c:pt idx="2355" formatCode="0.000">
                  <c:v>62.923673469387772</c:v>
                </c:pt>
                <c:pt idx="2356" formatCode="0.000">
                  <c:v>62.943061224489817</c:v>
                </c:pt>
                <c:pt idx="2357" formatCode="0.000">
                  <c:v>62.959183673469404</c:v>
                </c:pt>
                <c:pt idx="2358" formatCode="0.000">
                  <c:v>62.98632653061226</c:v>
                </c:pt>
                <c:pt idx="2359" formatCode="0.000">
                  <c:v>63.022448979591843</c:v>
                </c:pt>
                <c:pt idx="2360" formatCode="0.000">
                  <c:v>63.05142857142858</c:v>
                </c:pt>
                <c:pt idx="2361" formatCode="0.000">
                  <c:v>63.094285714285732</c:v>
                </c:pt>
                <c:pt idx="2362" formatCode="0.000">
                  <c:v>63.152653061224505</c:v>
                </c:pt>
                <c:pt idx="2363" formatCode="0.000">
                  <c:v>63.205102040816342</c:v>
                </c:pt>
                <c:pt idx="2364" formatCode="0.000">
                  <c:v>63.25489795918368</c:v>
                </c:pt>
                <c:pt idx="2365" formatCode="0.000">
                  <c:v>63.293469387755103</c:v>
                </c:pt>
                <c:pt idx="2366" formatCode="0.000">
                  <c:v>63.328163265306131</c:v>
                </c:pt>
                <c:pt idx="2367" formatCode="0.000">
                  <c:v>63.373673469387754</c:v>
                </c:pt>
                <c:pt idx="2368" formatCode="0.000">
                  <c:v>63.434285714285721</c:v>
                </c:pt>
                <c:pt idx="2369" formatCode="0.000">
                  <c:v>63.51428571428572</c:v>
                </c:pt>
                <c:pt idx="2370" formatCode="0.000">
                  <c:v>63.585918367346942</c:v>
                </c:pt>
                <c:pt idx="2371" formatCode="0.000">
                  <c:v>63.680816326530604</c:v>
                </c:pt>
                <c:pt idx="2372" formatCode="0.000">
                  <c:v>63.765918367346927</c:v>
                </c:pt>
                <c:pt idx="2373" formatCode="0.000">
                  <c:v>63.868979591836734</c:v>
                </c:pt>
                <c:pt idx="2374" formatCode="0.000">
                  <c:v>63.998163265306118</c:v>
                </c:pt>
                <c:pt idx="2375" formatCode="0.000">
                  <c:v>64.120816326530601</c:v>
                </c:pt>
                <c:pt idx="2376" formatCode="0.000">
                  <c:v>64.244285714285709</c:v>
                </c:pt>
                <c:pt idx="2377" formatCode="0.000">
                  <c:v>64.37979591836735</c:v>
                </c:pt>
                <c:pt idx="2378" formatCode="0.000">
                  <c:v>64.52326530612244</c:v>
                </c:pt>
                <c:pt idx="2379" formatCode="0.000">
                  <c:v>64.660204081632656</c:v>
                </c:pt>
                <c:pt idx="2380" formatCode="0.000">
                  <c:v>64.767142857142858</c:v>
                </c:pt>
                <c:pt idx="2381" formatCode="0.000">
                  <c:v>64.88000000000001</c:v>
                </c:pt>
                <c:pt idx="2382" formatCode="0.000">
                  <c:v>64.974693877551019</c:v>
                </c:pt>
                <c:pt idx="2383" formatCode="0.000">
                  <c:v>65.071224489795924</c:v>
                </c:pt>
                <c:pt idx="2384" formatCode="0.000">
                  <c:v>65.173877551020396</c:v>
                </c:pt>
                <c:pt idx="2385" formatCode="0.000">
                  <c:v>65.277346938775494</c:v>
                </c:pt>
                <c:pt idx="2386" formatCode="0.000">
                  <c:v>65.395510204081631</c:v>
                </c:pt>
                <c:pt idx="2387" formatCode="0.000">
                  <c:v>65.518367346938774</c:v>
                </c:pt>
                <c:pt idx="2388" formatCode="0.000">
                  <c:v>65.649999999999991</c:v>
                </c:pt>
                <c:pt idx="2389" formatCode="0.000">
                  <c:v>65.78877551020409</c:v>
                </c:pt>
                <c:pt idx="2390" formatCode="0.000">
                  <c:v>65.957959183673466</c:v>
                </c:pt>
                <c:pt idx="2391" formatCode="0.000">
                  <c:v>66.139183673469404</c:v>
                </c:pt>
                <c:pt idx="2392" formatCode="0.000">
                  <c:v>66.325306122448993</c:v>
                </c:pt>
                <c:pt idx="2393" formatCode="0.000">
                  <c:v>66.526734693877557</c:v>
                </c:pt>
                <c:pt idx="2394" formatCode="0.000">
                  <c:v>66.724693877551019</c:v>
                </c:pt>
                <c:pt idx="2395" formatCode="0.000">
                  <c:v>66.909183673469386</c:v>
                </c:pt>
                <c:pt idx="2396" formatCode="0.000">
                  <c:v>67.087142857142851</c:v>
                </c:pt>
                <c:pt idx="2397" formatCode="0.000">
                  <c:v>67.232448979591837</c:v>
                </c:pt>
                <c:pt idx="2398" formatCode="0.000">
                  <c:v>67.38</c:v>
                </c:pt>
                <c:pt idx="2399" formatCode="0.000">
                  <c:v>67.547346938775519</c:v>
                </c:pt>
                <c:pt idx="2400" formatCode="0.000">
                  <c:v>67.71612244897959</c:v>
                </c:pt>
                <c:pt idx="2401" formatCode="0.000">
                  <c:v>67.877959183673468</c:v>
                </c:pt>
                <c:pt idx="2402" formatCode="0.000">
                  <c:v>68.039183673469395</c:v>
                </c:pt>
                <c:pt idx="2403" formatCode="0.000">
                  <c:v>68.195306122448983</c:v>
                </c:pt>
                <c:pt idx="2404" formatCode="0.000">
                  <c:v>68.381836734693877</c:v>
                </c:pt>
                <c:pt idx="2405" formatCode="0.000">
                  <c:v>68.56775510204082</c:v>
                </c:pt>
                <c:pt idx="2406" formatCode="0.000">
                  <c:v>68.749795918367354</c:v>
                </c:pt>
                <c:pt idx="2407" formatCode="0.000">
                  <c:v>68.903265306122449</c:v>
                </c:pt>
                <c:pt idx="2408" formatCode="0.000">
                  <c:v>69.065306122448973</c:v>
                </c:pt>
                <c:pt idx="2409" formatCode="0.000">
                  <c:v>69.235102040816329</c:v>
                </c:pt>
                <c:pt idx="2410" formatCode="0.000">
                  <c:v>69.379183673469385</c:v>
                </c:pt>
                <c:pt idx="2411" formatCode="0.000">
                  <c:v>69.506530612244887</c:v>
                </c:pt>
                <c:pt idx="2412" formatCode="0.000">
                  <c:v>69.633265306122439</c:v>
                </c:pt>
                <c:pt idx="2413" formatCode="0.000">
                  <c:v>69.765918367346927</c:v>
                </c:pt>
                <c:pt idx="2414" formatCode="0.000">
                  <c:v>69.910612244897948</c:v>
                </c:pt>
                <c:pt idx="2415" formatCode="0.000">
                  <c:v>70.048367346938775</c:v>
                </c:pt>
                <c:pt idx="2416" formatCode="0.000">
                  <c:v>70.154489795918366</c:v>
                </c:pt>
                <c:pt idx="2417" formatCode="0.000">
                  <c:v>70.245306122448966</c:v>
                </c:pt>
                <c:pt idx="2418" formatCode="0.000">
                  <c:v>70.308979591836732</c:v>
                </c:pt>
                <c:pt idx="2419" formatCode="0.000">
                  <c:v>70.353469387755112</c:v>
                </c:pt>
                <c:pt idx="2420" formatCode="0.000">
                  <c:v>70.38408163265305</c:v>
                </c:pt>
                <c:pt idx="2421" formatCode="0.000">
                  <c:v>70.441836734693879</c:v>
                </c:pt>
                <c:pt idx="2422" formatCode="0.000">
                  <c:v>70.468163265306117</c:v>
                </c:pt>
                <c:pt idx="2423" formatCode="0.000">
                  <c:v>70.473061224489811</c:v>
                </c:pt>
                <c:pt idx="2424" formatCode="0.000">
                  <c:v>70.518775510204094</c:v>
                </c:pt>
                <c:pt idx="2425" formatCode="0.000">
                  <c:v>70.565510204081647</c:v>
                </c:pt>
                <c:pt idx="2426" formatCode="0.000">
                  <c:v>70.608571428571437</c:v>
                </c:pt>
                <c:pt idx="2427" formatCode="0.000">
                  <c:v>70.632448979591857</c:v>
                </c:pt>
                <c:pt idx="2428" formatCode="0.000">
                  <c:v>70.668367346938794</c:v>
                </c:pt>
                <c:pt idx="2429" formatCode="0.000">
                  <c:v>70.694489795918386</c:v>
                </c:pt>
                <c:pt idx="2430" formatCode="0.000">
                  <c:v>70.714693877551042</c:v>
                </c:pt>
                <c:pt idx="2431" formatCode="0.000">
                  <c:v>70.703061224489815</c:v>
                </c:pt>
                <c:pt idx="2432" formatCode="0.000">
                  <c:v>70.675510204081661</c:v>
                </c:pt>
                <c:pt idx="2433" formatCode="0.000">
                  <c:v>70.629387755102073</c:v>
                </c:pt>
                <c:pt idx="2434" formatCode="0.000">
                  <c:v>70.582244897959214</c:v>
                </c:pt>
                <c:pt idx="2435" formatCode="0.000">
                  <c:v>70.504285714285729</c:v>
                </c:pt>
                <c:pt idx="2436" formatCode="0.000">
                  <c:v>70.429795918367375</c:v>
                </c:pt>
                <c:pt idx="2437" formatCode="0.000">
                  <c:v>70.34775510204085</c:v>
                </c:pt>
                <c:pt idx="2438" formatCode="0.000">
                  <c:v>70.250204081632688</c:v>
                </c:pt>
                <c:pt idx="2439" formatCode="0.000">
                  <c:v>70.133265306122482</c:v>
                </c:pt>
                <c:pt idx="2440" formatCode="0.000">
                  <c:v>70.008163265306152</c:v>
                </c:pt>
                <c:pt idx="2441" formatCode="0.000">
                  <c:v>69.843877551020441</c:v>
                </c:pt>
                <c:pt idx="2442" formatCode="0.000">
                  <c:v>69.672653061224509</c:v>
                </c:pt>
                <c:pt idx="2443" formatCode="0.000">
                  <c:v>69.498163265306133</c:v>
                </c:pt>
                <c:pt idx="2444" formatCode="0.000">
                  <c:v>69.301224489795928</c:v>
                </c:pt>
                <c:pt idx="2445" formatCode="0.000">
                  <c:v>69.110204081632659</c:v>
                </c:pt>
                <c:pt idx="2446" formatCode="0.000">
                  <c:v>68.943469387755101</c:v>
                </c:pt>
                <c:pt idx="2447" formatCode="0.000">
                  <c:v>68.768163265306114</c:v>
                </c:pt>
                <c:pt idx="2448" formatCode="0.000">
                  <c:v>68.56183673469387</c:v>
                </c:pt>
                <c:pt idx="2449" formatCode="0.000">
                  <c:v>68.364081632653068</c:v>
                </c:pt>
                <c:pt idx="2450" formatCode="0.000">
                  <c:v>68.190816326530623</c:v>
                </c:pt>
                <c:pt idx="2451" formatCode="0.000">
                  <c:v>68.022653061224489</c:v>
                </c:pt>
                <c:pt idx="2452" formatCode="0.000">
                  <c:v>67.866530612244901</c:v>
                </c:pt>
                <c:pt idx="2453" formatCode="0.000">
                  <c:v>67.699591836734697</c:v>
                </c:pt>
                <c:pt idx="2454" formatCode="0.000">
                  <c:v>67.54816326530613</c:v>
                </c:pt>
                <c:pt idx="2455" formatCode="0.000">
                  <c:v>67.401224489795922</c:v>
                </c:pt>
                <c:pt idx="2456" formatCode="0.000">
                  <c:v>67.274897959183676</c:v>
                </c:pt>
                <c:pt idx="2457" formatCode="0.000">
                  <c:v>67.120612244897956</c:v>
                </c:pt>
                <c:pt idx="2458" formatCode="0.000">
                  <c:v>66.955714285714279</c:v>
                </c:pt>
                <c:pt idx="2459" formatCode="0.000">
                  <c:v>66.796326530612248</c:v>
                </c:pt>
                <c:pt idx="2460" formatCode="0.000">
                  <c:v>66.607755102040827</c:v>
                </c:pt>
                <c:pt idx="2461" formatCode="0.000">
                  <c:v>66.434693877551027</c:v>
                </c:pt>
                <c:pt idx="2462" formatCode="0.000">
                  <c:v>66.2457142857143</c:v>
                </c:pt>
                <c:pt idx="2463" formatCode="0.000">
                  <c:v>66.056734693877559</c:v>
                </c:pt>
                <c:pt idx="2464" formatCode="0.000">
                  <c:v>65.877142857142871</c:v>
                </c:pt>
                <c:pt idx="2465" formatCode="0.000">
                  <c:v>65.706326530612259</c:v>
                </c:pt>
                <c:pt idx="2466" formatCode="0.000">
                  <c:v>65.570000000000022</c:v>
                </c:pt>
                <c:pt idx="2467" formatCode="0.000">
                  <c:v>65.426122448979598</c:v>
                </c:pt>
                <c:pt idx="2468" formatCode="0.000">
                  <c:v>65.294285714285721</c:v>
                </c:pt>
                <c:pt idx="2469" formatCode="0.000">
                  <c:v>65.176326530612258</c:v>
                </c:pt>
                <c:pt idx="2470" formatCode="0.000">
                  <c:v>65.039183673469395</c:v>
                </c:pt>
                <c:pt idx="2471" formatCode="0.000">
                  <c:v>64.900408163265297</c:v>
                </c:pt>
                <c:pt idx="2472" formatCode="0.000">
                  <c:v>64.757142857142853</c:v>
                </c:pt>
                <c:pt idx="2473" formatCode="0.000">
                  <c:v>64.594693877551023</c:v>
                </c:pt>
                <c:pt idx="2474" formatCode="0.000">
                  <c:v>64.441632653061234</c:v>
                </c:pt>
                <c:pt idx="2475" formatCode="0.000">
                  <c:v>64.278367346938794</c:v>
                </c:pt>
                <c:pt idx="2476" formatCode="0.000">
                  <c:v>64.126326530612246</c:v>
                </c:pt>
                <c:pt idx="2477" formatCode="0.000">
                  <c:v>63.954693877551037</c:v>
                </c:pt>
                <c:pt idx="2478" formatCode="0.000">
                  <c:v>63.807959183673482</c:v>
                </c:pt>
                <c:pt idx="2479" formatCode="0.000">
                  <c:v>63.652653061224505</c:v>
                </c:pt>
                <c:pt idx="2480" formatCode="0.000">
                  <c:v>63.52489795918369</c:v>
                </c:pt>
                <c:pt idx="2481" formatCode="0.000">
                  <c:v>63.392448979591855</c:v>
                </c:pt>
                <c:pt idx="2482" formatCode="0.000">
                  <c:v>63.268367346938795</c:v>
                </c:pt>
                <c:pt idx="2483" formatCode="0.000">
                  <c:v>63.167142857142878</c:v>
                </c:pt>
                <c:pt idx="2484" formatCode="0.000">
                  <c:v>63.075510204081667</c:v>
                </c:pt>
                <c:pt idx="2485" formatCode="0.000">
                  <c:v>62.988367346938787</c:v>
                </c:pt>
                <c:pt idx="2486" formatCode="0.000">
                  <c:v>62.921632653061252</c:v>
                </c:pt>
                <c:pt idx="2487" formatCode="0.000">
                  <c:v>62.855510204081661</c:v>
                </c:pt>
                <c:pt idx="2488" formatCode="0.000">
                  <c:v>62.797142857142887</c:v>
                </c:pt>
                <c:pt idx="2489" formatCode="0.000">
                  <c:v>62.742857142857162</c:v>
                </c:pt>
                <c:pt idx="2490" formatCode="0.000">
                  <c:v>62.716734693877569</c:v>
                </c:pt>
                <c:pt idx="2491" formatCode="0.000">
                  <c:v>62.678367346938799</c:v>
                </c:pt>
                <c:pt idx="2492" formatCode="0.000">
                  <c:v>62.629591836734718</c:v>
                </c:pt>
                <c:pt idx="2493" formatCode="0.000">
                  <c:v>62.600204081632675</c:v>
                </c:pt>
                <c:pt idx="2494" formatCode="0.000">
                  <c:v>62.613877551020423</c:v>
                </c:pt>
                <c:pt idx="2495" formatCode="0.000">
                  <c:v>62.600816326530634</c:v>
                </c:pt>
                <c:pt idx="2496" formatCode="0.000">
                  <c:v>62.60653061224491</c:v>
                </c:pt>
                <c:pt idx="2497" formatCode="0.000">
                  <c:v>62.653673469387769</c:v>
                </c:pt>
                <c:pt idx="2498" formatCode="0.000">
                  <c:v>62.686734693877561</c:v>
                </c:pt>
                <c:pt idx="2499" formatCode="0.000">
                  <c:v>62.70224489795919</c:v>
                </c:pt>
                <c:pt idx="2500" formatCode="0.000">
                  <c:v>62.695714285714295</c:v>
                </c:pt>
                <c:pt idx="2501" formatCode="0.000">
                  <c:v>62.682653061224492</c:v>
                </c:pt>
                <c:pt idx="2502" formatCode="0.000">
                  <c:v>62.671224489795925</c:v>
                </c:pt>
                <c:pt idx="2503" formatCode="0.000">
                  <c:v>62.660204081632671</c:v>
                </c:pt>
                <c:pt idx="2504" formatCode="0.000">
                  <c:v>62.660204081632671</c:v>
                </c:pt>
                <c:pt idx="2505" formatCode="0.000">
                  <c:v>62.724897959183686</c:v>
                </c:pt>
                <c:pt idx="2506" formatCode="0.000">
                  <c:v>62.819387755102049</c:v>
                </c:pt>
                <c:pt idx="2507" formatCode="0.000">
                  <c:v>62.938775510204103</c:v>
                </c:pt>
                <c:pt idx="2508" formatCode="0.000">
                  <c:v>63.047959183673477</c:v>
                </c:pt>
                <c:pt idx="2509" formatCode="0.000">
                  <c:v>63.187551020408172</c:v>
                </c:pt>
                <c:pt idx="2510" formatCode="0.000">
                  <c:v>63.333469387755116</c:v>
                </c:pt>
                <c:pt idx="2511" formatCode="0.000">
                  <c:v>63.486734693877558</c:v>
                </c:pt>
                <c:pt idx="2512" formatCode="0.000">
                  <c:v>63.665306122448989</c:v>
                </c:pt>
                <c:pt idx="2513" formatCode="0.000">
                  <c:v>63.822040816326542</c:v>
                </c:pt>
                <c:pt idx="2514" formatCode="0.000">
                  <c:v>64.002653061224493</c:v>
                </c:pt>
                <c:pt idx="2515" formatCode="0.000">
                  <c:v>64.144693877551035</c:v>
                </c:pt>
                <c:pt idx="2516" formatCode="0.000">
                  <c:v>64.30285714285715</c:v>
                </c:pt>
              </c:numCache>
            </c:numRef>
          </c:val>
        </c:ser>
        <c:marker val="1"/>
        <c:axId val="109832448"/>
        <c:axId val="116535296"/>
      </c:lineChart>
      <c:catAx>
        <c:axId val="109832448"/>
        <c:scaling>
          <c:orientation val="minMax"/>
        </c:scaling>
        <c:axPos val="b"/>
        <c:tickLblPos val="nextTo"/>
        <c:crossAx val="116535296"/>
        <c:crosses val="autoZero"/>
        <c:auto val="1"/>
        <c:lblAlgn val="ctr"/>
        <c:lblOffset val="100"/>
      </c:catAx>
      <c:valAx>
        <c:axId val="116535296"/>
        <c:scaling>
          <c:orientation val="minMax"/>
        </c:scaling>
        <c:axPos val="l"/>
        <c:majorGridlines/>
        <c:numFmt formatCode="General" sourceLinked="1"/>
        <c:tickLblPos val="nextTo"/>
        <c:crossAx val="109832448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tx>
            <c:strRef>
              <c:f>'Coca-Cola Stock Price History'!$C$5</c:f>
              <c:strCache>
                <c:ptCount val="1"/>
                <c:pt idx="0">
                  <c:v>Price</c:v>
                </c:pt>
              </c:strCache>
            </c:strRef>
          </c:tx>
          <c:marker>
            <c:symbol val="none"/>
          </c:marker>
          <c:cat>
            <c:numRef>
              <c:f>'Coca-Cola Stock Price History'!$B$6:$B$2522</c:f>
              <c:numCache>
                <c:formatCode>mm/dd/yy;@</c:formatCode>
                <c:ptCount val="2517"/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42072</c:v>
                </c:pt>
                <c:pt idx="7">
                  <c:v>42073</c:v>
                </c:pt>
                <c:pt idx="8">
                  <c:v>42074</c:v>
                </c:pt>
                <c:pt idx="9">
                  <c:v>42075</c:v>
                </c:pt>
                <c:pt idx="10">
                  <c:v>42076</c:v>
                </c:pt>
                <c:pt idx="11">
                  <c:v>42079</c:v>
                </c:pt>
                <c:pt idx="12">
                  <c:v>42080</c:v>
                </c:pt>
                <c:pt idx="13">
                  <c:v>42081</c:v>
                </c:pt>
                <c:pt idx="14">
                  <c:v>42082</c:v>
                </c:pt>
                <c:pt idx="15">
                  <c:v>42083</c:v>
                </c:pt>
                <c:pt idx="16">
                  <c:v>42086</c:v>
                </c:pt>
                <c:pt idx="17">
                  <c:v>42087</c:v>
                </c:pt>
                <c:pt idx="18">
                  <c:v>42088</c:v>
                </c:pt>
                <c:pt idx="19">
                  <c:v>42089</c:v>
                </c:pt>
                <c:pt idx="20">
                  <c:v>42090</c:v>
                </c:pt>
                <c:pt idx="21">
                  <c:v>42093</c:v>
                </c:pt>
                <c:pt idx="22">
                  <c:v>42094</c:v>
                </c:pt>
                <c:pt idx="23">
                  <c:v>42095</c:v>
                </c:pt>
                <c:pt idx="24">
                  <c:v>42096</c:v>
                </c:pt>
                <c:pt idx="25">
                  <c:v>42100</c:v>
                </c:pt>
                <c:pt idx="26">
                  <c:v>42101</c:v>
                </c:pt>
                <c:pt idx="27">
                  <c:v>42102</c:v>
                </c:pt>
                <c:pt idx="28">
                  <c:v>42103</c:v>
                </c:pt>
                <c:pt idx="29">
                  <c:v>42104</c:v>
                </c:pt>
                <c:pt idx="30">
                  <c:v>42107</c:v>
                </c:pt>
                <c:pt idx="31">
                  <c:v>42108</c:v>
                </c:pt>
                <c:pt idx="32">
                  <c:v>42109</c:v>
                </c:pt>
                <c:pt idx="33">
                  <c:v>42110</c:v>
                </c:pt>
                <c:pt idx="34">
                  <c:v>42111</c:v>
                </c:pt>
                <c:pt idx="35">
                  <c:v>42114</c:v>
                </c:pt>
                <c:pt idx="36">
                  <c:v>42115</c:v>
                </c:pt>
                <c:pt idx="37">
                  <c:v>42116</c:v>
                </c:pt>
                <c:pt idx="38">
                  <c:v>42117</c:v>
                </c:pt>
                <c:pt idx="39">
                  <c:v>42118</c:v>
                </c:pt>
                <c:pt idx="40">
                  <c:v>42121</c:v>
                </c:pt>
                <c:pt idx="41">
                  <c:v>42122</c:v>
                </c:pt>
                <c:pt idx="42">
                  <c:v>42123</c:v>
                </c:pt>
                <c:pt idx="43">
                  <c:v>42124</c:v>
                </c:pt>
                <c:pt idx="44">
                  <c:v>42125</c:v>
                </c:pt>
                <c:pt idx="45">
                  <c:v>42128</c:v>
                </c:pt>
                <c:pt idx="46">
                  <c:v>42129</c:v>
                </c:pt>
                <c:pt idx="47">
                  <c:v>42130</c:v>
                </c:pt>
                <c:pt idx="48">
                  <c:v>42131</c:v>
                </c:pt>
                <c:pt idx="49">
                  <c:v>42132</c:v>
                </c:pt>
                <c:pt idx="50">
                  <c:v>42135</c:v>
                </c:pt>
                <c:pt idx="51">
                  <c:v>42136</c:v>
                </c:pt>
                <c:pt idx="52">
                  <c:v>42137</c:v>
                </c:pt>
                <c:pt idx="53">
                  <c:v>42138</c:v>
                </c:pt>
                <c:pt idx="54">
                  <c:v>42139</c:v>
                </c:pt>
                <c:pt idx="55">
                  <c:v>42142</c:v>
                </c:pt>
                <c:pt idx="56">
                  <c:v>42143</c:v>
                </c:pt>
                <c:pt idx="57">
                  <c:v>42144</c:v>
                </c:pt>
                <c:pt idx="58">
                  <c:v>42145</c:v>
                </c:pt>
                <c:pt idx="59">
                  <c:v>42146</c:v>
                </c:pt>
                <c:pt idx="60">
                  <c:v>42150</c:v>
                </c:pt>
                <c:pt idx="61">
                  <c:v>42151</c:v>
                </c:pt>
                <c:pt idx="62">
                  <c:v>42152</c:v>
                </c:pt>
                <c:pt idx="63">
                  <c:v>42153</c:v>
                </c:pt>
                <c:pt idx="64">
                  <c:v>42156</c:v>
                </c:pt>
                <c:pt idx="65">
                  <c:v>42157</c:v>
                </c:pt>
                <c:pt idx="66">
                  <c:v>42158</c:v>
                </c:pt>
                <c:pt idx="67">
                  <c:v>42159</c:v>
                </c:pt>
                <c:pt idx="68">
                  <c:v>42160</c:v>
                </c:pt>
                <c:pt idx="69">
                  <c:v>42163</c:v>
                </c:pt>
                <c:pt idx="70">
                  <c:v>42164</c:v>
                </c:pt>
                <c:pt idx="71">
                  <c:v>42165</c:v>
                </c:pt>
                <c:pt idx="72">
                  <c:v>42166</c:v>
                </c:pt>
                <c:pt idx="73">
                  <c:v>42167</c:v>
                </c:pt>
                <c:pt idx="74">
                  <c:v>42170</c:v>
                </c:pt>
                <c:pt idx="75">
                  <c:v>42171</c:v>
                </c:pt>
                <c:pt idx="76">
                  <c:v>42172</c:v>
                </c:pt>
                <c:pt idx="77">
                  <c:v>42173</c:v>
                </c:pt>
                <c:pt idx="78">
                  <c:v>42174</c:v>
                </c:pt>
                <c:pt idx="79">
                  <c:v>42177</c:v>
                </c:pt>
                <c:pt idx="80">
                  <c:v>42178</c:v>
                </c:pt>
                <c:pt idx="81">
                  <c:v>42179</c:v>
                </c:pt>
                <c:pt idx="82">
                  <c:v>42180</c:v>
                </c:pt>
                <c:pt idx="83">
                  <c:v>42181</c:v>
                </c:pt>
                <c:pt idx="84">
                  <c:v>42184</c:v>
                </c:pt>
                <c:pt idx="85">
                  <c:v>42185</c:v>
                </c:pt>
                <c:pt idx="86">
                  <c:v>42186</c:v>
                </c:pt>
                <c:pt idx="87">
                  <c:v>42187</c:v>
                </c:pt>
                <c:pt idx="88">
                  <c:v>42191</c:v>
                </c:pt>
                <c:pt idx="89">
                  <c:v>42192</c:v>
                </c:pt>
                <c:pt idx="90">
                  <c:v>42193</c:v>
                </c:pt>
                <c:pt idx="91">
                  <c:v>42194</c:v>
                </c:pt>
                <c:pt idx="92">
                  <c:v>42195</c:v>
                </c:pt>
                <c:pt idx="93">
                  <c:v>42198</c:v>
                </c:pt>
                <c:pt idx="94">
                  <c:v>42199</c:v>
                </c:pt>
                <c:pt idx="95">
                  <c:v>42200</c:v>
                </c:pt>
                <c:pt idx="96">
                  <c:v>42201</c:v>
                </c:pt>
                <c:pt idx="97">
                  <c:v>42202</c:v>
                </c:pt>
                <c:pt idx="98">
                  <c:v>42205</c:v>
                </c:pt>
                <c:pt idx="99">
                  <c:v>42206</c:v>
                </c:pt>
                <c:pt idx="100">
                  <c:v>42207</c:v>
                </c:pt>
                <c:pt idx="101">
                  <c:v>42208</c:v>
                </c:pt>
                <c:pt idx="102">
                  <c:v>42209</c:v>
                </c:pt>
                <c:pt idx="103">
                  <c:v>42212</c:v>
                </c:pt>
                <c:pt idx="104">
                  <c:v>42213</c:v>
                </c:pt>
                <c:pt idx="105">
                  <c:v>42214</c:v>
                </c:pt>
                <c:pt idx="106">
                  <c:v>42215</c:v>
                </c:pt>
                <c:pt idx="107">
                  <c:v>42216</c:v>
                </c:pt>
                <c:pt idx="108">
                  <c:v>42219</c:v>
                </c:pt>
                <c:pt idx="109">
                  <c:v>42220</c:v>
                </c:pt>
                <c:pt idx="110">
                  <c:v>42221</c:v>
                </c:pt>
                <c:pt idx="111">
                  <c:v>42222</c:v>
                </c:pt>
                <c:pt idx="112">
                  <c:v>42223</c:v>
                </c:pt>
                <c:pt idx="113">
                  <c:v>42226</c:v>
                </c:pt>
                <c:pt idx="114">
                  <c:v>42227</c:v>
                </c:pt>
                <c:pt idx="115">
                  <c:v>42228</c:v>
                </c:pt>
                <c:pt idx="116">
                  <c:v>42229</c:v>
                </c:pt>
                <c:pt idx="117">
                  <c:v>42230</c:v>
                </c:pt>
                <c:pt idx="118">
                  <c:v>42233</c:v>
                </c:pt>
                <c:pt idx="119">
                  <c:v>42234</c:v>
                </c:pt>
                <c:pt idx="120">
                  <c:v>42235</c:v>
                </c:pt>
                <c:pt idx="121">
                  <c:v>42236</c:v>
                </c:pt>
                <c:pt idx="122">
                  <c:v>42237</c:v>
                </c:pt>
                <c:pt idx="123">
                  <c:v>42240</c:v>
                </c:pt>
                <c:pt idx="124">
                  <c:v>42241</c:v>
                </c:pt>
                <c:pt idx="125">
                  <c:v>42242</c:v>
                </c:pt>
                <c:pt idx="126">
                  <c:v>42243</c:v>
                </c:pt>
                <c:pt idx="127">
                  <c:v>42244</c:v>
                </c:pt>
                <c:pt idx="128">
                  <c:v>42247</c:v>
                </c:pt>
                <c:pt idx="129">
                  <c:v>42248</c:v>
                </c:pt>
                <c:pt idx="130">
                  <c:v>42249</c:v>
                </c:pt>
                <c:pt idx="131">
                  <c:v>42250</c:v>
                </c:pt>
                <c:pt idx="132">
                  <c:v>42251</c:v>
                </c:pt>
                <c:pt idx="133">
                  <c:v>42255</c:v>
                </c:pt>
                <c:pt idx="134">
                  <c:v>42256</c:v>
                </c:pt>
                <c:pt idx="135">
                  <c:v>42257</c:v>
                </c:pt>
                <c:pt idx="136">
                  <c:v>42258</c:v>
                </c:pt>
                <c:pt idx="137">
                  <c:v>42261</c:v>
                </c:pt>
                <c:pt idx="138">
                  <c:v>42262</c:v>
                </c:pt>
                <c:pt idx="139">
                  <c:v>42263</c:v>
                </c:pt>
                <c:pt idx="140">
                  <c:v>42264</c:v>
                </c:pt>
                <c:pt idx="141">
                  <c:v>42265</c:v>
                </c:pt>
                <c:pt idx="142">
                  <c:v>42268</c:v>
                </c:pt>
                <c:pt idx="143">
                  <c:v>42269</c:v>
                </c:pt>
                <c:pt idx="144">
                  <c:v>42270</c:v>
                </c:pt>
                <c:pt idx="145">
                  <c:v>42271</c:v>
                </c:pt>
                <c:pt idx="146">
                  <c:v>42272</c:v>
                </c:pt>
                <c:pt idx="147">
                  <c:v>42275</c:v>
                </c:pt>
                <c:pt idx="148">
                  <c:v>42276</c:v>
                </c:pt>
                <c:pt idx="149">
                  <c:v>42277</c:v>
                </c:pt>
                <c:pt idx="150">
                  <c:v>42278</c:v>
                </c:pt>
                <c:pt idx="151">
                  <c:v>42279</c:v>
                </c:pt>
                <c:pt idx="152">
                  <c:v>42282</c:v>
                </c:pt>
                <c:pt idx="153">
                  <c:v>42283</c:v>
                </c:pt>
                <c:pt idx="154">
                  <c:v>42284</c:v>
                </c:pt>
                <c:pt idx="155">
                  <c:v>42285</c:v>
                </c:pt>
                <c:pt idx="156">
                  <c:v>42286</c:v>
                </c:pt>
                <c:pt idx="157">
                  <c:v>42289</c:v>
                </c:pt>
                <c:pt idx="158">
                  <c:v>42290</c:v>
                </c:pt>
                <c:pt idx="159">
                  <c:v>42291</c:v>
                </c:pt>
                <c:pt idx="160">
                  <c:v>42292</c:v>
                </c:pt>
                <c:pt idx="161">
                  <c:v>42293</c:v>
                </c:pt>
                <c:pt idx="162">
                  <c:v>42296</c:v>
                </c:pt>
                <c:pt idx="163">
                  <c:v>42297</c:v>
                </c:pt>
                <c:pt idx="164">
                  <c:v>42298</c:v>
                </c:pt>
                <c:pt idx="165">
                  <c:v>42299</c:v>
                </c:pt>
                <c:pt idx="166">
                  <c:v>42300</c:v>
                </c:pt>
                <c:pt idx="167">
                  <c:v>42303</c:v>
                </c:pt>
                <c:pt idx="168">
                  <c:v>42304</c:v>
                </c:pt>
                <c:pt idx="169">
                  <c:v>42305</c:v>
                </c:pt>
                <c:pt idx="170">
                  <c:v>42306</c:v>
                </c:pt>
                <c:pt idx="171">
                  <c:v>42307</c:v>
                </c:pt>
                <c:pt idx="172">
                  <c:v>42310</c:v>
                </c:pt>
                <c:pt idx="173">
                  <c:v>42311</c:v>
                </c:pt>
                <c:pt idx="174">
                  <c:v>42312</c:v>
                </c:pt>
                <c:pt idx="175">
                  <c:v>42313</c:v>
                </c:pt>
                <c:pt idx="176">
                  <c:v>42314</c:v>
                </c:pt>
                <c:pt idx="177">
                  <c:v>42317</c:v>
                </c:pt>
                <c:pt idx="178">
                  <c:v>42318</c:v>
                </c:pt>
                <c:pt idx="179">
                  <c:v>42319</c:v>
                </c:pt>
                <c:pt idx="180">
                  <c:v>42320</c:v>
                </c:pt>
                <c:pt idx="181">
                  <c:v>42321</c:v>
                </c:pt>
                <c:pt idx="182">
                  <c:v>42324</c:v>
                </c:pt>
                <c:pt idx="183">
                  <c:v>42325</c:v>
                </c:pt>
                <c:pt idx="184">
                  <c:v>42326</c:v>
                </c:pt>
                <c:pt idx="185">
                  <c:v>42327</c:v>
                </c:pt>
                <c:pt idx="186">
                  <c:v>42328</c:v>
                </c:pt>
                <c:pt idx="187">
                  <c:v>42331</c:v>
                </c:pt>
                <c:pt idx="188">
                  <c:v>42332</c:v>
                </c:pt>
                <c:pt idx="189">
                  <c:v>42333</c:v>
                </c:pt>
                <c:pt idx="190">
                  <c:v>42335</c:v>
                </c:pt>
                <c:pt idx="191">
                  <c:v>42338</c:v>
                </c:pt>
                <c:pt idx="192">
                  <c:v>42339</c:v>
                </c:pt>
                <c:pt idx="193">
                  <c:v>42340</c:v>
                </c:pt>
                <c:pt idx="194">
                  <c:v>42341</c:v>
                </c:pt>
                <c:pt idx="195">
                  <c:v>42342</c:v>
                </c:pt>
                <c:pt idx="196">
                  <c:v>42345</c:v>
                </c:pt>
                <c:pt idx="197">
                  <c:v>42346</c:v>
                </c:pt>
                <c:pt idx="198">
                  <c:v>42347</c:v>
                </c:pt>
                <c:pt idx="199">
                  <c:v>42348</c:v>
                </c:pt>
                <c:pt idx="200">
                  <c:v>42349</c:v>
                </c:pt>
                <c:pt idx="201">
                  <c:v>42352</c:v>
                </c:pt>
                <c:pt idx="202">
                  <c:v>42353</c:v>
                </c:pt>
                <c:pt idx="203">
                  <c:v>42354</c:v>
                </c:pt>
                <c:pt idx="204">
                  <c:v>42355</c:v>
                </c:pt>
                <c:pt idx="205">
                  <c:v>42356</c:v>
                </c:pt>
                <c:pt idx="206">
                  <c:v>42359</c:v>
                </c:pt>
                <c:pt idx="207">
                  <c:v>42360</c:v>
                </c:pt>
                <c:pt idx="208">
                  <c:v>42361</c:v>
                </c:pt>
                <c:pt idx="209">
                  <c:v>42362</c:v>
                </c:pt>
                <c:pt idx="210">
                  <c:v>42366</c:v>
                </c:pt>
                <c:pt idx="211">
                  <c:v>42367</c:v>
                </c:pt>
                <c:pt idx="212">
                  <c:v>42368</c:v>
                </c:pt>
                <c:pt idx="213">
                  <c:v>42369</c:v>
                </c:pt>
                <c:pt idx="214">
                  <c:v>42373</c:v>
                </c:pt>
                <c:pt idx="215">
                  <c:v>42374</c:v>
                </c:pt>
                <c:pt idx="216">
                  <c:v>42375</c:v>
                </c:pt>
                <c:pt idx="217">
                  <c:v>42376</c:v>
                </c:pt>
                <c:pt idx="218">
                  <c:v>42377</c:v>
                </c:pt>
                <c:pt idx="219">
                  <c:v>42380</c:v>
                </c:pt>
                <c:pt idx="220">
                  <c:v>42381</c:v>
                </c:pt>
                <c:pt idx="221">
                  <c:v>42382</c:v>
                </c:pt>
                <c:pt idx="222">
                  <c:v>42383</c:v>
                </c:pt>
                <c:pt idx="223">
                  <c:v>42384</c:v>
                </c:pt>
                <c:pt idx="224">
                  <c:v>42388</c:v>
                </c:pt>
                <c:pt idx="225">
                  <c:v>42389</c:v>
                </c:pt>
                <c:pt idx="226">
                  <c:v>42390</c:v>
                </c:pt>
                <c:pt idx="227">
                  <c:v>42391</c:v>
                </c:pt>
                <c:pt idx="228">
                  <c:v>42394</c:v>
                </c:pt>
                <c:pt idx="229">
                  <c:v>42395</c:v>
                </c:pt>
                <c:pt idx="230">
                  <c:v>42396</c:v>
                </c:pt>
                <c:pt idx="231">
                  <c:v>42397</c:v>
                </c:pt>
                <c:pt idx="232">
                  <c:v>42398</c:v>
                </c:pt>
                <c:pt idx="233">
                  <c:v>42401</c:v>
                </c:pt>
                <c:pt idx="234">
                  <c:v>42402</c:v>
                </c:pt>
                <c:pt idx="235">
                  <c:v>42403</c:v>
                </c:pt>
                <c:pt idx="236">
                  <c:v>42404</c:v>
                </c:pt>
                <c:pt idx="237">
                  <c:v>42405</c:v>
                </c:pt>
                <c:pt idx="238">
                  <c:v>42408</c:v>
                </c:pt>
                <c:pt idx="239">
                  <c:v>42409</c:v>
                </c:pt>
                <c:pt idx="240">
                  <c:v>42410</c:v>
                </c:pt>
                <c:pt idx="241">
                  <c:v>42411</c:v>
                </c:pt>
                <c:pt idx="242">
                  <c:v>42412</c:v>
                </c:pt>
                <c:pt idx="243">
                  <c:v>42416</c:v>
                </c:pt>
                <c:pt idx="244">
                  <c:v>42417</c:v>
                </c:pt>
                <c:pt idx="245">
                  <c:v>42418</c:v>
                </c:pt>
                <c:pt idx="246">
                  <c:v>42419</c:v>
                </c:pt>
                <c:pt idx="247">
                  <c:v>42422</c:v>
                </c:pt>
                <c:pt idx="248">
                  <c:v>42423</c:v>
                </c:pt>
                <c:pt idx="249">
                  <c:v>42424</c:v>
                </c:pt>
                <c:pt idx="250">
                  <c:v>42425</c:v>
                </c:pt>
                <c:pt idx="251">
                  <c:v>42426</c:v>
                </c:pt>
                <c:pt idx="252">
                  <c:v>42429</c:v>
                </c:pt>
                <c:pt idx="253">
                  <c:v>42430</c:v>
                </c:pt>
                <c:pt idx="254">
                  <c:v>42431</c:v>
                </c:pt>
                <c:pt idx="255">
                  <c:v>42432</c:v>
                </c:pt>
                <c:pt idx="256">
                  <c:v>42433</c:v>
                </c:pt>
                <c:pt idx="257">
                  <c:v>42436</c:v>
                </c:pt>
                <c:pt idx="258">
                  <c:v>42437</c:v>
                </c:pt>
                <c:pt idx="259">
                  <c:v>42438</c:v>
                </c:pt>
                <c:pt idx="260">
                  <c:v>42439</c:v>
                </c:pt>
                <c:pt idx="261">
                  <c:v>42440</c:v>
                </c:pt>
                <c:pt idx="262">
                  <c:v>42443</c:v>
                </c:pt>
                <c:pt idx="263">
                  <c:v>42444</c:v>
                </c:pt>
                <c:pt idx="264">
                  <c:v>42445</c:v>
                </c:pt>
                <c:pt idx="265">
                  <c:v>42446</c:v>
                </c:pt>
                <c:pt idx="266">
                  <c:v>42447</c:v>
                </c:pt>
                <c:pt idx="267">
                  <c:v>42450</c:v>
                </c:pt>
                <c:pt idx="268">
                  <c:v>42451</c:v>
                </c:pt>
                <c:pt idx="269">
                  <c:v>42452</c:v>
                </c:pt>
                <c:pt idx="270">
                  <c:v>42453</c:v>
                </c:pt>
                <c:pt idx="271">
                  <c:v>42457</c:v>
                </c:pt>
                <c:pt idx="272">
                  <c:v>42458</c:v>
                </c:pt>
                <c:pt idx="273">
                  <c:v>42459</c:v>
                </c:pt>
                <c:pt idx="274">
                  <c:v>42460</c:v>
                </c:pt>
                <c:pt idx="275">
                  <c:v>42461</c:v>
                </c:pt>
                <c:pt idx="276">
                  <c:v>42464</c:v>
                </c:pt>
                <c:pt idx="277">
                  <c:v>42465</c:v>
                </c:pt>
                <c:pt idx="278">
                  <c:v>42466</c:v>
                </c:pt>
                <c:pt idx="279">
                  <c:v>42467</c:v>
                </c:pt>
                <c:pt idx="280">
                  <c:v>42468</c:v>
                </c:pt>
                <c:pt idx="281">
                  <c:v>42471</c:v>
                </c:pt>
                <c:pt idx="282">
                  <c:v>42472</c:v>
                </c:pt>
                <c:pt idx="283">
                  <c:v>42473</c:v>
                </c:pt>
                <c:pt idx="284">
                  <c:v>42474</c:v>
                </c:pt>
                <c:pt idx="285">
                  <c:v>42475</c:v>
                </c:pt>
                <c:pt idx="286">
                  <c:v>42478</c:v>
                </c:pt>
                <c:pt idx="287">
                  <c:v>42479</c:v>
                </c:pt>
                <c:pt idx="288">
                  <c:v>42480</c:v>
                </c:pt>
                <c:pt idx="289">
                  <c:v>42481</c:v>
                </c:pt>
                <c:pt idx="290">
                  <c:v>42482</c:v>
                </c:pt>
                <c:pt idx="291">
                  <c:v>42485</c:v>
                </c:pt>
                <c:pt idx="292">
                  <c:v>42486</c:v>
                </c:pt>
                <c:pt idx="293">
                  <c:v>42487</c:v>
                </c:pt>
                <c:pt idx="294">
                  <c:v>42488</c:v>
                </c:pt>
                <c:pt idx="295">
                  <c:v>42489</c:v>
                </c:pt>
                <c:pt idx="296">
                  <c:v>42492</c:v>
                </c:pt>
                <c:pt idx="297">
                  <c:v>42493</c:v>
                </c:pt>
                <c:pt idx="298">
                  <c:v>42494</c:v>
                </c:pt>
                <c:pt idx="299">
                  <c:v>42495</c:v>
                </c:pt>
                <c:pt idx="300">
                  <c:v>42496</c:v>
                </c:pt>
                <c:pt idx="301">
                  <c:v>42499</c:v>
                </c:pt>
                <c:pt idx="302">
                  <c:v>42500</c:v>
                </c:pt>
                <c:pt idx="303">
                  <c:v>42501</c:v>
                </c:pt>
                <c:pt idx="304">
                  <c:v>42502</c:v>
                </c:pt>
                <c:pt idx="305">
                  <c:v>42503</c:v>
                </c:pt>
                <c:pt idx="306">
                  <c:v>42506</c:v>
                </c:pt>
                <c:pt idx="307">
                  <c:v>42507</c:v>
                </c:pt>
                <c:pt idx="308">
                  <c:v>42508</c:v>
                </c:pt>
                <c:pt idx="309">
                  <c:v>42509</c:v>
                </c:pt>
                <c:pt idx="310">
                  <c:v>42510</c:v>
                </c:pt>
                <c:pt idx="311">
                  <c:v>42513</c:v>
                </c:pt>
                <c:pt idx="312">
                  <c:v>42514</c:v>
                </c:pt>
                <c:pt idx="313">
                  <c:v>42515</c:v>
                </c:pt>
                <c:pt idx="314">
                  <c:v>42516</c:v>
                </c:pt>
                <c:pt idx="315">
                  <c:v>42517</c:v>
                </c:pt>
                <c:pt idx="316">
                  <c:v>42521</c:v>
                </c:pt>
                <c:pt idx="317">
                  <c:v>42522</c:v>
                </c:pt>
                <c:pt idx="318">
                  <c:v>42523</c:v>
                </c:pt>
                <c:pt idx="319">
                  <c:v>42524</c:v>
                </c:pt>
                <c:pt idx="320">
                  <c:v>42527</c:v>
                </c:pt>
                <c:pt idx="321">
                  <c:v>42528</c:v>
                </c:pt>
                <c:pt idx="322">
                  <c:v>42529</c:v>
                </c:pt>
                <c:pt idx="323">
                  <c:v>42530</c:v>
                </c:pt>
                <c:pt idx="324">
                  <c:v>42531</c:v>
                </c:pt>
                <c:pt idx="325">
                  <c:v>42534</c:v>
                </c:pt>
                <c:pt idx="326">
                  <c:v>42535</c:v>
                </c:pt>
                <c:pt idx="327">
                  <c:v>42536</c:v>
                </c:pt>
                <c:pt idx="328">
                  <c:v>42537</c:v>
                </c:pt>
                <c:pt idx="329">
                  <c:v>42538</c:v>
                </c:pt>
                <c:pt idx="330">
                  <c:v>42541</c:v>
                </c:pt>
                <c:pt idx="331">
                  <c:v>42542</c:v>
                </c:pt>
                <c:pt idx="332">
                  <c:v>42543</c:v>
                </c:pt>
                <c:pt idx="333">
                  <c:v>42544</c:v>
                </c:pt>
                <c:pt idx="334">
                  <c:v>42545</c:v>
                </c:pt>
                <c:pt idx="335">
                  <c:v>42548</c:v>
                </c:pt>
                <c:pt idx="336">
                  <c:v>42549</c:v>
                </c:pt>
                <c:pt idx="337">
                  <c:v>42550</c:v>
                </c:pt>
                <c:pt idx="338">
                  <c:v>42551</c:v>
                </c:pt>
                <c:pt idx="339">
                  <c:v>42552</c:v>
                </c:pt>
                <c:pt idx="340">
                  <c:v>42556</c:v>
                </c:pt>
                <c:pt idx="341">
                  <c:v>42557</c:v>
                </c:pt>
                <c:pt idx="342">
                  <c:v>42558</c:v>
                </c:pt>
                <c:pt idx="343">
                  <c:v>42559</c:v>
                </c:pt>
                <c:pt idx="344">
                  <c:v>42562</c:v>
                </c:pt>
                <c:pt idx="345">
                  <c:v>42563</c:v>
                </c:pt>
                <c:pt idx="346">
                  <c:v>42564</c:v>
                </c:pt>
                <c:pt idx="347">
                  <c:v>42565</c:v>
                </c:pt>
                <c:pt idx="348">
                  <c:v>42566</c:v>
                </c:pt>
                <c:pt idx="349">
                  <c:v>42569</c:v>
                </c:pt>
                <c:pt idx="350">
                  <c:v>42570</c:v>
                </c:pt>
                <c:pt idx="351">
                  <c:v>42571</c:v>
                </c:pt>
                <c:pt idx="352">
                  <c:v>42572</c:v>
                </c:pt>
                <c:pt idx="353">
                  <c:v>42573</c:v>
                </c:pt>
                <c:pt idx="354">
                  <c:v>42576</c:v>
                </c:pt>
                <c:pt idx="355">
                  <c:v>42577</c:v>
                </c:pt>
                <c:pt idx="356">
                  <c:v>42578</c:v>
                </c:pt>
                <c:pt idx="357">
                  <c:v>42579</c:v>
                </c:pt>
                <c:pt idx="358">
                  <c:v>42580</c:v>
                </c:pt>
                <c:pt idx="359">
                  <c:v>42583</c:v>
                </c:pt>
                <c:pt idx="360">
                  <c:v>42584</c:v>
                </c:pt>
                <c:pt idx="361">
                  <c:v>42585</c:v>
                </c:pt>
                <c:pt idx="362">
                  <c:v>42586</c:v>
                </c:pt>
                <c:pt idx="363">
                  <c:v>42587</c:v>
                </c:pt>
                <c:pt idx="364">
                  <c:v>42590</c:v>
                </c:pt>
                <c:pt idx="365">
                  <c:v>42591</c:v>
                </c:pt>
                <c:pt idx="366">
                  <c:v>42592</c:v>
                </c:pt>
                <c:pt idx="367">
                  <c:v>42593</c:v>
                </c:pt>
                <c:pt idx="368">
                  <c:v>42594</c:v>
                </c:pt>
                <c:pt idx="369">
                  <c:v>42597</c:v>
                </c:pt>
                <c:pt idx="370">
                  <c:v>42598</c:v>
                </c:pt>
                <c:pt idx="371">
                  <c:v>42599</c:v>
                </c:pt>
                <c:pt idx="372">
                  <c:v>42600</c:v>
                </c:pt>
                <c:pt idx="373">
                  <c:v>42601</c:v>
                </c:pt>
                <c:pt idx="374">
                  <c:v>42604</c:v>
                </c:pt>
                <c:pt idx="375">
                  <c:v>42605</c:v>
                </c:pt>
                <c:pt idx="376">
                  <c:v>42606</c:v>
                </c:pt>
                <c:pt idx="377">
                  <c:v>42607</c:v>
                </c:pt>
                <c:pt idx="378">
                  <c:v>42608</c:v>
                </c:pt>
                <c:pt idx="379">
                  <c:v>42611</c:v>
                </c:pt>
                <c:pt idx="380">
                  <c:v>42612</c:v>
                </c:pt>
                <c:pt idx="381">
                  <c:v>42613</c:v>
                </c:pt>
                <c:pt idx="382">
                  <c:v>42614</c:v>
                </c:pt>
                <c:pt idx="383">
                  <c:v>42615</c:v>
                </c:pt>
                <c:pt idx="384">
                  <c:v>42619</c:v>
                </c:pt>
                <c:pt idx="385">
                  <c:v>42620</c:v>
                </c:pt>
                <c:pt idx="386">
                  <c:v>42621</c:v>
                </c:pt>
                <c:pt idx="387">
                  <c:v>42622</c:v>
                </c:pt>
                <c:pt idx="388">
                  <c:v>42625</c:v>
                </c:pt>
                <c:pt idx="389">
                  <c:v>42626</c:v>
                </c:pt>
                <c:pt idx="390">
                  <c:v>42627</c:v>
                </c:pt>
                <c:pt idx="391">
                  <c:v>42628</c:v>
                </c:pt>
                <c:pt idx="392">
                  <c:v>42629</c:v>
                </c:pt>
                <c:pt idx="393">
                  <c:v>42632</c:v>
                </c:pt>
                <c:pt idx="394">
                  <c:v>42633</c:v>
                </c:pt>
                <c:pt idx="395">
                  <c:v>42634</c:v>
                </c:pt>
                <c:pt idx="396">
                  <c:v>42635</c:v>
                </c:pt>
                <c:pt idx="397">
                  <c:v>42636</c:v>
                </c:pt>
                <c:pt idx="398">
                  <c:v>42639</c:v>
                </c:pt>
                <c:pt idx="399">
                  <c:v>42640</c:v>
                </c:pt>
                <c:pt idx="400">
                  <c:v>42641</c:v>
                </c:pt>
                <c:pt idx="401">
                  <c:v>42642</c:v>
                </c:pt>
                <c:pt idx="402">
                  <c:v>42643</c:v>
                </c:pt>
                <c:pt idx="403">
                  <c:v>42646</c:v>
                </c:pt>
                <c:pt idx="404">
                  <c:v>42647</c:v>
                </c:pt>
                <c:pt idx="405">
                  <c:v>42648</c:v>
                </c:pt>
                <c:pt idx="406">
                  <c:v>42649</c:v>
                </c:pt>
                <c:pt idx="407">
                  <c:v>42650</c:v>
                </c:pt>
                <c:pt idx="408">
                  <c:v>42653</c:v>
                </c:pt>
                <c:pt idx="409">
                  <c:v>42654</c:v>
                </c:pt>
                <c:pt idx="410">
                  <c:v>42655</c:v>
                </c:pt>
                <c:pt idx="411">
                  <c:v>42656</c:v>
                </c:pt>
                <c:pt idx="412">
                  <c:v>42657</c:v>
                </c:pt>
                <c:pt idx="413">
                  <c:v>42660</c:v>
                </c:pt>
                <c:pt idx="414">
                  <c:v>42661</c:v>
                </c:pt>
                <c:pt idx="415">
                  <c:v>42662</c:v>
                </c:pt>
                <c:pt idx="416">
                  <c:v>42663</c:v>
                </c:pt>
                <c:pt idx="417">
                  <c:v>42664</c:v>
                </c:pt>
                <c:pt idx="418">
                  <c:v>42667</c:v>
                </c:pt>
                <c:pt idx="419">
                  <c:v>42668</c:v>
                </c:pt>
                <c:pt idx="420">
                  <c:v>42669</c:v>
                </c:pt>
                <c:pt idx="421">
                  <c:v>42670</c:v>
                </c:pt>
                <c:pt idx="422">
                  <c:v>42671</c:v>
                </c:pt>
                <c:pt idx="423">
                  <c:v>42674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42683</c:v>
                </c:pt>
                <c:pt idx="431">
                  <c:v>42684</c:v>
                </c:pt>
                <c:pt idx="432">
                  <c:v>42685</c:v>
                </c:pt>
                <c:pt idx="433">
                  <c:v>42688</c:v>
                </c:pt>
                <c:pt idx="434">
                  <c:v>42689</c:v>
                </c:pt>
                <c:pt idx="435">
                  <c:v>42690</c:v>
                </c:pt>
                <c:pt idx="436">
                  <c:v>42691</c:v>
                </c:pt>
                <c:pt idx="437">
                  <c:v>42692</c:v>
                </c:pt>
                <c:pt idx="438">
                  <c:v>42695</c:v>
                </c:pt>
                <c:pt idx="439">
                  <c:v>42696</c:v>
                </c:pt>
                <c:pt idx="440">
                  <c:v>42697</c:v>
                </c:pt>
                <c:pt idx="441">
                  <c:v>42699</c:v>
                </c:pt>
                <c:pt idx="442">
                  <c:v>42702</c:v>
                </c:pt>
                <c:pt idx="443">
                  <c:v>42703</c:v>
                </c:pt>
                <c:pt idx="444">
                  <c:v>42704</c:v>
                </c:pt>
                <c:pt idx="445">
                  <c:v>42705</c:v>
                </c:pt>
                <c:pt idx="446">
                  <c:v>42706</c:v>
                </c:pt>
                <c:pt idx="447">
                  <c:v>42709</c:v>
                </c:pt>
                <c:pt idx="448">
                  <c:v>42710</c:v>
                </c:pt>
                <c:pt idx="449">
                  <c:v>42711</c:v>
                </c:pt>
                <c:pt idx="450">
                  <c:v>42712</c:v>
                </c:pt>
                <c:pt idx="451">
                  <c:v>42713</c:v>
                </c:pt>
                <c:pt idx="452">
                  <c:v>42716</c:v>
                </c:pt>
                <c:pt idx="453">
                  <c:v>42717</c:v>
                </c:pt>
                <c:pt idx="454">
                  <c:v>42718</c:v>
                </c:pt>
                <c:pt idx="455">
                  <c:v>42719</c:v>
                </c:pt>
                <c:pt idx="456">
                  <c:v>42720</c:v>
                </c:pt>
                <c:pt idx="457">
                  <c:v>42723</c:v>
                </c:pt>
                <c:pt idx="458">
                  <c:v>42724</c:v>
                </c:pt>
                <c:pt idx="459">
                  <c:v>42725</c:v>
                </c:pt>
                <c:pt idx="460">
                  <c:v>42726</c:v>
                </c:pt>
                <c:pt idx="461">
                  <c:v>42727</c:v>
                </c:pt>
                <c:pt idx="462">
                  <c:v>42731</c:v>
                </c:pt>
                <c:pt idx="463">
                  <c:v>42732</c:v>
                </c:pt>
                <c:pt idx="464">
                  <c:v>42733</c:v>
                </c:pt>
                <c:pt idx="465">
                  <c:v>42734</c:v>
                </c:pt>
                <c:pt idx="466">
                  <c:v>42738</c:v>
                </c:pt>
                <c:pt idx="467">
                  <c:v>42739</c:v>
                </c:pt>
                <c:pt idx="468">
                  <c:v>42740</c:v>
                </c:pt>
                <c:pt idx="469">
                  <c:v>42741</c:v>
                </c:pt>
                <c:pt idx="470">
                  <c:v>42744</c:v>
                </c:pt>
                <c:pt idx="471">
                  <c:v>42745</c:v>
                </c:pt>
                <c:pt idx="472">
                  <c:v>42746</c:v>
                </c:pt>
                <c:pt idx="473">
                  <c:v>42747</c:v>
                </c:pt>
                <c:pt idx="474">
                  <c:v>42748</c:v>
                </c:pt>
                <c:pt idx="475">
                  <c:v>42752</c:v>
                </c:pt>
                <c:pt idx="476">
                  <c:v>42753</c:v>
                </c:pt>
                <c:pt idx="477">
                  <c:v>42754</c:v>
                </c:pt>
                <c:pt idx="478">
                  <c:v>42755</c:v>
                </c:pt>
                <c:pt idx="479">
                  <c:v>42758</c:v>
                </c:pt>
                <c:pt idx="480">
                  <c:v>42759</c:v>
                </c:pt>
                <c:pt idx="481">
                  <c:v>42760</c:v>
                </c:pt>
                <c:pt idx="482">
                  <c:v>42761</c:v>
                </c:pt>
                <c:pt idx="483">
                  <c:v>42762</c:v>
                </c:pt>
                <c:pt idx="484">
                  <c:v>42765</c:v>
                </c:pt>
                <c:pt idx="485">
                  <c:v>42766</c:v>
                </c:pt>
                <c:pt idx="486">
                  <c:v>42767</c:v>
                </c:pt>
                <c:pt idx="487">
                  <c:v>42768</c:v>
                </c:pt>
                <c:pt idx="488">
                  <c:v>42769</c:v>
                </c:pt>
                <c:pt idx="489">
                  <c:v>42772</c:v>
                </c:pt>
                <c:pt idx="490">
                  <c:v>42773</c:v>
                </c:pt>
                <c:pt idx="491">
                  <c:v>42774</c:v>
                </c:pt>
                <c:pt idx="492">
                  <c:v>42775</c:v>
                </c:pt>
                <c:pt idx="493">
                  <c:v>42776</c:v>
                </c:pt>
                <c:pt idx="494">
                  <c:v>42779</c:v>
                </c:pt>
                <c:pt idx="495">
                  <c:v>42780</c:v>
                </c:pt>
                <c:pt idx="496">
                  <c:v>42781</c:v>
                </c:pt>
                <c:pt idx="497">
                  <c:v>42782</c:v>
                </c:pt>
                <c:pt idx="498">
                  <c:v>42783</c:v>
                </c:pt>
                <c:pt idx="499">
                  <c:v>42787</c:v>
                </c:pt>
                <c:pt idx="500">
                  <c:v>42788</c:v>
                </c:pt>
                <c:pt idx="501">
                  <c:v>42789</c:v>
                </c:pt>
                <c:pt idx="502">
                  <c:v>42790</c:v>
                </c:pt>
                <c:pt idx="503">
                  <c:v>42793</c:v>
                </c:pt>
                <c:pt idx="504">
                  <c:v>42794</c:v>
                </c:pt>
                <c:pt idx="505">
                  <c:v>42795</c:v>
                </c:pt>
                <c:pt idx="506">
                  <c:v>42796</c:v>
                </c:pt>
                <c:pt idx="507">
                  <c:v>42797</c:v>
                </c:pt>
                <c:pt idx="508">
                  <c:v>42800</c:v>
                </c:pt>
                <c:pt idx="509">
                  <c:v>42801</c:v>
                </c:pt>
                <c:pt idx="510">
                  <c:v>42802</c:v>
                </c:pt>
                <c:pt idx="511">
                  <c:v>42803</c:v>
                </c:pt>
                <c:pt idx="512">
                  <c:v>42804</c:v>
                </c:pt>
                <c:pt idx="513">
                  <c:v>42807</c:v>
                </c:pt>
                <c:pt idx="514">
                  <c:v>42808</c:v>
                </c:pt>
                <c:pt idx="515">
                  <c:v>42809</c:v>
                </c:pt>
                <c:pt idx="516">
                  <c:v>42810</c:v>
                </c:pt>
                <c:pt idx="517">
                  <c:v>42811</c:v>
                </c:pt>
                <c:pt idx="518">
                  <c:v>42814</c:v>
                </c:pt>
                <c:pt idx="519">
                  <c:v>42815</c:v>
                </c:pt>
                <c:pt idx="520">
                  <c:v>42816</c:v>
                </c:pt>
                <c:pt idx="521">
                  <c:v>42817</c:v>
                </c:pt>
                <c:pt idx="522">
                  <c:v>42818</c:v>
                </c:pt>
                <c:pt idx="523">
                  <c:v>42821</c:v>
                </c:pt>
                <c:pt idx="524">
                  <c:v>42822</c:v>
                </c:pt>
                <c:pt idx="525">
                  <c:v>42823</c:v>
                </c:pt>
                <c:pt idx="526">
                  <c:v>42824</c:v>
                </c:pt>
                <c:pt idx="527">
                  <c:v>42825</c:v>
                </c:pt>
                <c:pt idx="528">
                  <c:v>42828</c:v>
                </c:pt>
                <c:pt idx="529">
                  <c:v>42829</c:v>
                </c:pt>
                <c:pt idx="530">
                  <c:v>42830</c:v>
                </c:pt>
                <c:pt idx="531">
                  <c:v>42831</c:v>
                </c:pt>
                <c:pt idx="532">
                  <c:v>42832</c:v>
                </c:pt>
                <c:pt idx="533">
                  <c:v>42835</c:v>
                </c:pt>
                <c:pt idx="534">
                  <c:v>42836</c:v>
                </c:pt>
                <c:pt idx="535">
                  <c:v>42837</c:v>
                </c:pt>
                <c:pt idx="536">
                  <c:v>42838</c:v>
                </c:pt>
                <c:pt idx="537">
                  <c:v>42842</c:v>
                </c:pt>
                <c:pt idx="538">
                  <c:v>42843</c:v>
                </c:pt>
                <c:pt idx="539">
                  <c:v>42844</c:v>
                </c:pt>
                <c:pt idx="540">
                  <c:v>42845</c:v>
                </c:pt>
                <c:pt idx="541">
                  <c:v>42846</c:v>
                </c:pt>
                <c:pt idx="542">
                  <c:v>42849</c:v>
                </c:pt>
                <c:pt idx="543">
                  <c:v>42850</c:v>
                </c:pt>
                <c:pt idx="544">
                  <c:v>42851</c:v>
                </c:pt>
                <c:pt idx="545">
                  <c:v>42852</c:v>
                </c:pt>
                <c:pt idx="546">
                  <c:v>42853</c:v>
                </c:pt>
                <c:pt idx="547">
                  <c:v>42856</c:v>
                </c:pt>
                <c:pt idx="548">
                  <c:v>42857</c:v>
                </c:pt>
                <c:pt idx="549">
                  <c:v>42858</c:v>
                </c:pt>
                <c:pt idx="550">
                  <c:v>42859</c:v>
                </c:pt>
                <c:pt idx="551">
                  <c:v>42860</c:v>
                </c:pt>
                <c:pt idx="552">
                  <c:v>42863</c:v>
                </c:pt>
                <c:pt idx="553">
                  <c:v>42864</c:v>
                </c:pt>
                <c:pt idx="554">
                  <c:v>42865</c:v>
                </c:pt>
                <c:pt idx="555">
                  <c:v>42866</c:v>
                </c:pt>
                <c:pt idx="556">
                  <c:v>42867</c:v>
                </c:pt>
                <c:pt idx="557">
                  <c:v>42870</c:v>
                </c:pt>
                <c:pt idx="558">
                  <c:v>42871</c:v>
                </c:pt>
                <c:pt idx="559">
                  <c:v>42872</c:v>
                </c:pt>
                <c:pt idx="560">
                  <c:v>42873</c:v>
                </c:pt>
                <c:pt idx="561">
                  <c:v>42874</c:v>
                </c:pt>
                <c:pt idx="562">
                  <c:v>42877</c:v>
                </c:pt>
                <c:pt idx="563">
                  <c:v>42878</c:v>
                </c:pt>
                <c:pt idx="564">
                  <c:v>42879</c:v>
                </c:pt>
                <c:pt idx="565">
                  <c:v>42880</c:v>
                </c:pt>
                <c:pt idx="566">
                  <c:v>42881</c:v>
                </c:pt>
                <c:pt idx="567">
                  <c:v>42885</c:v>
                </c:pt>
                <c:pt idx="568">
                  <c:v>42886</c:v>
                </c:pt>
                <c:pt idx="569">
                  <c:v>42887</c:v>
                </c:pt>
                <c:pt idx="570">
                  <c:v>42888</c:v>
                </c:pt>
                <c:pt idx="571">
                  <c:v>42891</c:v>
                </c:pt>
                <c:pt idx="572">
                  <c:v>42892</c:v>
                </c:pt>
                <c:pt idx="573">
                  <c:v>42893</c:v>
                </c:pt>
                <c:pt idx="574">
                  <c:v>42894</c:v>
                </c:pt>
                <c:pt idx="575">
                  <c:v>42895</c:v>
                </c:pt>
                <c:pt idx="576">
                  <c:v>42898</c:v>
                </c:pt>
                <c:pt idx="577">
                  <c:v>42899</c:v>
                </c:pt>
                <c:pt idx="578">
                  <c:v>42900</c:v>
                </c:pt>
                <c:pt idx="579">
                  <c:v>42901</c:v>
                </c:pt>
                <c:pt idx="580">
                  <c:v>42902</c:v>
                </c:pt>
                <c:pt idx="581">
                  <c:v>42905</c:v>
                </c:pt>
                <c:pt idx="582">
                  <c:v>42906</c:v>
                </c:pt>
                <c:pt idx="583">
                  <c:v>42907</c:v>
                </c:pt>
                <c:pt idx="584">
                  <c:v>42908</c:v>
                </c:pt>
                <c:pt idx="585">
                  <c:v>42909</c:v>
                </c:pt>
                <c:pt idx="586">
                  <c:v>42912</c:v>
                </c:pt>
                <c:pt idx="587">
                  <c:v>42913</c:v>
                </c:pt>
                <c:pt idx="588">
                  <c:v>42914</c:v>
                </c:pt>
                <c:pt idx="589">
                  <c:v>42915</c:v>
                </c:pt>
                <c:pt idx="590">
                  <c:v>42916</c:v>
                </c:pt>
                <c:pt idx="591">
                  <c:v>42919</c:v>
                </c:pt>
                <c:pt idx="592">
                  <c:v>42921</c:v>
                </c:pt>
                <c:pt idx="593">
                  <c:v>42922</c:v>
                </c:pt>
                <c:pt idx="594">
                  <c:v>42923</c:v>
                </c:pt>
                <c:pt idx="595">
                  <c:v>42926</c:v>
                </c:pt>
                <c:pt idx="596">
                  <c:v>42927</c:v>
                </c:pt>
                <c:pt idx="597">
                  <c:v>42928</c:v>
                </c:pt>
                <c:pt idx="598">
                  <c:v>42929</c:v>
                </c:pt>
                <c:pt idx="599">
                  <c:v>42930</c:v>
                </c:pt>
                <c:pt idx="600">
                  <c:v>42933</c:v>
                </c:pt>
                <c:pt idx="601">
                  <c:v>42934</c:v>
                </c:pt>
                <c:pt idx="602">
                  <c:v>42935</c:v>
                </c:pt>
                <c:pt idx="603">
                  <c:v>42936</c:v>
                </c:pt>
                <c:pt idx="604">
                  <c:v>42937</c:v>
                </c:pt>
                <c:pt idx="605">
                  <c:v>42940</c:v>
                </c:pt>
                <c:pt idx="606">
                  <c:v>42941</c:v>
                </c:pt>
                <c:pt idx="607">
                  <c:v>42942</c:v>
                </c:pt>
                <c:pt idx="608">
                  <c:v>42943</c:v>
                </c:pt>
                <c:pt idx="609">
                  <c:v>42944</c:v>
                </c:pt>
                <c:pt idx="610">
                  <c:v>42947</c:v>
                </c:pt>
                <c:pt idx="611">
                  <c:v>42948</c:v>
                </c:pt>
                <c:pt idx="612">
                  <c:v>42949</c:v>
                </c:pt>
                <c:pt idx="613">
                  <c:v>42950</c:v>
                </c:pt>
                <c:pt idx="614">
                  <c:v>42951</c:v>
                </c:pt>
                <c:pt idx="615">
                  <c:v>42954</c:v>
                </c:pt>
                <c:pt idx="616">
                  <c:v>42955</c:v>
                </c:pt>
                <c:pt idx="617">
                  <c:v>42956</c:v>
                </c:pt>
                <c:pt idx="618">
                  <c:v>42957</c:v>
                </c:pt>
                <c:pt idx="619">
                  <c:v>42958</c:v>
                </c:pt>
                <c:pt idx="620">
                  <c:v>42961</c:v>
                </c:pt>
                <c:pt idx="621">
                  <c:v>42962</c:v>
                </c:pt>
                <c:pt idx="622">
                  <c:v>42963</c:v>
                </c:pt>
                <c:pt idx="623">
                  <c:v>42964</c:v>
                </c:pt>
                <c:pt idx="624">
                  <c:v>42965</c:v>
                </c:pt>
                <c:pt idx="625">
                  <c:v>42968</c:v>
                </c:pt>
                <c:pt idx="626">
                  <c:v>42969</c:v>
                </c:pt>
                <c:pt idx="627">
                  <c:v>42970</c:v>
                </c:pt>
                <c:pt idx="628">
                  <c:v>42971</c:v>
                </c:pt>
                <c:pt idx="629">
                  <c:v>42972</c:v>
                </c:pt>
                <c:pt idx="630">
                  <c:v>42975</c:v>
                </c:pt>
                <c:pt idx="631">
                  <c:v>42976</c:v>
                </c:pt>
                <c:pt idx="632">
                  <c:v>42977</c:v>
                </c:pt>
                <c:pt idx="633">
                  <c:v>42978</c:v>
                </c:pt>
                <c:pt idx="634">
                  <c:v>42979</c:v>
                </c:pt>
                <c:pt idx="635">
                  <c:v>42983</c:v>
                </c:pt>
                <c:pt idx="636">
                  <c:v>42984</c:v>
                </c:pt>
                <c:pt idx="637">
                  <c:v>42985</c:v>
                </c:pt>
                <c:pt idx="638">
                  <c:v>42986</c:v>
                </c:pt>
                <c:pt idx="639">
                  <c:v>42989</c:v>
                </c:pt>
                <c:pt idx="640">
                  <c:v>42990</c:v>
                </c:pt>
                <c:pt idx="641">
                  <c:v>42991</c:v>
                </c:pt>
                <c:pt idx="642">
                  <c:v>42992</c:v>
                </c:pt>
                <c:pt idx="643">
                  <c:v>42993</c:v>
                </c:pt>
                <c:pt idx="644">
                  <c:v>42996</c:v>
                </c:pt>
                <c:pt idx="645">
                  <c:v>42997</c:v>
                </c:pt>
                <c:pt idx="646">
                  <c:v>42998</c:v>
                </c:pt>
                <c:pt idx="647">
                  <c:v>42999</c:v>
                </c:pt>
                <c:pt idx="648">
                  <c:v>43000</c:v>
                </c:pt>
                <c:pt idx="649">
                  <c:v>43003</c:v>
                </c:pt>
                <c:pt idx="650">
                  <c:v>43004</c:v>
                </c:pt>
                <c:pt idx="651">
                  <c:v>43005</c:v>
                </c:pt>
                <c:pt idx="652">
                  <c:v>43006</c:v>
                </c:pt>
                <c:pt idx="653">
                  <c:v>43007</c:v>
                </c:pt>
                <c:pt idx="654">
                  <c:v>43010</c:v>
                </c:pt>
                <c:pt idx="655">
                  <c:v>43011</c:v>
                </c:pt>
                <c:pt idx="656">
                  <c:v>43012</c:v>
                </c:pt>
                <c:pt idx="657">
                  <c:v>43013</c:v>
                </c:pt>
                <c:pt idx="658">
                  <c:v>43014</c:v>
                </c:pt>
                <c:pt idx="659">
                  <c:v>43017</c:v>
                </c:pt>
                <c:pt idx="660">
                  <c:v>43018</c:v>
                </c:pt>
                <c:pt idx="661">
                  <c:v>43019</c:v>
                </c:pt>
                <c:pt idx="662">
                  <c:v>43020</c:v>
                </c:pt>
                <c:pt idx="663">
                  <c:v>43021</c:v>
                </c:pt>
                <c:pt idx="664">
                  <c:v>43024</c:v>
                </c:pt>
                <c:pt idx="665">
                  <c:v>43025</c:v>
                </c:pt>
                <c:pt idx="666">
                  <c:v>43026</c:v>
                </c:pt>
                <c:pt idx="667">
                  <c:v>43027</c:v>
                </c:pt>
                <c:pt idx="668">
                  <c:v>43028</c:v>
                </c:pt>
                <c:pt idx="669">
                  <c:v>43031</c:v>
                </c:pt>
                <c:pt idx="670">
                  <c:v>43032</c:v>
                </c:pt>
                <c:pt idx="671">
                  <c:v>43033</c:v>
                </c:pt>
                <c:pt idx="672">
                  <c:v>43034</c:v>
                </c:pt>
                <c:pt idx="673">
                  <c:v>43035</c:v>
                </c:pt>
                <c:pt idx="674">
                  <c:v>43038</c:v>
                </c:pt>
                <c:pt idx="675">
                  <c:v>43039</c:v>
                </c:pt>
                <c:pt idx="676">
                  <c:v>43040</c:v>
                </c:pt>
                <c:pt idx="677">
                  <c:v>43041</c:v>
                </c:pt>
                <c:pt idx="678">
                  <c:v>43042</c:v>
                </c:pt>
                <c:pt idx="679">
                  <c:v>43045</c:v>
                </c:pt>
                <c:pt idx="680">
                  <c:v>43046</c:v>
                </c:pt>
                <c:pt idx="681">
                  <c:v>43047</c:v>
                </c:pt>
                <c:pt idx="682">
                  <c:v>43048</c:v>
                </c:pt>
                <c:pt idx="683">
                  <c:v>43049</c:v>
                </c:pt>
                <c:pt idx="684">
                  <c:v>43052</c:v>
                </c:pt>
                <c:pt idx="685">
                  <c:v>43053</c:v>
                </c:pt>
                <c:pt idx="686">
                  <c:v>43054</c:v>
                </c:pt>
                <c:pt idx="687">
                  <c:v>43055</c:v>
                </c:pt>
                <c:pt idx="688">
                  <c:v>43056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43063</c:v>
                </c:pt>
                <c:pt idx="693">
                  <c:v>43066</c:v>
                </c:pt>
                <c:pt idx="694">
                  <c:v>43067</c:v>
                </c:pt>
                <c:pt idx="695">
                  <c:v>43068</c:v>
                </c:pt>
                <c:pt idx="696">
                  <c:v>43069</c:v>
                </c:pt>
                <c:pt idx="697">
                  <c:v>43070</c:v>
                </c:pt>
                <c:pt idx="698">
                  <c:v>43073</c:v>
                </c:pt>
                <c:pt idx="699">
                  <c:v>43074</c:v>
                </c:pt>
                <c:pt idx="700">
                  <c:v>43075</c:v>
                </c:pt>
                <c:pt idx="701">
                  <c:v>43076</c:v>
                </c:pt>
                <c:pt idx="702">
                  <c:v>43077</c:v>
                </c:pt>
                <c:pt idx="703">
                  <c:v>43080</c:v>
                </c:pt>
                <c:pt idx="704">
                  <c:v>43081</c:v>
                </c:pt>
                <c:pt idx="705">
                  <c:v>43082</c:v>
                </c:pt>
                <c:pt idx="706">
                  <c:v>43083</c:v>
                </c:pt>
                <c:pt idx="707">
                  <c:v>43084</c:v>
                </c:pt>
                <c:pt idx="708">
                  <c:v>43087</c:v>
                </c:pt>
                <c:pt idx="709">
                  <c:v>43088</c:v>
                </c:pt>
                <c:pt idx="710">
                  <c:v>43089</c:v>
                </c:pt>
                <c:pt idx="711">
                  <c:v>43090</c:v>
                </c:pt>
                <c:pt idx="712">
                  <c:v>43091</c:v>
                </c:pt>
                <c:pt idx="713">
                  <c:v>43095</c:v>
                </c:pt>
                <c:pt idx="714">
                  <c:v>43096</c:v>
                </c:pt>
                <c:pt idx="715">
                  <c:v>43097</c:v>
                </c:pt>
                <c:pt idx="716">
                  <c:v>43098</c:v>
                </c:pt>
                <c:pt idx="717">
                  <c:v>43102</c:v>
                </c:pt>
                <c:pt idx="718">
                  <c:v>43103</c:v>
                </c:pt>
                <c:pt idx="719">
                  <c:v>43104</c:v>
                </c:pt>
                <c:pt idx="720">
                  <c:v>43105</c:v>
                </c:pt>
                <c:pt idx="721">
                  <c:v>43108</c:v>
                </c:pt>
                <c:pt idx="722">
                  <c:v>43109</c:v>
                </c:pt>
                <c:pt idx="723">
                  <c:v>43110</c:v>
                </c:pt>
                <c:pt idx="724">
                  <c:v>43111</c:v>
                </c:pt>
                <c:pt idx="725">
                  <c:v>43112</c:v>
                </c:pt>
                <c:pt idx="726">
                  <c:v>43116</c:v>
                </c:pt>
                <c:pt idx="727">
                  <c:v>43117</c:v>
                </c:pt>
                <c:pt idx="728">
                  <c:v>43118</c:v>
                </c:pt>
                <c:pt idx="729">
                  <c:v>43119</c:v>
                </c:pt>
                <c:pt idx="730">
                  <c:v>43122</c:v>
                </c:pt>
                <c:pt idx="731">
                  <c:v>43123</c:v>
                </c:pt>
                <c:pt idx="732">
                  <c:v>43124</c:v>
                </c:pt>
                <c:pt idx="733">
                  <c:v>43125</c:v>
                </c:pt>
                <c:pt idx="734">
                  <c:v>43126</c:v>
                </c:pt>
                <c:pt idx="735">
                  <c:v>43129</c:v>
                </c:pt>
                <c:pt idx="736">
                  <c:v>43130</c:v>
                </c:pt>
                <c:pt idx="737">
                  <c:v>43131</c:v>
                </c:pt>
                <c:pt idx="738">
                  <c:v>43132</c:v>
                </c:pt>
                <c:pt idx="739">
                  <c:v>43133</c:v>
                </c:pt>
                <c:pt idx="740">
                  <c:v>43136</c:v>
                </c:pt>
                <c:pt idx="741">
                  <c:v>43137</c:v>
                </c:pt>
                <c:pt idx="742">
                  <c:v>43138</c:v>
                </c:pt>
                <c:pt idx="743">
                  <c:v>43139</c:v>
                </c:pt>
                <c:pt idx="744">
                  <c:v>43140</c:v>
                </c:pt>
                <c:pt idx="745">
                  <c:v>43143</c:v>
                </c:pt>
                <c:pt idx="746">
                  <c:v>43144</c:v>
                </c:pt>
                <c:pt idx="747">
                  <c:v>43145</c:v>
                </c:pt>
                <c:pt idx="748">
                  <c:v>43146</c:v>
                </c:pt>
                <c:pt idx="749">
                  <c:v>43147</c:v>
                </c:pt>
                <c:pt idx="750">
                  <c:v>43151</c:v>
                </c:pt>
                <c:pt idx="751">
                  <c:v>43152</c:v>
                </c:pt>
                <c:pt idx="752">
                  <c:v>43153</c:v>
                </c:pt>
                <c:pt idx="753">
                  <c:v>43154</c:v>
                </c:pt>
                <c:pt idx="754">
                  <c:v>43157</c:v>
                </c:pt>
                <c:pt idx="755">
                  <c:v>43158</c:v>
                </c:pt>
                <c:pt idx="756">
                  <c:v>43159</c:v>
                </c:pt>
                <c:pt idx="757">
                  <c:v>43160</c:v>
                </c:pt>
                <c:pt idx="758">
                  <c:v>43161</c:v>
                </c:pt>
                <c:pt idx="759">
                  <c:v>43164</c:v>
                </c:pt>
                <c:pt idx="760">
                  <c:v>43165</c:v>
                </c:pt>
                <c:pt idx="761">
                  <c:v>43166</c:v>
                </c:pt>
                <c:pt idx="762">
                  <c:v>43167</c:v>
                </c:pt>
                <c:pt idx="763">
                  <c:v>43168</c:v>
                </c:pt>
                <c:pt idx="764">
                  <c:v>43171</c:v>
                </c:pt>
                <c:pt idx="765">
                  <c:v>43172</c:v>
                </c:pt>
                <c:pt idx="766">
                  <c:v>43173</c:v>
                </c:pt>
                <c:pt idx="767">
                  <c:v>43174</c:v>
                </c:pt>
                <c:pt idx="768">
                  <c:v>43175</c:v>
                </c:pt>
                <c:pt idx="769">
                  <c:v>43178</c:v>
                </c:pt>
                <c:pt idx="770">
                  <c:v>43179</c:v>
                </c:pt>
                <c:pt idx="771">
                  <c:v>43180</c:v>
                </c:pt>
                <c:pt idx="772">
                  <c:v>43181</c:v>
                </c:pt>
                <c:pt idx="773">
                  <c:v>43182</c:v>
                </c:pt>
                <c:pt idx="774">
                  <c:v>43185</c:v>
                </c:pt>
                <c:pt idx="775">
                  <c:v>43186</c:v>
                </c:pt>
                <c:pt idx="776">
                  <c:v>43187</c:v>
                </c:pt>
                <c:pt idx="777">
                  <c:v>43188</c:v>
                </c:pt>
                <c:pt idx="778">
                  <c:v>43192</c:v>
                </c:pt>
                <c:pt idx="779">
                  <c:v>43193</c:v>
                </c:pt>
                <c:pt idx="780">
                  <c:v>43194</c:v>
                </c:pt>
                <c:pt idx="781">
                  <c:v>43195</c:v>
                </c:pt>
                <c:pt idx="782">
                  <c:v>43196</c:v>
                </c:pt>
                <c:pt idx="783">
                  <c:v>43199</c:v>
                </c:pt>
                <c:pt idx="784">
                  <c:v>43200</c:v>
                </c:pt>
                <c:pt idx="785">
                  <c:v>43201</c:v>
                </c:pt>
                <c:pt idx="786">
                  <c:v>43202</c:v>
                </c:pt>
                <c:pt idx="787">
                  <c:v>43203</c:v>
                </c:pt>
                <c:pt idx="788">
                  <c:v>43206</c:v>
                </c:pt>
                <c:pt idx="789">
                  <c:v>43207</c:v>
                </c:pt>
                <c:pt idx="790">
                  <c:v>43208</c:v>
                </c:pt>
                <c:pt idx="791">
                  <c:v>43209</c:v>
                </c:pt>
                <c:pt idx="792">
                  <c:v>43210</c:v>
                </c:pt>
                <c:pt idx="793">
                  <c:v>43213</c:v>
                </c:pt>
                <c:pt idx="794">
                  <c:v>43214</c:v>
                </c:pt>
                <c:pt idx="795">
                  <c:v>43215</c:v>
                </c:pt>
                <c:pt idx="796">
                  <c:v>43216</c:v>
                </c:pt>
                <c:pt idx="797">
                  <c:v>43217</c:v>
                </c:pt>
                <c:pt idx="798">
                  <c:v>43220</c:v>
                </c:pt>
                <c:pt idx="799">
                  <c:v>43221</c:v>
                </c:pt>
                <c:pt idx="800">
                  <c:v>43222</c:v>
                </c:pt>
                <c:pt idx="801">
                  <c:v>43223</c:v>
                </c:pt>
                <c:pt idx="802">
                  <c:v>43224</c:v>
                </c:pt>
                <c:pt idx="803">
                  <c:v>43227</c:v>
                </c:pt>
                <c:pt idx="804">
                  <c:v>43228</c:v>
                </c:pt>
                <c:pt idx="805">
                  <c:v>43229</c:v>
                </c:pt>
                <c:pt idx="806">
                  <c:v>43230</c:v>
                </c:pt>
                <c:pt idx="807">
                  <c:v>43231</c:v>
                </c:pt>
                <c:pt idx="808">
                  <c:v>43234</c:v>
                </c:pt>
                <c:pt idx="809">
                  <c:v>43235</c:v>
                </c:pt>
                <c:pt idx="810">
                  <c:v>43236</c:v>
                </c:pt>
                <c:pt idx="811">
                  <c:v>43237</c:v>
                </c:pt>
                <c:pt idx="812">
                  <c:v>43238</c:v>
                </c:pt>
                <c:pt idx="813">
                  <c:v>43241</c:v>
                </c:pt>
                <c:pt idx="814">
                  <c:v>43242</c:v>
                </c:pt>
                <c:pt idx="815">
                  <c:v>43243</c:v>
                </c:pt>
                <c:pt idx="816">
                  <c:v>43244</c:v>
                </c:pt>
                <c:pt idx="817">
                  <c:v>43245</c:v>
                </c:pt>
                <c:pt idx="818">
                  <c:v>43249</c:v>
                </c:pt>
                <c:pt idx="819">
                  <c:v>43250</c:v>
                </c:pt>
                <c:pt idx="820">
                  <c:v>43251</c:v>
                </c:pt>
                <c:pt idx="821">
                  <c:v>43252</c:v>
                </c:pt>
                <c:pt idx="822">
                  <c:v>43255</c:v>
                </c:pt>
                <c:pt idx="823">
                  <c:v>43256</c:v>
                </c:pt>
                <c:pt idx="824">
                  <c:v>43257</c:v>
                </c:pt>
                <c:pt idx="825">
                  <c:v>43258</c:v>
                </c:pt>
                <c:pt idx="826">
                  <c:v>43259</c:v>
                </c:pt>
                <c:pt idx="827">
                  <c:v>43262</c:v>
                </c:pt>
                <c:pt idx="828">
                  <c:v>43263</c:v>
                </c:pt>
                <c:pt idx="829">
                  <c:v>43264</c:v>
                </c:pt>
                <c:pt idx="830">
                  <c:v>43265</c:v>
                </c:pt>
                <c:pt idx="831">
                  <c:v>43266</c:v>
                </c:pt>
                <c:pt idx="832">
                  <c:v>43269</c:v>
                </c:pt>
                <c:pt idx="833">
                  <c:v>43270</c:v>
                </c:pt>
                <c:pt idx="834">
                  <c:v>43271</c:v>
                </c:pt>
                <c:pt idx="835">
                  <c:v>43272</c:v>
                </c:pt>
                <c:pt idx="836">
                  <c:v>43273</c:v>
                </c:pt>
                <c:pt idx="837">
                  <c:v>43276</c:v>
                </c:pt>
                <c:pt idx="838">
                  <c:v>43277</c:v>
                </c:pt>
                <c:pt idx="839">
                  <c:v>43278</c:v>
                </c:pt>
                <c:pt idx="840">
                  <c:v>43279</c:v>
                </c:pt>
                <c:pt idx="841">
                  <c:v>43280</c:v>
                </c:pt>
                <c:pt idx="842">
                  <c:v>43283</c:v>
                </c:pt>
                <c:pt idx="843">
                  <c:v>43284</c:v>
                </c:pt>
                <c:pt idx="844">
                  <c:v>43286</c:v>
                </c:pt>
                <c:pt idx="845">
                  <c:v>43287</c:v>
                </c:pt>
                <c:pt idx="846">
                  <c:v>43290</c:v>
                </c:pt>
                <c:pt idx="847">
                  <c:v>43291</c:v>
                </c:pt>
                <c:pt idx="848">
                  <c:v>43292</c:v>
                </c:pt>
                <c:pt idx="849">
                  <c:v>43293</c:v>
                </c:pt>
                <c:pt idx="850">
                  <c:v>43294</c:v>
                </c:pt>
                <c:pt idx="851">
                  <c:v>43297</c:v>
                </c:pt>
                <c:pt idx="852">
                  <c:v>43298</c:v>
                </c:pt>
                <c:pt idx="853">
                  <c:v>43299</c:v>
                </c:pt>
                <c:pt idx="854">
                  <c:v>43300</c:v>
                </c:pt>
                <c:pt idx="855">
                  <c:v>43301</c:v>
                </c:pt>
                <c:pt idx="856">
                  <c:v>43304</c:v>
                </c:pt>
                <c:pt idx="857">
                  <c:v>43305</c:v>
                </c:pt>
                <c:pt idx="858">
                  <c:v>43306</c:v>
                </c:pt>
                <c:pt idx="859">
                  <c:v>43307</c:v>
                </c:pt>
                <c:pt idx="860">
                  <c:v>43308</c:v>
                </c:pt>
                <c:pt idx="861">
                  <c:v>43311</c:v>
                </c:pt>
                <c:pt idx="862">
                  <c:v>43312</c:v>
                </c:pt>
                <c:pt idx="863">
                  <c:v>43313</c:v>
                </c:pt>
                <c:pt idx="864">
                  <c:v>43314</c:v>
                </c:pt>
                <c:pt idx="865">
                  <c:v>43315</c:v>
                </c:pt>
                <c:pt idx="866">
                  <c:v>43318</c:v>
                </c:pt>
                <c:pt idx="867">
                  <c:v>43319</c:v>
                </c:pt>
                <c:pt idx="868">
                  <c:v>43320</c:v>
                </c:pt>
                <c:pt idx="869">
                  <c:v>43321</c:v>
                </c:pt>
                <c:pt idx="870">
                  <c:v>43322</c:v>
                </c:pt>
                <c:pt idx="871">
                  <c:v>43325</c:v>
                </c:pt>
                <c:pt idx="872">
                  <c:v>43326</c:v>
                </c:pt>
                <c:pt idx="873">
                  <c:v>43327</c:v>
                </c:pt>
                <c:pt idx="874">
                  <c:v>43328</c:v>
                </c:pt>
                <c:pt idx="875">
                  <c:v>43329</c:v>
                </c:pt>
                <c:pt idx="876">
                  <c:v>43332</c:v>
                </c:pt>
                <c:pt idx="877">
                  <c:v>43333</c:v>
                </c:pt>
                <c:pt idx="878">
                  <c:v>43334</c:v>
                </c:pt>
                <c:pt idx="879">
                  <c:v>43335</c:v>
                </c:pt>
                <c:pt idx="880">
                  <c:v>43336</c:v>
                </c:pt>
                <c:pt idx="881">
                  <c:v>43339</c:v>
                </c:pt>
                <c:pt idx="882">
                  <c:v>43340</c:v>
                </c:pt>
                <c:pt idx="883">
                  <c:v>43341</c:v>
                </c:pt>
                <c:pt idx="884">
                  <c:v>43342</c:v>
                </c:pt>
                <c:pt idx="885">
                  <c:v>43343</c:v>
                </c:pt>
                <c:pt idx="886">
                  <c:v>43347</c:v>
                </c:pt>
                <c:pt idx="887">
                  <c:v>43348</c:v>
                </c:pt>
                <c:pt idx="888">
                  <c:v>43349</c:v>
                </c:pt>
                <c:pt idx="889">
                  <c:v>43350</c:v>
                </c:pt>
                <c:pt idx="890">
                  <c:v>43353</c:v>
                </c:pt>
                <c:pt idx="891">
                  <c:v>43354</c:v>
                </c:pt>
                <c:pt idx="892">
                  <c:v>43355</c:v>
                </c:pt>
                <c:pt idx="893">
                  <c:v>43356</c:v>
                </c:pt>
                <c:pt idx="894">
                  <c:v>43357</c:v>
                </c:pt>
                <c:pt idx="895">
                  <c:v>43360</c:v>
                </c:pt>
                <c:pt idx="896">
                  <c:v>43361</c:v>
                </c:pt>
                <c:pt idx="897">
                  <c:v>43362</c:v>
                </c:pt>
                <c:pt idx="898">
                  <c:v>43363</c:v>
                </c:pt>
                <c:pt idx="899">
                  <c:v>43364</c:v>
                </c:pt>
                <c:pt idx="900">
                  <c:v>43367</c:v>
                </c:pt>
                <c:pt idx="901">
                  <c:v>43368</c:v>
                </c:pt>
                <c:pt idx="902">
                  <c:v>43369</c:v>
                </c:pt>
                <c:pt idx="903">
                  <c:v>43370</c:v>
                </c:pt>
                <c:pt idx="904">
                  <c:v>43371</c:v>
                </c:pt>
                <c:pt idx="905">
                  <c:v>43374</c:v>
                </c:pt>
                <c:pt idx="906">
                  <c:v>43375</c:v>
                </c:pt>
                <c:pt idx="907">
                  <c:v>43376</c:v>
                </c:pt>
                <c:pt idx="908">
                  <c:v>43377</c:v>
                </c:pt>
                <c:pt idx="909">
                  <c:v>43378</c:v>
                </c:pt>
                <c:pt idx="910">
                  <c:v>43381</c:v>
                </c:pt>
                <c:pt idx="911">
                  <c:v>43382</c:v>
                </c:pt>
                <c:pt idx="912">
                  <c:v>43383</c:v>
                </c:pt>
                <c:pt idx="913">
                  <c:v>43384</c:v>
                </c:pt>
                <c:pt idx="914">
                  <c:v>43385</c:v>
                </c:pt>
                <c:pt idx="915">
                  <c:v>43388</c:v>
                </c:pt>
                <c:pt idx="916">
                  <c:v>43389</c:v>
                </c:pt>
                <c:pt idx="917">
                  <c:v>43390</c:v>
                </c:pt>
                <c:pt idx="918">
                  <c:v>43391</c:v>
                </c:pt>
                <c:pt idx="919">
                  <c:v>43392</c:v>
                </c:pt>
                <c:pt idx="920">
                  <c:v>43395</c:v>
                </c:pt>
                <c:pt idx="921">
                  <c:v>43396</c:v>
                </c:pt>
                <c:pt idx="922">
                  <c:v>43397</c:v>
                </c:pt>
                <c:pt idx="923">
                  <c:v>43398</c:v>
                </c:pt>
                <c:pt idx="924">
                  <c:v>43399</c:v>
                </c:pt>
                <c:pt idx="925">
                  <c:v>43402</c:v>
                </c:pt>
                <c:pt idx="926">
                  <c:v>43403</c:v>
                </c:pt>
                <c:pt idx="927">
                  <c:v>43404</c:v>
                </c:pt>
                <c:pt idx="928">
                  <c:v>43405</c:v>
                </c:pt>
                <c:pt idx="929">
                  <c:v>43406</c:v>
                </c:pt>
                <c:pt idx="930">
                  <c:v>43409</c:v>
                </c:pt>
                <c:pt idx="931">
                  <c:v>43410</c:v>
                </c:pt>
                <c:pt idx="932">
                  <c:v>43411</c:v>
                </c:pt>
                <c:pt idx="933">
                  <c:v>43412</c:v>
                </c:pt>
                <c:pt idx="934">
                  <c:v>43413</c:v>
                </c:pt>
                <c:pt idx="935">
                  <c:v>43416</c:v>
                </c:pt>
                <c:pt idx="936">
                  <c:v>43417</c:v>
                </c:pt>
                <c:pt idx="937">
                  <c:v>43418</c:v>
                </c:pt>
                <c:pt idx="938">
                  <c:v>43419</c:v>
                </c:pt>
                <c:pt idx="939">
                  <c:v>43420</c:v>
                </c:pt>
                <c:pt idx="940">
                  <c:v>43423</c:v>
                </c:pt>
                <c:pt idx="941">
                  <c:v>43424</c:v>
                </c:pt>
                <c:pt idx="942">
                  <c:v>43425</c:v>
                </c:pt>
                <c:pt idx="943">
                  <c:v>43427</c:v>
                </c:pt>
                <c:pt idx="944">
                  <c:v>43430</c:v>
                </c:pt>
                <c:pt idx="945">
                  <c:v>43431</c:v>
                </c:pt>
                <c:pt idx="946">
                  <c:v>43432</c:v>
                </c:pt>
                <c:pt idx="947">
                  <c:v>43433</c:v>
                </c:pt>
                <c:pt idx="948">
                  <c:v>43434</c:v>
                </c:pt>
                <c:pt idx="949">
                  <c:v>43437</c:v>
                </c:pt>
                <c:pt idx="950">
                  <c:v>43438</c:v>
                </c:pt>
                <c:pt idx="951">
                  <c:v>43440</c:v>
                </c:pt>
                <c:pt idx="952">
                  <c:v>43441</c:v>
                </c:pt>
                <c:pt idx="953">
                  <c:v>43444</c:v>
                </c:pt>
                <c:pt idx="954">
                  <c:v>43445</c:v>
                </c:pt>
                <c:pt idx="955">
                  <c:v>43446</c:v>
                </c:pt>
                <c:pt idx="956">
                  <c:v>43447</c:v>
                </c:pt>
                <c:pt idx="957">
                  <c:v>43448</c:v>
                </c:pt>
                <c:pt idx="958">
                  <c:v>43451</c:v>
                </c:pt>
                <c:pt idx="959">
                  <c:v>43452</c:v>
                </c:pt>
                <c:pt idx="960">
                  <c:v>43453</c:v>
                </c:pt>
                <c:pt idx="961">
                  <c:v>43454</c:v>
                </c:pt>
                <c:pt idx="962">
                  <c:v>43455</c:v>
                </c:pt>
                <c:pt idx="963">
                  <c:v>43458</c:v>
                </c:pt>
                <c:pt idx="964">
                  <c:v>43460</c:v>
                </c:pt>
                <c:pt idx="965">
                  <c:v>43461</c:v>
                </c:pt>
                <c:pt idx="966">
                  <c:v>43462</c:v>
                </c:pt>
                <c:pt idx="967">
                  <c:v>43465</c:v>
                </c:pt>
                <c:pt idx="968">
                  <c:v>43467</c:v>
                </c:pt>
                <c:pt idx="969">
                  <c:v>43468</c:v>
                </c:pt>
                <c:pt idx="970">
                  <c:v>43469</c:v>
                </c:pt>
                <c:pt idx="971">
                  <c:v>43472</c:v>
                </c:pt>
                <c:pt idx="972">
                  <c:v>43473</c:v>
                </c:pt>
                <c:pt idx="973">
                  <c:v>43474</c:v>
                </c:pt>
                <c:pt idx="974">
                  <c:v>43475</c:v>
                </c:pt>
                <c:pt idx="975">
                  <c:v>43476</c:v>
                </c:pt>
                <c:pt idx="976">
                  <c:v>43479</c:v>
                </c:pt>
                <c:pt idx="977">
                  <c:v>43480</c:v>
                </c:pt>
                <c:pt idx="978">
                  <c:v>43481</c:v>
                </c:pt>
                <c:pt idx="979">
                  <c:v>43482</c:v>
                </c:pt>
                <c:pt idx="980">
                  <c:v>43483</c:v>
                </c:pt>
                <c:pt idx="981">
                  <c:v>43487</c:v>
                </c:pt>
                <c:pt idx="982">
                  <c:v>43488</c:v>
                </c:pt>
                <c:pt idx="983">
                  <c:v>43489</c:v>
                </c:pt>
                <c:pt idx="984">
                  <c:v>43490</c:v>
                </c:pt>
                <c:pt idx="985">
                  <c:v>43493</c:v>
                </c:pt>
                <c:pt idx="986">
                  <c:v>43494</c:v>
                </c:pt>
                <c:pt idx="987">
                  <c:v>43495</c:v>
                </c:pt>
                <c:pt idx="988">
                  <c:v>43496</c:v>
                </c:pt>
                <c:pt idx="989">
                  <c:v>43497</c:v>
                </c:pt>
                <c:pt idx="990">
                  <c:v>43500</c:v>
                </c:pt>
                <c:pt idx="991">
                  <c:v>43501</c:v>
                </c:pt>
                <c:pt idx="992">
                  <c:v>43502</c:v>
                </c:pt>
                <c:pt idx="993">
                  <c:v>43503</c:v>
                </c:pt>
                <c:pt idx="994">
                  <c:v>43504</c:v>
                </c:pt>
                <c:pt idx="995">
                  <c:v>43507</c:v>
                </c:pt>
                <c:pt idx="996">
                  <c:v>43508</c:v>
                </c:pt>
                <c:pt idx="997">
                  <c:v>43509</c:v>
                </c:pt>
                <c:pt idx="998">
                  <c:v>43510</c:v>
                </c:pt>
                <c:pt idx="999">
                  <c:v>43511</c:v>
                </c:pt>
                <c:pt idx="1000">
                  <c:v>43515</c:v>
                </c:pt>
                <c:pt idx="1001">
                  <c:v>43516</c:v>
                </c:pt>
                <c:pt idx="1002">
                  <c:v>43517</c:v>
                </c:pt>
                <c:pt idx="1003">
                  <c:v>43518</c:v>
                </c:pt>
                <c:pt idx="1004">
                  <c:v>43521</c:v>
                </c:pt>
                <c:pt idx="1005">
                  <c:v>43522</c:v>
                </c:pt>
                <c:pt idx="1006">
                  <c:v>43523</c:v>
                </c:pt>
                <c:pt idx="1007">
                  <c:v>43524</c:v>
                </c:pt>
                <c:pt idx="1008">
                  <c:v>43525</c:v>
                </c:pt>
                <c:pt idx="1009">
                  <c:v>43528</c:v>
                </c:pt>
                <c:pt idx="1010">
                  <c:v>43529</c:v>
                </c:pt>
                <c:pt idx="1011">
                  <c:v>43530</c:v>
                </c:pt>
                <c:pt idx="1012">
                  <c:v>43531</c:v>
                </c:pt>
                <c:pt idx="1013">
                  <c:v>43532</c:v>
                </c:pt>
                <c:pt idx="1014">
                  <c:v>43535</c:v>
                </c:pt>
                <c:pt idx="1015">
                  <c:v>43536</c:v>
                </c:pt>
                <c:pt idx="1016">
                  <c:v>43537</c:v>
                </c:pt>
                <c:pt idx="1017">
                  <c:v>43538</c:v>
                </c:pt>
                <c:pt idx="1018">
                  <c:v>43539</c:v>
                </c:pt>
                <c:pt idx="1019">
                  <c:v>43542</c:v>
                </c:pt>
                <c:pt idx="1020">
                  <c:v>43543</c:v>
                </c:pt>
                <c:pt idx="1021">
                  <c:v>43544</c:v>
                </c:pt>
                <c:pt idx="1022">
                  <c:v>43545</c:v>
                </c:pt>
                <c:pt idx="1023">
                  <c:v>43546</c:v>
                </c:pt>
                <c:pt idx="1024">
                  <c:v>43549</c:v>
                </c:pt>
                <c:pt idx="1025">
                  <c:v>43550</c:v>
                </c:pt>
                <c:pt idx="1026">
                  <c:v>43551</c:v>
                </c:pt>
                <c:pt idx="1027">
                  <c:v>43552</c:v>
                </c:pt>
                <c:pt idx="1028">
                  <c:v>43553</c:v>
                </c:pt>
                <c:pt idx="1029">
                  <c:v>43556</c:v>
                </c:pt>
                <c:pt idx="1030">
                  <c:v>43557</c:v>
                </c:pt>
                <c:pt idx="1031">
                  <c:v>43558</c:v>
                </c:pt>
                <c:pt idx="1032">
                  <c:v>43559</c:v>
                </c:pt>
                <c:pt idx="1033">
                  <c:v>43560</c:v>
                </c:pt>
                <c:pt idx="1034">
                  <c:v>43563</c:v>
                </c:pt>
                <c:pt idx="1035">
                  <c:v>43564</c:v>
                </c:pt>
                <c:pt idx="1036">
                  <c:v>43565</c:v>
                </c:pt>
                <c:pt idx="1037">
                  <c:v>43566</c:v>
                </c:pt>
                <c:pt idx="1038">
                  <c:v>43567</c:v>
                </c:pt>
                <c:pt idx="1039">
                  <c:v>43570</c:v>
                </c:pt>
                <c:pt idx="1040">
                  <c:v>43571</c:v>
                </c:pt>
                <c:pt idx="1041">
                  <c:v>43572</c:v>
                </c:pt>
                <c:pt idx="1042">
                  <c:v>43573</c:v>
                </c:pt>
                <c:pt idx="1043">
                  <c:v>43577</c:v>
                </c:pt>
                <c:pt idx="1044">
                  <c:v>43578</c:v>
                </c:pt>
                <c:pt idx="1045">
                  <c:v>43579</c:v>
                </c:pt>
                <c:pt idx="1046">
                  <c:v>43580</c:v>
                </c:pt>
                <c:pt idx="1047">
                  <c:v>43581</c:v>
                </c:pt>
                <c:pt idx="1048">
                  <c:v>43584</c:v>
                </c:pt>
                <c:pt idx="1049">
                  <c:v>43585</c:v>
                </c:pt>
                <c:pt idx="1050">
                  <c:v>43586</c:v>
                </c:pt>
                <c:pt idx="1051">
                  <c:v>43587</c:v>
                </c:pt>
                <c:pt idx="1052">
                  <c:v>43588</c:v>
                </c:pt>
                <c:pt idx="1053">
                  <c:v>43591</c:v>
                </c:pt>
                <c:pt idx="1054">
                  <c:v>43592</c:v>
                </c:pt>
                <c:pt idx="1055">
                  <c:v>43593</c:v>
                </c:pt>
                <c:pt idx="1056">
                  <c:v>43594</c:v>
                </c:pt>
                <c:pt idx="1057">
                  <c:v>43595</c:v>
                </c:pt>
                <c:pt idx="1058">
                  <c:v>43598</c:v>
                </c:pt>
                <c:pt idx="1059">
                  <c:v>43599</c:v>
                </c:pt>
                <c:pt idx="1060">
                  <c:v>43600</c:v>
                </c:pt>
                <c:pt idx="1061">
                  <c:v>43601</c:v>
                </c:pt>
                <c:pt idx="1062">
                  <c:v>43602</c:v>
                </c:pt>
                <c:pt idx="1063">
                  <c:v>43605</c:v>
                </c:pt>
                <c:pt idx="1064">
                  <c:v>43606</c:v>
                </c:pt>
                <c:pt idx="1065">
                  <c:v>43607</c:v>
                </c:pt>
                <c:pt idx="1066">
                  <c:v>43608</c:v>
                </c:pt>
                <c:pt idx="1067">
                  <c:v>43609</c:v>
                </c:pt>
                <c:pt idx="1068">
                  <c:v>43613</c:v>
                </c:pt>
                <c:pt idx="1069">
                  <c:v>43614</c:v>
                </c:pt>
                <c:pt idx="1070">
                  <c:v>43615</c:v>
                </c:pt>
                <c:pt idx="1071">
                  <c:v>43616</c:v>
                </c:pt>
                <c:pt idx="1072">
                  <c:v>43619</c:v>
                </c:pt>
                <c:pt idx="1073">
                  <c:v>43620</c:v>
                </c:pt>
                <c:pt idx="1074">
                  <c:v>43621</c:v>
                </c:pt>
                <c:pt idx="1075">
                  <c:v>43622</c:v>
                </c:pt>
                <c:pt idx="1076">
                  <c:v>43623</c:v>
                </c:pt>
                <c:pt idx="1077">
                  <c:v>43626</c:v>
                </c:pt>
                <c:pt idx="1078">
                  <c:v>43627</c:v>
                </c:pt>
                <c:pt idx="1079">
                  <c:v>43628</c:v>
                </c:pt>
                <c:pt idx="1080">
                  <c:v>43629</c:v>
                </c:pt>
                <c:pt idx="1081">
                  <c:v>43630</c:v>
                </c:pt>
                <c:pt idx="1082">
                  <c:v>43633</c:v>
                </c:pt>
                <c:pt idx="1083">
                  <c:v>43634</c:v>
                </c:pt>
                <c:pt idx="1084">
                  <c:v>43635</c:v>
                </c:pt>
                <c:pt idx="1085">
                  <c:v>43636</c:v>
                </c:pt>
                <c:pt idx="1086">
                  <c:v>43637</c:v>
                </c:pt>
                <c:pt idx="1087">
                  <c:v>43640</c:v>
                </c:pt>
                <c:pt idx="1088">
                  <c:v>43641</c:v>
                </c:pt>
                <c:pt idx="1089">
                  <c:v>43642</c:v>
                </c:pt>
                <c:pt idx="1090">
                  <c:v>43643</c:v>
                </c:pt>
                <c:pt idx="1091">
                  <c:v>43644</c:v>
                </c:pt>
                <c:pt idx="1092">
                  <c:v>43647</c:v>
                </c:pt>
                <c:pt idx="1093">
                  <c:v>43648</c:v>
                </c:pt>
                <c:pt idx="1094">
                  <c:v>43649</c:v>
                </c:pt>
                <c:pt idx="1095">
                  <c:v>43651</c:v>
                </c:pt>
                <c:pt idx="1096">
                  <c:v>43654</c:v>
                </c:pt>
                <c:pt idx="1097">
                  <c:v>43655</c:v>
                </c:pt>
                <c:pt idx="1098">
                  <c:v>43656</c:v>
                </c:pt>
                <c:pt idx="1099">
                  <c:v>43657</c:v>
                </c:pt>
                <c:pt idx="1100">
                  <c:v>43658</c:v>
                </c:pt>
                <c:pt idx="1101">
                  <c:v>43661</c:v>
                </c:pt>
                <c:pt idx="1102">
                  <c:v>43662</c:v>
                </c:pt>
                <c:pt idx="1103">
                  <c:v>43663</c:v>
                </c:pt>
                <c:pt idx="1104">
                  <c:v>43664</c:v>
                </c:pt>
                <c:pt idx="1105">
                  <c:v>43665</c:v>
                </c:pt>
                <c:pt idx="1106">
                  <c:v>43668</c:v>
                </c:pt>
                <c:pt idx="1107">
                  <c:v>43669</c:v>
                </c:pt>
                <c:pt idx="1108">
                  <c:v>43670</c:v>
                </c:pt>
                <c:pt idx="1109">
                  <c:v>43671</c:v>
                </c:pt>
                <c:pt idx="1110">
                  <c:v>43672</c:v>
                </c:pt>
                <c:pt idx="1111">
                  <c:v>43675</c:v>
                </c:pt>
                <c:pt idx="1112">
                  <c:v>43676</c:v>
                </c:pt>
                <c:pt idx="1113">
                  <c:v>43677</c:v>
                </c:pt>
                <c:pt idx="1114">
                  <c:v>43678</c:v>
                </c:pt>
                <c:pt idx="1115">
                  <c:v>43679</c:v>
                </c:pt>
                <c:pt idx="1116">
                  <c:v>43682</c:v>
                </c:pt>
                <c:pt idx="1117">
                  <c:v>43683</c:v>
                </c:pt>
                <c:pt idx="1118">
                  <c:v>43684</c:v>
                </c:pt>
                <c:pt idx="1119">
                  <c:v>43685</c:v>
                </c:pt>
                <c:pt idx="1120">
                  <c:v>43686</c:v>
                </c:pt>
                <c:pt idx="1121">
                  <c:v>43689</c:v>
                </c:pt>
                <c:pt idx="1122">
                  <c:v>43690</c:v>
                </c:pt>
                <c:pt idx="1123">
                  <c:v>43691</c:v>
                </c:pt>
                <c:pt idx="1124">
                  <c:v>43692</c:v>
                </c:pt>
                <c:pt idx="1125">
                  <c:v>43693</c:v>
                </c:pt>
                <c:pt idx="1126">
                  <c:v>43696</c:v>
                </c:pt>
                <c:pt idx="1127">
                  <c:v>43697</c:v>
                </c:pt>
                <c:pt idx="1128">
                  <c:v>43698</c:v>
                </c:pt>
                <c:pt idx="1129">
                  <c:v>43699</c:v>
                </c:pt>
                <c:pt idx="1130">
                  <c:v>43700</c:v>
                </c:pt>
                <c:pt idx="1131">
                  <c:v>43703</c:v>
                </c:pt>
                <c:pt idx="1132">
                  <c:v>43704</c:v>
                </c:pt>
                <c:pt idx="1133">
                  <c:v>43705</c:v>
                </c:pt>
                <c:pt idx="1134">
                  <c:v>43706</c:v>
                </c:pt>
                <c:pt idx="1135">
                  <c:v>43707</c:v>
                </c:pt>
                <c:pt idx="1136">
                  <c:v>43711</c:v>
                </c:pt>
                <c:pt idx="1137">
                  <c:v>43712</c:v>
                </c:pt>
                <c:pt idx="1138">
                  <c:v>43713</c:v>
                </c:pt>
                <c:pt idx="1139">
                  <c:v>43714</c:v>
                </c:pt>
                <c:pt idx="1140">
                  <c:v>43717</c:v>
                </c:pt>
                <c:pt idx="1141">
                  <c:v>43718</c:v>
                </c:pt>
                <c:pt idx="1142">
                  <c:v>43719</c:v>
                </c:pt>
                <c:pt idx="1143">
                  <c:v>43720</c:v>
                </c:pt>
                <c:pt idx="1144">
                  <c:v>43721</c:v>
                </c:pt>
                <c:pt idx="1145">
                  <c:v>43724</c:v>
                </c:pt>
                <c:pt idx="1146">
                  <c:v>43725</c:v>
                </c:pt>
                <c:pt idx="1147">
                  <c:v>43726</c:v>
                </c:pt>
                <c:pt idx="1148">
                  <c:v>43727</c:v>
                </c:pt>
                <c:pt idx="1149">
                  <c:v>43728</c:v>
                </c:pt>
                <c:pt idx="1150">
                  <c:v>43731</c:v>
                </c:pt>
                <c:pt idx="1151">
                  <c:v>43732</c:v>
                </c:pt>
                <c:pt idx="1152">
                  <c:v>43733</c:v>
                </c:pt>
                <c:pt idx="1153">
                  <c:v>43734</c:v>
                </c:pt>
                <c:pt idx="1154">
                  <c:v>43735</c:v>
                </c:pt>
                <c:pt idx="1155">
                  <c:v>43738</c:v>
                </c:pt>
                <c:pt idx="1156">
                  <c:v>43739</c:v>
                </c:pt>
                <c:pt idx="1157">
                  <c:v>43740</c:v>
                </c:pt>
                <c:pt idx="1158">
                  <c:v>43741</c:v>
                </c:pt>
                <c:pt idx="1159">
                  <c:v>43742</c:v>
                </c:pt>
                <c:pt idx="1160">
                  <c:v>43745</c:v>
                </c:pt>
                <c:pt idx="1161">
                  <c:v>43746</c:v>
                </c:pt>
                <c:pt idx="1162">
                  <c:v>43747</c:v>
                </c:pt>
                <c:pt idx="1163">
                  <c:v>43748</c:v>
                </c:pt>
                <c:pt idx="1164">
                  <c:v>43749</c:v>
                </c:pt>
                <c:pt idx="1165">
                  <c:v>43752</c:v>
                </c:pt>
                <c:pt idx="1166">
                  <c:v>43753</c:v>
                </c:pt>
                <c:pt idx="1167">
                  <c:v>43754</c:v>
                </c:pt>
                <c:pt idx="1168">
                  <c:v>43755</c:v>
                </c:pt>
                <c:pt idx="1169">
                  <c:v>43756</c:v>
                </c:pt>
                <c:pt idx="1170">
                  <c:v>43759</c:v>
                </c:pt>
                <c:pt idx="1171">
                  <c:v>43760</c:v>
                </c:pt>
                <c:pt idx="1172">
                  <c:v>43761</c:v>
                </c:pt>
                <c:pt idx="1173">
                  <c:v>43762</c:v>
                </c:pt>
                <c:pt idx="1174">
                  <c:v>43763</c:v>
                </c:pt>
                <c:pt idx="1175">
                  <c:v>43766</c:v>
                </c:pt>
                <c:pt idx="1176">
                  <c:v>43767</c:v>
                </c:pt>
                <c:pt idx="1177">
                  <c:v>43768</c:v>
                </c:pt>
                <c:pt idx="1178">
                  <c:v>43769</c:v>
                </c:pt>
                <c:pt idx="1179">
                  <c:v>43770</c:v>
                </c:pt>
                <c:pt idx="1180">
                  <c:v>43773</c:v>
                </c:pt>
                <c:pt idx="1181">
                  <c:v>43774</c:v>
                </c:pt>
                <c:pt idx="1182">
                  <c:v>43775</c:v>
                </c:pt>
                <c:pt idx="1183">
                  <c:v>43776</c:v>
                </c:pt>
                <c:pt idx="1184">
                  <c:v>43777</c:v>
                </c:pt>
                <c:pt idx="1185">
                  <c:v>43780</c:v>
                </c:pt>
                <c:pt idx="1186">
                  <c:v>43781</c:v>
                </c:pt>
                <c:pt idx="1187">
                  <c:v>43782</c:v>
                </c:pt>
                <c:pt idx="1188">
                  <c:v>43783</c:v>
                </c:pt>
                <c:pt idx="1189">
                  <c:v>43784</c:v>
                </c:pt>
                <c:pt idx="1190">
                  <c:v>43787</c:v>
                </c:pt>
                <c:pt idx="1191">
                  <c:v>43788</c:v>
                </c:pt>
                <c:pt idx="1192">
                  <c:v>43789</c:v>
                </c:pt>
                <c:pt idx="1193">
                  <c:v>43790</c:v>
                </c:pt>
                <c:pt idx="1194">
                  <c:v>43791</c:v>
                </c:pt>
                <c:pt idx="1195">
                  <c:v>43794</c:v>
                </c:pt>
                <c:pt idx="1196">
                  <c:v>43795</c:v>
                </c:pt>
                <c:pt idx="1197">
                  <c:v>43796</c:v>
                </c:pt>
                <c:pt idx="1198">
                  <c:v>43798</c:v>
                </c:pt>
                <c:pt idx="1199">
                  <c:v>43801</c:v>
                </c:pt>
                <c:pt idx="1200">
                  <c:v>43802</c:v>
                </c:pt>
                <c:pt idx="1201">
                  <c:v>43803</c:v>
                </c:pt>
                <c:pt idx="1202">
                  <c:v>43804</c:v>
                </c:pt>
                <c:pt idx="1203">
                  <c:v>43805</c:v>
                </c:pt>
                <c:pt idx="1204">
                  <c:v>43808</c:v>
                </c:pt>
                <c:pt idx="1205">
                  <c:v>43809</c:v>
                </c:pt>
                <c:pt idx="1206">
                  <c:v>43810</c:v>
                </c:pt>
                <c:pt idx="1207">
                  <c:v>43811</c:v>
                </c:pt>
                <c:pt idx="1208">
                  <c:v>43812</c:v>
                </c:pt>
                <c:pt idx="1209">
                  <c:v>43815</c:v>
                </c:pt>
                <c:pt idx="1210">
                  <c:v>43816</c:v>
                </c:pt>
                <c:pt idx="1211">
                  <c:v>43817</c:v>
                </c:pt>
                <c:pt idx="1212">
                  <c:v>43818</c:v>
                </c:pt>
                <c:pt idx="1213">
                  <c:v>43819</c:v>
                </c:pt>
                <c:pt idx="1214">
                  <c:v>43822</c:v>
                </c:pt>
                <c:pt idx="1215">
                  <c:v>43823</c:v>
                </c:pt>
                <c:pt idx="1216">
                  <c:v>43825</c:v>
                </c:pt>
                <c:pt idx="1217">
                  <c:v>43826</c:v>
                </c:pt>
                <c:pt idx="1218">
                  <c:v>43829</c:v>
                </c:pt>
                <c:pt idx="1219">
                  <c:v>43830</c:v>
                </c:pt>
                <c:pt idx="1220">
                  <c:v>43832</c:v>
                </c:pt>
                <c:pt idx="1221">
                  <c:v>43833</c:v>
                </c:pt>
                <c:pt idx="1222">
                  <c:v>43836</c:v>
                </c:pt>
                <c:pt idx="1223">
                  <c:v>43837</c:v>
                </c:pt>
                <c:pt idx="1224">
                  <c:v>43838</c:v>
                </c:pt>
                <c:pt idx="1225">
                  <c:v>43839</c:v>
                </c:pt>
                <c:pt idx="1226">
                  <c:v>43840</c:v>
                </c:pt>
                <c:pt idx="1227">
                  <c:v>43843</c:v>
                </c:pt>
                <c:pt idx="1228">
                  <c:v>43844</c:v>
                </c:pt>
                <c:pt idx="1229">
                  <c:v>43845</c:v>
                </c:pt>
                <c:pt idx="1230">
                  <c:v>43846</c:v>
                </c:pt>
                <c:pt idx="1231">
                  <c:v>43847</c:v>
                </c:pt>
                <c:pt idx="1232">
                  <c:v>43851</c:v>
                </c:pt>
                <c:pt idx="1233">
                  <c:v>43852</c:v>
                </c:pt>
                <c:pt idx="1234">
                  <c:v>43853</c:v>
                </c:pt>
                <c:pt idx="1235">
                  <c:v>43854</c:v>
                </c:pt>
                <c:pt idx="1236">
                  <c:v>43857</c:v>
                </c:pt>
                <c:pt idx="1237">
                  <c:v>43858</c:v>
                </c:pt>
                <c:pt idx="1238">
                  <c:v>43859</c:v>
                </c:pt>
                <c:pt idx="1239">
                  <c:v>43860</c:v>
                </c:pt>
                <c:pt idx="1240">
                  <c:v>43861</c:v>
                </c:pt>
                <c:pt idx="1241">
                  <c:v>43864</c:v>
                </c:pt>
                <c:pt idx="1242">
                  <c:v>43865</c:v>
                </c:pt>
                <c:pt idx="1243">
                  <c:v>43866</c:v>
                </c:pt>
                <c:pt idx="1244">
                  <c:v>43867</c:v>
                </c:pt>
                <c:pt idx="1245">
                  <c:v>43868</c:v>
                </c:pt>
                <c:pt idx="1246">
                  <c:v>43871</c:v>
                </c:pt>
                <c:pt idx="1247">
                  <c:v>43872</c:v>
                </c:pt>
                <c:pt idx="1248">
                  <c:v>43873</c:v>
                </c:pt>
                <c:pt idx="1249">
                  <c:v>43874</c:v>
                </c:pt>
                <c:pt idx="1250">
                  <c:v>43875</c:v>
                </c:pt>
                <c:pt idx="1251">
                  <c:v>43879</c:v>
                </c:pt>
                <c:pt idx="1252">
                  <c:v>43880</c:v>
                </c:pt>
                <c:pt idx="1253">
                  <c:v>43881</c:v>
                </c:pt>
                <c:pt idx="1254">
                  <c:v>43882</c:v>
                </c:pt>
                <c:pt idx="1255">
                  <c:v>43885</c:v>
                </c:pt>
                <c:pt idx="1256">
                  <c:v>43886</c:v>
                </c:pt>
                <c:pt idx="1257">
                  <c:v>43887</c:v>
                </c:pt>
                <c:pt idx="1258">
                  <c:v>43888</c:v>
                </c:pt>
                <c:pt idx="1259">
                  <c:v>43889</c:v>
                </c:pt>
                <c:pt idx="1260">
                  <c:v>43892</c:v>
                </c:pt>
                <c:pt idx="1261">
                  <c:v>43893</c:v>
                </c:pt>
                <c:pt idx="1262">
                  <c:v>43894</c:v>
                </c:pt>
                <c:pt idx="1263">
                  <c:v>43895</c:v>
                </c:pt>
                <c:pt idx="1264">
                  <c:v>43896</c:v>
                </c:pt>
                <c:pt idx="1265">
                  <c:v>43899</c:v>
                </c:pt>
                <c:pt idx="1266">
                  <c:v>43900</c:v>
                </c:pt>
                <c:pt idx="1267">
                  <c:v>43901</c:v>
                </c:pt>
                <c:pt idx="1268">
                  <c:v>43902</c:v>
                </c:pt>
                <c:pt idx="1269">
                  <c:v>43903</c:v>
                </c:pt>
                <c:pt idx="1270">
                  <c:v>43906</c:v>
                </c:pt>
                <c:pt idx="1271">
                  <c:v>43907</c:v>
                </c:pt>
                <c:pt idx="1272">
                  <c:v>43908</c:v>
                </c:pt>
                <c:pt idx="1273">
                  <c:v>43909</c:v>
                </c:pt>
                <c:pt idx="1274">
                  <c:v>43910</c:v>
                </c:pt>
                <c:pt idx="1275">
                  <c:v>43913</c:v>
                </c:pt>
                <c:pt idx="1276">
                  <c:v>43914</c:v>
                </c:pt>
                <c:pt idx="1277">
                  <c:v>43915</c:v>
                </c:pt>
                <c:pt idx="1278">
                  <c:v>43916</c:v>
                </c:pt>
                <c:pt idx="1279">
                  <c:v>43917</c:v>
                </c:pt>
                <c:pt idx="1280">
                  <c:v>43920</c:v>
                </c:pt>
                <c:pt idx="1281">
                  <c:v>43921</c:v>
                </c:pt>
                <c:pt idx="1282">
                  <c:v>43922</c:v>
                </c:pt>
                <c:pt idx="1283">
                  <c:v>43923</c:v>
                </c:pt>
                <c:pt idx="1284">
                  <c:v>43924</c:v>
                </c:pt>
                <c:pt idx="1285">
                  <c:v>43927</c:v>
                </c:pt>
                <c:pt idx="1286">
                  <c:v>43928</c:v>
                </c:pt>
                <c:pt idx="1287">
                  <c:v>43929</c:v>
                </c:pt>
                <c:pt idx="1288">
                  <c:v>43930</c:v>
                </c:pt>
                <c:pt idx="1289">
                  <c:v>43934</c:v>
                </c:pt>
                <c:pt idx="1290">
                  <c:v>43935</c:v>
                </c:pt>
                <c:pt idx="1291">
                  <c:v>43936</c:v>
                </c:pt>
                <c:pt idx="1292">
                  <c:v>43937</c:v>
                </c:pt>
                <c:pt idx="1293">
                  <c:v>43938</c:v>
                </c:pt>
                <c:pt idx="1294">
                  <c:v>43941</c:v>
                </c:pt>
                <c:pt idx="1295">
                  <c:v>43942</c:v>
                </c:pt>
                <c:pt idx="1296">
                  <c:v>43943</c:v>
                </c:pt>
                <c:pt idx="1297">
                  <c:v>43944</c:v>
                </c:pt>
                <c:pt idx="1298">
                  <c:v>43945</c:v>
                </c:pt>
                <c:pt idx="1299">
                  <c:v>43948</c:v>
                </c:pt>
                <c:pt idx="1300">
                  <c:v>43949</c:v>
                </c:pt>
                <c:pt idx="1301">
                  <c:v>43950</c:v>
                </c:pt>
                <c:pt idx="1302">
                  <c:v>43951</c:v>
                </c:pt>
                <c:pt idx="1303">
                  <c:v>43952</c:v>
                </c:pt>
                <c:pt idx="1304">
                  <c:v>43955</c:v>
                </c:pt>
                <c:pt idx="1305">
                  <c:v>43956</c:v>
                </c:pt>
                <c:pt idx="1306">
                  <c:v>43957</c:v>
                </c:pt>
                <c:pt idx="1307">
                  <c:v>43958</c:v>
                </c:pt>
                <c:pt idx="1308">
                  <c:v>43959</c:v>
                </c:pt>
                <c:pt idx="1309">
                  <c:v>43962</c:v>
                </c:pt>
                <c:pt idx="1310">
                  <c:v>43963</c:v>
                </c:pt>
                <c:pt idx="1311">
                  <c:v>43964</c:v>
                </c:pt>
                <c:pt idx="1312">
                  <c:v>43965</c:v>
                </c:pt>
                <c:pt idx="1313">
                  <c:v>43966</c:v>
                </c:pt>
                <c:pt idx="1314">
                  <c:v>43969</c:v>
                </c:pt>
                <c:pt idx="1315">
                  <c:v>43970</c:v>
                </c:pt>
                <c:pt idx="1316">
                  <c:v>43971</c:v>
                </c:pt>
                <c:pt idx="1317">
                  <c:v>43972</c:v>
                </c:pt>
                <c:pt idx="1318">
                  <c:v>43973</c:v>
                </c:pt>
                <c:pt idx="1319">
                  <c:v>43977</c:v>
                </c:pt>
                <c:pt idx="1320">
                  <c:v>43978</c:v>
                </c:pt>
                <c:pt idx="1321">
                  <c:v>43979</c:v>
                </c:pt>
                <c:pt idx="1322">
                  <c:v>43980</c:v>
                </c:pt>
                <c:pt idx="1323">
                  <c:v>43983</c:v>
                </c:pt>
                <c:pt idx="1324">
                  <c:v>43984</c:v>
                </c:pt>
                <c:pt idx="1325">
                  <c:v>43985</c:v>
                </c:pt>
                <c:pt idx="1326">
                  <c:v>43986</c:v>
                </c:pt>
                <c:pt idx="1327">
                  <c:v>43987</c:v>
                </c:pt>
                <c:pt idx="1328">
                  <c:v>43990</c:v>
                </c:pt>
                <c:pt idx="1329">
                  <c:v>43991</c:v>
                </c:pt>
                <c:pt idx="1330">
                  <c:v>43992</c:v>
                </c:pt>
                <c:pt idx="1331">
                  <c:v>43993</c:v>
                </c:pt>
                <c:pt idx="1332">
                  <c:v>43994</c:v>
                </c:pt>
                <c:pt idx="1333">
                  <c:v>43997</c:v>
                </c:pt>
                <c:pt idx="1334">
                  <c:v>43998</c:v>
                </c:pt>
                <c:pt idx="1335">
                  <c:v>43999</c:v>
                </c:pt>
                <c:pt idx="1336">
                  <c:v>44000</c:v>
                </c:pt>
                <c:pt idx="1337">
                  <c:v>44001</c:v>
                </c:pt>
                <c:pt idx="1338">
                  <c:v>44004</c:v>
                </c:pt>
                <c:pt idx="1339">
                  <c:v>44005</c:v>
                </c:pt>
                <c:pt idx="1340">
                  <c:v>44006</c:v>
                </c:pt>
                <c:pt idx="1341">
                  <c:v>44007</c:v>
                </c:pt>
                <c:pt idx="1342">
                  <c:v>44008</c:v>
                </c:pt>
                <c:pt idx="1343">
                  <c:v>44011</c:v>
                </c:pt>
                <c:pt idx="1344">
                  <c:v>44012</c:v>
                </c:pt>
                <c:pt idx="1345">
                  <c:v>44013</c:v>
                </c:pt>
                <c:pt idx="1346">
                  <c:v>44014</c:v>
                </c:pt>
                <c:pt idx="1347">
                  <c:v>44018</c:v>
                </c:pt>
                <c:pt idx="1348">
                  <c:v>44019</c:v>
                </c:pt>
                <c:pt idx="1349">
                  <c:v>44020</c:v>
                </c:pt>
                <c:pt idx="1350">
                  <c:v>44021</c:v>
                </c:pt>
                <c:pt idx="1351">
                  <c:v>44022</c:v>
                </c:pt>
                <c:pt idx="1352">
                  <c:v>44025</c:v>
                </c:pt>
                <c:pt idx="1353">
                  <c:v>44026</c:v>
                </c:pt>
                <c:pt idx="1354">
                  <c:v>44027</c:v>
                </c:pt>
                <c:pt idx="1355">
                  <c:v>44028</c:v>
                </c:pt>
                <c:pt idx="1356">
                  <c:v>44029</c:v>
                </c:pt>
                <c:pt idx="1357">
                  <c:v>44032</c:v>
                </c:pt>
                <c:pt idx="1358">
                  <c:v>44033</c:v>
                </c:pt>
                <c:pt idx="1359">
                  <c:v>44034</c:v>
                </c:pt>
                <c:pt idx="1360">
                  <c:v>44035</c:v>
                </c:pt>
                <c:pt idx="1361">
                  <c:v>44036</c:v>
                </c:pt>
                <c:pt idx="1362">
                  <c:v>44039</c:v>
                </c:pt>
                <c:pt idx="1363">
                  <c:v>44040</c:v>
                </c:pt>
                <c:pt idx="1364">
                  <c:v>44041</c:v>
                </c:pt>
                <c:pt idx="1365">
                  <c:v>44042</c:v>
                </c:pt>
                <c:pt idx="1366">
                  <c:v>44043</c:v>
                </c:pt>
                <c:pt idx="1367">
                  <c:v>44046</c:v>
                </c:pt>
                <c:pt idx="1368">
                  <c:v>44047</c:v>
                </c:pt>
                <c:pt idx="1369">
                  <c:v>44048</c:v>
                </c:pt>
                <c:pt idx="1370">
                  <c:v>44049</c:v>
                </c:pt>
                <c:pt idx="1371">
                  <c:v>44050</c:v>
                </c:pt>
                <c:pt idx="1372">
                  <c:v>44053</c:v>
                </c:pt>
                <c:pt idx="1373">
                  <c:v>44054</c:v>
                </c:pt>
                <c:pt idx="1374">
                  <c:v>44055</c:v>
                </c:pt>
                <c:pt idx="1375">
                  <c:v>44056</c:v>
                </c:pt>
                <c:pt idx="1376">
                  <c:v>44057</c:v>
                </c:pt>
                <c:pt idx="1377">
                  <c:v>44060</c:v>
                </c:pt>
                <c:pt idx="1378">
                  <c:v>44061</c:v>
                </c:pt>
                <c:pt idx="1379">
                  <c:v>44062</c:v>
                </c:pt>
                <c:pt idx="1380">
                  <c:v>44063</c:v>
                </c:pt>
                <c:pt idx="1381">
                  <c:v>44064</c:v>
                </c:pt>
                <c:pt idx="1382">
                  <c:v>44067</c:v>
                </c:pt>
                <c:pt idx="1383">
                  <c:v>44068</c:v>
                </c:pt>
                <c:pt idx="1384">
                  <c:v>44069</c:v>
                </c:pt>
                <c:pt idx="1385">
                  <c:v>44070</c:v>
                </c:pt>
                <c:pt idx="1386">
                  <c:v>44071</c:v>
                </c:pt>
                <c:pt idx="1387">
                  <c:v>44074</c:v>
                </c:pt>
                <c:pt idx="1388">
                  <c:v>44075</c:v>
                </c:pt>
                <c:pt idx="1389">
                  <c:v>44076</c:v>
                </c:pt>
                <c:pt idx="1390">
                  <c:v>44077</c:v>
                </c:pt>
                <c:pt idx="1391">
                  <c:v>44078</c:v>
                </c:pt>
                <c:pt idx="1392">
                  <c:v>44082</c:v>
                </c:pt>
                <c:pt idx="1393">
                  <c:v>44083</c:v>
                </c:pt>
                <c:pt idx="1394">
                  <c:v>44084</c:v>
                </c:pt>
                <c:pt idx="1395">
                  <c:v>44085</c:v>
                </c:pt>
                <c:pt idx="1396">
                  <c:v>44088</c:v>
                </c:pt>
                <c:pt idx="1397">
                  <c:v>44089</c:v>
                </c:pt>
                <c:pt idx="1398">
                  <c:v>44090</c:v>
                </c:pt>
                <c:pt idx="1399">
                  <c:v>44091</c:v>
                </c:pt>
                <c:pt idx="1400">
                  <c:v>44092</c:v>
                </c:pt>
                <c:pt idx="1401">
                  <c:v>44095</c:v>
                </c:pt>
                <c:pt idx="1402">
                  <c:v>44096</c:v>
                </c:pt>
                <c:pt idx="1403">
                  <c:v>44097</c:v>
                </c:pt>
                <c:pt idx="1404">
                  <c:v>44098</c:v>
                </c:pt>
                <c:pt idx="1405">
                  <c:v>44099</c:v>
                </c:pt>
                <c:pt idx="1406">
                  <c:v>44102</c:v>
                </c:pt>
                <c:pt idx="1407">
                  <c:v>44103</c:v>
                </c:pt>
                <c:pt idx="1408">
                  <c:v>44104</c:v>
                </c:pt>
                <c:pt idx="1409">
                  <c:v>44105</c:v>
                </c:pt>
                <c:pt idx="1410">
                  <c:v>44106</c:v>
                </c:pt>
                <c:pt idx="1411">
                  <c:v>44109</c:v>
                </c:pt>
                <c:pt idx="1412">
                  <c:v>44110</c:v>
                </c:pt>
                <c:pt idx="1413">
                  <c:v>44111</c:v>
                </c:pt>
                <c:pt idx="1414">
                  <c:v>44112</c:v>
                </c:pt>
                <c:pt idx="1415">
                  <c:v>44113</c:v>
                </c:pt>
                <c:pt idx="1416">
                  <c:v>44116</c:v>
                </c:pt>
                <c:pt idx="1417">
                  <c:v>44117</c:v>
                </c:pt>
                <c:pt idx="1418">
                  <c:v>44118</c:v>
                </c:pt>
                <c:pt idx="1419">
                  <c:v>44119</c:v>
                </c:pt>
                <c:pt idx="1420">
                  <c:v>44120</c:v>
                </c:pt>
                <c:pt idx="1421">
                  <c:v>44123</c:v>
                </c:pt>
                <c:pt idx="1422">
                  <c:v>44124</c:v>
                </c:pt>
                <c:pt idx="1423">
                  <c:v>44125</c:v>
                </c:pt>
                <c:pt idx="1424">
                  <c:v>44126</c:v>
                </c:pt>
                <c:pt idx="1425">
                  <c:v>44127</c:v>
                </c:pt>
                <c:pt idx="1426">
                  <c:v>44130</c:v>
                </c:pt>
                <c:pt idx="1427">
                  <c:v>44131</c:v>
                </c:pt>
                <c:pt idx="1428">
                  <c:v>44132</c:v>
                </c:pt>
                <c:pt idx="1429">
                  <c:v>44133</c:v>
                </c:pt>
                <c:pt idx="1430">
                  <c:v>44134</c:v>
                </c:pt>
                <c:pt idx="1431">
                  <c:v>44137</c:v>
                </c:pt>
                <c:pt idx="1432">
                  <c:v>44138</c:v>
                </c:pt>
                <c:pt idx="1433">
                  <c:v>44139</c:v>
                </c:pt>
                <c:pt idx="1434">
                  <c:v>44140</c:v>
                </c:pt>
                <c:pt idx="1435">
                  <c:v>44141</c:v>
                </c:pt>
                <c:pt idx="1436">
                  <c:v>44144</c:v>
                </c:pt>
                <c:pt idx="1437">
                  <c:v>44145</c:v>
                </c:pt>
                <c:pt idx="1438">
                  <c:v>44146</c:v>
                </c:pt>
                <c:pt idx="1439">
                  <c:v>44147</c:v>
                </c:pt>
                <c:pt idx="1440">
                  <c:v>44148</c:v>
                </c:pt>
                <c:pt idx="1441">
                  <c:v>44151</c:v>
                </c:pt>
                <c:pt idx="1442">
                  <c:v>44152</c:v>
                </c:pt>
                <c:pt idx="1443">
                  <c:v>44153</c:v>
                </c:pt>
                <c:pt idx="1444">
                  <c:v>44154</c:v>
                </c:pt>
                <c:pt idx="1445">
                  <c:v>44155</c:v>
                </c:pt>
                <c:pt idx="1446">
                  <c:v>44158</c:v>
                </c:pt>
                <c:pt idx="1447">
                  <c:v>44159</c:v>
                </c:pt>
                <c:pt idx="1448">
                  <c:v>44160</c:v>
                </c:pt>
                <c:pt idx="1449">
                  <c:v>44162</c:v>
                </c:pt>
                <c:pt idx="1450">
                  <c:v>44165</c:v>
                </c:pt>
                <c:pt idx="1451">
                  <c:v>44166</c:v>
                </c:pt>
                <c:pt idx="1452">
                  <c:v>44167</c:v>
                </c:pt>
                <c:pt idx="1453">
                  <c:v>44168</c:v>
                </c:pt>
                <c:pt idx="1454">
                  <c:v>44169</c:v>
                </c:pt>
                <c:pt idx="1455">
                  <c:v>44172</c:v>
                </c:pt>
                <c:pt idx="1456">
                  <c:v>44173</c:v>
                </c:pt>
                <c:pt idx="1457">
                  <c:v>44174</c:v>
                </c:pt>
                <c:pt idx="1458">
                  <c:v>44175</c:v>
                </c:pt>
                <c:pt idx="1459">
                  <c:v>44176</c:v>
                </c:pt>
                <c:pt idx="1460">
                  <c:v>44179</c:v>
                </c:pt>
                <c:pt idx="1461">
                  <c:v>44180</c:v>
                </c:pt>
                <c:pt idx="1462">
                  <c:v>44181</c:v>
                </c:pt>
                <c:pt idx="1463">
                  <c:v>44182</c:v>
                </c:pt>
                <c:pt idx="1464">
                  <c:v>44183</c:v>
                </c:pt>
                <c:pt idx="1465">
                  <c:v>44186</c:v>
                </c:pt>
                <c:pt idx="1466">
                  <c:v>44187</c:v>
                </c:pt>
                <c:pt idx="1467">
                  <c:v>44188</c:v>
                </c:pt>
                <c:pt idx="1468">
                  <c:v>44189</c:v>
                </c:pt>
                <c:pt idx="1469">
                  <c:v>44193</c:v>
                </c:pt>
                <c:pt idx="1470">
                  <c:v>44194</c:v>
                </c:pt>
                <c:pt idx="1471">
                  <c:v>44195</c:v>
                </c:pt>
                <c:pt idx="1472">
                  <c:v>44196</c:v>
                </c:pt>
                <c:pt idx="1473">
                  <c:v>44200</c:v>
                </c:pt>
                <c:pt idx="1474">
                  <c:v>44201</c:v>
                </c:pt>
                <c:pt idx="1475">
                  <c:v>44202</c:v>
                </c:pt>
                <c:pt idx="1476">
                  <c:v>44203</c:v>
                </c:pt>
                <c:pt idx="1477">
                  <c:v>44204</c:v>
                </c:pt>
                <c:pt idx="1478">
                  <c:v>44207</c:v>
                </c:pt>
                <c:pt idx="1479">
                  <c:v>44208</c:v>
                </c:pt>
                <c:pt idx="1480">
                  <c:v>44209</c:v>
                </c:pt>
                <c:pt idx="1481">
                  <c:v>44210</c:v>
                </c:pt>
                <c:pt idx="1482">
                  <c:v>44211</c:v>
                </c:pt>
                <c:pt idx="1483">
                  <c:v>44215</c:v>
                </c:pt>
                <c:pt idx="1484">
                  <c:v>44216</c:v>
                </c:pt>
                <c:pt idx="1485">
                  <c:v>44217</c:v>
                </c:pt>
                <c:pt idx="1486">
                  <c:v>44218</c:v>
                </c:pt>
                <c:pt idx="1487">
                  <c:v>44221</c:v>
                </c:pt>
                <c:pt idx="1488">
                  <c:v>44222</c:v>
                </c:pt>
                <c:pt idx="1489">
                  <c:v>44223</c:v>
                </c:pt>
                <c:pt idx="1490">
                  <c:v>44224</c:v>
                </c:pt>
                <c:pt idx="1491">
                  <c:v>44225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44235</c:v>
                </c:pt>
                <c:pt idx="1498">
                  <c:v>44236</c:v>
                </c:pt>
                <c:pt idx="1499">
                  <c:v>44237</c:v>
                </c:pt>
                <c:pt idx="1500">
                  <c:v>44238</c:v>
                </c:pt>
                <c:pt idx="1501">
                  <c:v>44239</c:v>
                </c:pt>
                <c:pt idx="1502">
                  <c:v>44243</c:v>
                </c:pt>
                <c:pt idx="1503">
                  <c:v>44244</c:v>
                </c:pt>
                <c:pt idx="1504">
                  <c:v>44245</c:v>
                </c:pt>
                <c:pt idx="1505">
                  <c:v>44246</c:v>
                </c:pt>
                <c:pt idx="1506">
                  <c:v>44249</c:v>
                </c:pt>
                <c:pt idx="1507">
                  <c:v>44250</c:v>
                </c:pt>
                <c:pt idx="1508">
                  <c:v>44251</c:v>
                </c:pt>
                <c:pt idx="1509">
                  <c:v>44252</c:v>
                </c:pt>
                <c:pt idx="1510">
                  <c:v>44253</c:v>
                </c:pt>
                <c:pt idx="1511">
                  <c:v>44256</c:v>
                </c:pt>
                <c:pt idx="1512">
                  <c:v>44257</c:v>
                </c:pt>
                <c:pt idx="1513">
                  <c:v>44258</c:v>
                </c:pt>
                <c:pt idx="1514">
                  <c:v>44259</c:v>
                </c:pt>
                <c:pt idx="1515">
                  <c:v>44260</c:v>
                </c:pt>
                <c:pt idx="1516">
                  <c:v>44263</c:v>
                </c:pt>
                <c:pt idx="1517">
                  <c:v>44264</c:v>
                </c:pt>
                <c:pt idx="1518">
                  <c:v>44265</c:v>
                </c:pt>
                <c:pt idx="1519">
                  <c:v>44266</c:v>
                </c:pt>
                <c:pt idx="1520">
                  <c:v>44267</c:v>
                </c:pt>
                <c:pt idx="1521">
                  <c:v>44270</c:v>
                </c:pt>
                <c:pt idx="1522">
                  <c:v>44271</c:v>
                </c:pt>
                <c:pt idx="1523">
                  <c:v>44272</c:v>
                </c:pt>
                <c:pt idx="1524">
                  <c:v>44273</c:v>
                </c:pt>
                <c:pt idx="1525">
                  <c:v>44274</c:v>
                </c:pt>
                <c:pt idx="1526">
                  <c:v>44277</c:v>
                </c:pt>
                <c:pt idx="1527">
                  <c:v>44278</c:v>
                </c:pt>
                <c:pt idx="1528">
                  <c:v>44279</c:v>
                </c:pt>
                <c:pt idx="1529">
                  <c:v>44280</c:v>
                </c:pt>
                <c:pt idx="1530">
                  <c:v>44281</c:v>
                </c:pt>
                <c:pt idx="1531">
                  <c:v>44284</c:v>
                </c:pt>
                <c:pt idx="1532">
                  <c:v>44285</c:v>
                </c:pt>
                <c:pt idx="1533">
                  <c:v>44286</c:v>
                </c:pt>
                <c:pt idx="1534">
                  <c:v>44287</c:v>
                </c:pt>
                <c:pt idx="1535">
                  <c:v>44291</c:v>
                </c:pt>
                <c:pt idx="1536">
                  <c:v>44292</c:v>
                </c:pt>
                <c:pt idx="1537">
                  <c:v>44293</c:v>
                </c:pt>
                <c:pt idx="1538">
                  <c:v>44294</c:v>
                </c:pt>
                <c:pt idx="1539">
                  <c:v>44295</c:v>
                </c:pt>
                <c:pt idx="1540">
                  <c:v>44298</c:v>
                </c:pt>
                <c:pt idx="1541">
                  <c:v>44299</c:v>
                </c:pt>
                <c:pt idx="1542">
                  <c:v>44300</c:v>
                </c:pt>
                <c:pt idx="1543">
                  <c:v>44301</c:v>
                </c:pt>
                <c:pt idx="1544">
                  <c:v>44302</c:v>
                </c:pt>
                <c:pt idx="1545">
                  <c:v>44305</c:v>
                </c:pt>
                <c:pt idx="1546">
                  <c:v>44306</c:v>
                </c:pt>
                <c:pt idx="1547">
                  <c:v>44307</c:v>
                </c:pt>
                <c:pt idx="1548">
                  <c:v>44308</c:v>
                </c:pt>
                <c:pt idx="1549">
                  <c:v>44309</c:v>
                </c:pt>
                <c:pt idx="1550">
                  <c:v>44312</c:v>
                </c:pt>
                <c:pt idx="1551">
                  <c:v>44313</c:v>
                </c:pt>
                <c:pt idx="1552">
                  <c:v>44314</c:v>
                </c:pt>
                <c:pt idx="1553">
                  <c:v>44315</c:v>
                </c:pt>
                <c:pt idx="1554">
                  <c:v>44316</c:v>
                </c:pt>
                <c:pt idx="1555">
                  <c:v>44319</c:v>
                </c:pt>
                <c:pt idx="1556">
                  <c:v>44320</c:v>
                </c:pt>
                <c:pt idx="1557">
                  <c:v>44321</c:v>
                </c:pt>
                <c:pt idx="1558">
                  <c:v>44322</c:v>
                </c:pt>
                <c:pt idx="1559">
                  <c:v>44323</c:v>
                </c:pt>
                <c:pt idx="1560">
                  <c:v>44326</c:v>
                </c:pt>
                <c:pt idx="1561">
                  <c:v>44327</c:v>
                </c:pt>
                <c:pt idx="1562">
                  <c:v>44328</c:v>
                </c:pt>
                <c:pt idx="1563">
                  <c:v>44329</c:v>
                </c:pt>
                <c:pt idx="1564">
                  <c:v>44330</c:v>
                </c:pt>
                <c:pt idx="1565">
                  <c:v>44333</c:v>
                </c:pt>
                <c:pt idx="1566">
                  <c:v>44334</c:v>
                </c:pt>
                <c:pt idx="1567">
                  <c:v>44335</c:v>
                </c:pt>
                <c:pt idx="1568">
                  <c:v>44336</c:v>
                </c:pt>
                <c:pt idx="1569">
                  <c:v>44337</c:v>
                </c:pt>
                <c:pt idx="1570">
                  <c:v>44340</c:v>
                </c:pt>
                <c:pt idx="1571">
                  <c:v>44341</c:v>
                </c:pt>
                <c:pt idx="1572">
                  <c:v>44342</c:v>
                </c:pt>
                <c:pt idx="1573">
                  <c:v>44343</c:v>
                </c:pt>
                <c:pt idx="1574">
                  <c:v>44344</c:v>
                </c:pt>
                <c:pt idx="1575">
                  <c:v>44348</c:v>
                </c:pt>
                <c:pt idx="1576">
                  <c:v>44349</c:v>
                </c:pt>
                <c:pt idx="1577">
                  <c:v>44350</c:v>
                </c:pt>
                <c:pt idx="1578">
                  <c:v>44351</c:v>
                </c:pt>
                <c:pt idx="1579">
                  <c:v>44354</c:v>
                </c:pt>
                <c:pt idx="1580">
                  <c:v>44355</c:v>
                </c:pt>
                <c:pt idx="1581">
                  <c:v>44356</c:v>
                </c:pt>
                <c:pt idx="1582">
                  <c:v>44357</c:v>
                </c:pt>
                <c:pt idx="1583">
                  <c:v>44358</c:v>
                </c:pt>
                <c:pt idx="1584">
                  <c:v>44361</c:v>
                </c:pt>
                <c:pt idx="1585">
                  <c:v>44362</c:v>
                </c:pt>
                <c:pt idx="1586">
                  <c:v>44363</c:v>
                </c:pt>
                <c:pt idx="1587">
                  <c:v>44364</c:v>
                </c:pt>
                <c:pt idx="1588">
                  <c:v>44365</c:v>
                </c:pt>
                <c:pt idx="1589">
                  <c:v>44368</c:v>
                </c:pt>
                <c:pt idx="1590">
                  <c:v>44369</c:v>
                </c:pt>
                <c:pt idx="1591">
                  <c:v>44370</c:v>
                </c:pt>
                <c:pt idx="1592">
                  <c:v>44371</c:v>
                </c:pt>
                <c:pt idx="1593">
                  <c:v>44372</c:v>
                </c:pt>
                <c:pt idx="1594">
                  <c:v>44375</c:v>
                </c:pt>
                <c:pt idx="1595">
                  <c:v>44376</c:v>
                </c:pt>
                <c:pt idx="1596">
                  <c:v>44377</c:v>
                </c:pt>
                <c:pt idx="1597">
                  <c:v>44378</c:v>
                </c:pt>
                <c:pt idx="1598">
                  <c:v>44379</c:v>
                </c:pt>
                <c:pt idx="1599">
                  <c:v>44383</c:v>
                </c:pt>
                <c:pt idx="1600">
                  <c:v>44384</c:v>
                </c:pt>
                <c:pt idx="1601">
                  <c:v>44385</c:v>
                </c:pt>
                <c:pt idx="1602">
                  <c:v>44386</c:v>
                </c:pt>
                <c:pt idx="1603">
                  <c:v>44389</c:v>
                </c:pt>
                <c:pt idx="1604">
                  <c:v>44390</c:v>
                </c:pt>
                <c:pt idx="1605">
                  <c:v>44391</c:v>
                </c:pt>
                <c:pt idx="1606">
                  <c:v>44392</c:v>
                </c:pt>
                <c:pt idx="1607">
                  <c:v>44393</c:v>
                </c:pt>
                <c:pt idx="1608">
                  <c:v>44396</c:v>
                </c:pt>
                <c:pt idx="1609">
                  <c:v>44397</c:v>
                </c:pt>
                <c:pt idx="1610">
                  <c:v>44398</c:v>
                </c:pt>
                <c:pt idx="1611">
                  <c:v>44399</c:v>
                </c:pt>
                <c:pt idx="1612">
                  <c:v>44400</c:v>
                </c:pt>
                <c:pt idx="1613">
                  <c:v>44403</c:v>
                </c:pt>
                <c:pt idx="1614">
                  <c:v>44404</c:v>
                </c:pt>
                <c:pt idx="1615">
                  <c:v>44405</c:v>
                </c:pt>
                <c:pt idx="1616">
                  <c:v>44406</c:v>
                </c:pt>
                <c:pt idx="1617">
                  <c:v>44407</c:v>
                </c:pt>
                <c:pt idx="1618">
                  <c:v>44410</c:v>
                </c:pt>
                <c:pt idx="1619">
                  <c:v>44411</c:v>
                </c:pt>
                <c:pt idx="1620">
                  <c:v>44412</c:v>
                </c:pt>
                <c:pt idx="1621">
                  <c:v>44413</c:v>
                </c:pt>
                <c:pt idx="1622">
                  <c:v>44414</c:v>
                </c:pt>
                <c:pt idx="1623">
                  <c:v>44417</c:v>
                </c:pt>
                <c:pt idx="1624">
                  <c:v>44418</c:v>
                </c:pt>
                <c:pt idx="1625">
                  <c:v>44419</c:v>
                </c:pt>
                <c:pt idx="1626">
                  <c:v>44420</c:v>
                </c:pt>
                <c:pt idx="1627">
                  <c:v>44421</c:v>
                </c:pt>
                <c:pt idx="1628">
                  <c:v>44424</c:v>
                </c:pt>
                <c:pt idx="1629">
                  <c:v>44425</c:v>
                </c:pt>
                <c:pt idx="1630">
                  <c:v>44426</c:v>
                </c:pt>
                <c:pt idx="1631">
                  <c:v>44427</c:v>
                </c:pt>
                <c:pt idx="1632">
                  <c:v>44428</c:v>
                </c:pt>
                <c:pt idx="1633">
                  <c:v>44431</c:v>
                </c:pt>
                <c:pt idx="1634">
                  <c:v>44432</c:v>
                </c:pt>
                <c:pt idx="1635">
                  <c:v>44433</c:v>
                </c:pt>
                <c:pt idx="1636">
                  <c:v>44434</c:v>
                </c:pt>
                <c:pt idx="1637">
                  <c:v>44435</c:v>
                </c:pt>
                <c:pt idx="1638">
                  <c:v>44438</c:v>
                </c:pt>
                <c:pt idx="1639">
                  <c:v>44439</c:v>
                </c:pt>
                <c:pt idx="1640">
                  <c:v>44440</c:v>
                </c:pt>
                <c:pt idx="1641">
                  <c:v>44441</c:v>
                </c:pt>
                <c:pt idx="1642">
                  <c:v>44442</c:v>
                </c:pt>
                <c:pt idx="1643">
                  <c:v>44446</c:v>
                </c:pt>
                <c:pt idx="1644">
                  <c:v>44447</c:v>
                </c:pt>
                <c:pt idx="1645">
                  <c:v>44448</c:v>
                </c:pt>
                <c:pt idx="1646">
                  <c:v>44449</c:v>
                </c:pt>
                <c:pt idx="1647">
                  <c:v>44452</c:v>
                </c:pt>
                <c:pt idx="1648">
                  <c:v>44453</c:v>
                </c:pt>
                <c:pt idx="1649">
                  <c:v>44454</c:v>
                </c:pt>
                <c:pt idx="1650">
                  <c:v>44455</c:v>
                </c:pt>
                <c:pt idx="1651">
                  <c:v>44456</c:v>
                </c:pt>
                <c:pt idx="1652">
                  <c:v>44459</c:v>
                </c:pt>
                <c:pt idx="1653">
                  <c:v>44460</c:v>
                </c:pt>
                <c:pt idx="1654">
                  <c:v>44461</c:v>
                </c:pt>
                <c:pt idx="1655">
                  <c:v>44462</c:v>
                </c:pt>
                <c:pt idx="1656">
                  <c:v>44463</c:v>
                </c:pt>
                <c:pt idx="1657">
                  <c:v>44466</c:v>
                </c:pt>
                <c:pt idx="1658">
                  <c:v>44467</c:v>
                </c:pt>
                <c:pt idx="1659">
                  <c:v>44468</c:v>
                </c:pt>
                <c:pt idx="1660">
                  <c:v>44469</c:v>
                </c:pt>
                <c:pt idx="1661">
                  <c:v>44470</c:v>
                </c:pt>
                <c:pt idx="1662">
                  <c:v>44473</c:v>
                </c:pt>
                <c:pt idx="1663">
                  <c:v>44474</c:v>
                </c:pt>
                <c:pt idx="1664">
                  <c:v>44475</c:v>
                </c:pt>
                <c:pt idx="1665">
                  <c:v>44476</c:v>
                </c:pt>
                <c:pt idx="1666">
                  <c:v>44477</c:v>
                </c:pt>
                <c:pt idx="1667">
                  <c:v>44480</c:v>
                </c:pt>
                <c:pt idx="1668">
                  <c:v>44481</c:v>
                </c:pt>
                <c:pt idx="1669">
                  <c:v>44482</c:v>
                </c:pt>
                <c:pt idx="1670">
                  <c:v>44483</c:v>
                </c:pt>
                <c:pt idx="1671">
                  <c:v>44484</c:v>
                </c:pt>
                <c:pt idx="1672">
                  <c:v>44487</c:v>
                </c:pt>
                <c:pt idx="1673">
                  <c:v>44488</c:v>
                </c:pt>
                <c:pt idx="1674">
                  <c:v>44489</c:v>
                </c:pt>
                <c:pt idx="1675">
                  <c:v>44490</c:v>
                </c:pt>
                <c:pt idx="1676">
                  <c:v>44491</c:v>
                </c:pt>
                <c:pt idx="1677">
                  <c:v>44494</c:v>
                </c:pt>
                <c:pt idx="1678">
                  <c:v>44495</c:v>
                </c:pt>
                <c:pt idx="1679">
                  <c:v>44496</c:v>
                </c:pt>
                <c:pt idx="1680">
                  <c:v>44497</c:v>
                </c:pt>
                <c:pt idx="1681">
                  <c:v>44498</c:v>
                </c:pt>
                <c:pt idx="1682">
                  <c:v>44501</c:v>
                </c:pt>
                <c:pt idx="1683">
                  <c:v>44502</c:v>
                </c:pt>
                <c:pt idx="1684">
                  <c:v>44503</c:v>
                </c:pt>
                <c:pt idx="1685">
                  <c:v>44504</c:v>
                </c:pt>
                <c:pt idx="1686">
                  <c:v>44505</c:v>
                </c:pt>
                <c:pt idx="1687">
                  <c:v>44508</c:v>
                </c:pt>
                <c:pt idx="1688">
                  <c:v>44509</c:v>
                </c:pt>
                <c:pt idx="1689">
                  <c:v>44510</c:v>
                </c:pt>
                <c:pt idx="1690">
                  <c:v>44511</c:v>
                </c:pt>
                <c:pt idx="1691">
                  <c:v>44512</c:v>
                </c:pt>
                <c:pt idx="1692">
                  <c:v>44515</c:v>
                </c:pt>
                <c:pt idx="1693">
                  <c:v>44516</c:v>
                </c:pt>
                <c:pt idx="1694">
                  <c:v>44517</c:v>
                </c:pt>
                <c:pt idx="1695">
                  <c:v>44518</c:v>
                </c:pt>
                <c:pt idx="1696">
                  <c:v>44519</c:v>
                </c:pt>
                <c:pt idx="1697">
                  <c:v>44522</c:v>
                </c:pt>
                <c:pt idx="1698">
                  <c:v>44523</c:v>
                </c:pt>
                <c:pt idx="1699">
                  <c:v>44524</c:v>
                </c:pt>
                <c:pt idx="1700">
                  <c:v>44526</c:v>
                </c:pt>
                <c:pt idx="1701">
                  <c:v>44529</c:v>
                </c:pt>
                <c:pt idx="1702">
                  <c:v>44530</c:v>
                </c:pt>
                <c:pt idx="1703">
                  <c:v>44531</c:v>
                </c:pt>
                <c:pt idx="1704">
                  <c:v>44532</c:v>
                </c:pt>
                <c:pt idx="1705">
                  <c:v>44533</c:v>
                </c:pt>
                <c:pt idx="1706">
                  <c:v>44536</c:v>
                </c:pt>
                <c:pt idx="1707">
                  <c:v>44537</c:v>
                </c:pt>
                <c:pt idx="1708">
                  <c:v>44538</c:v>
                </c:pt>
                <c:pt idx="1709">
                  <c:v>44539</c:v>
                </c:pt>
                <c:pt idx="1710">
                  <c:v>44540</c:v>
                </c:pt>
                <c:pt idx="1711">
                  <c:v>44543</c:v>
                </c:pt>
                <c:pt idx="1712">
                  <c:v>44544</c:v>
                </c:pt>
                <c:pt idx="1713">
                  <c:v>44545</c:v>
                </c:pt>
                <c:pt idx="1714">
                  <c:v>44546</c:v>
                </c:pt>
                <c:pt idx="1715">
                  <c:v>44547</c:v>
                </c:pt>
                <c:pt idx="1716">
                  <c:v>44550</c:v>
                </c:pt>
                <c:pt idx="1717">
                  <c:v>44551</c:v>
                </c:pt>
                <c:pt idx="1718">
                  <c:v>44552</c:v>
                </c:pt>
                <c:pt idx="1719">
                  <c:v>44553</c:v>
                </c:pt>
                <c:pt idx="1720">
                  <c:v>44557</c:v>
                </c:pt>
                <c:pt idx="1721">
                  <c:v>44558</c:v>
                </c:pt>
                <c:pt idx="1722">
                  <c:v>44559</c:v>
                </c:pt>
                <c:pt idx="1723">
                  <c:v>44560</c:v>
                </c:pt>
                <c:pt idx="1724">
                  <c:v>44561</c:v>
                </c:pt>
                <c:pt idx="1725">
                  <c:v>44564</c:v>
                </c:pt>
                <c:pt idx="1726">
                  <c:v>44565</c:v>
                </c:pt>
                <c:pt idx="1727">
                  <c:v>44566</c:v>
                </c:pt>
                <c:pt idx="1728">
                  <c:v>44567</c:v>
                </c:pt>
                <c:pt idx="1729">
                  <c:v>44568</c:v>
                </c:pt>
                <c:pt idx="1730">
                  <c:v>44571</c:v>
                </c:pt>
                <c:pt idx="1731">
                  <c:v>44572</c:v>
                </c:pt>
                <c:pt idx="1732">
                  <c:v>44573</c:v>
                </c:pt>
                <c:pt idx="1733">
                  <c:v>44574</c:v>
                </c:pt>
                <c:pt idx="1734">
                  <c:v>44575</c:v>
                </c:pt>
                <c:pt idx="1735">
                  <c:v>44579</c:v>
                </c:pt>
                <c:pt idx="1736">
                  <c:v>44580</c:v>
                </c:pt>
                <c:pt idx="1737">
                  <c:v>44581</c:v>
                </c:pt>
                <c:pt idx="1738">
                  <c:v>44582</c:v>
                </c:pt>
                <c:pt idx="1739">
                  <c:v>44585</c:v>
                </c:pt>
                <c:pt idx="1740">
                  <c:v>44586</c:v>
                </c:pt>
                <c:pt idx="1741">
                  <c:v>44587</c:v>
                </c:pt>
                <c:pt idx="1742">
                  <c:v>44588</c:v>
                </c:pt>
                <c:pt idx="1743">
                  <c:v>44589</c:v>
                </c:pt>
                <c:pt idx="1744">
                  <c:v>44592</c:v>
                </c:pt>
                <c:pt idx="1745">
                  <c:v>44593</c:v>
                </c:pt>
                <c:pt idx="1746">
                  <c:v>44594</c:v>
                </c:pt>
                <c:pt idx="1747">
                  <c:v>44595</c:v>
                </c:pt>
                <c:pt idx="1748">
                  <c:v>44596</c:v>
                </c:pt>
                <c:pt idx="1749">
                  <c:v>44599</c:v>
                </c:pt>
                <c:pt idx="1750">
                  <c:v>44600</c:v>
                </c:pt>
                <c:pt idx="1751">
                  <c:v>44601</c:v>
                </c:pt>
                <c:pt idx="1752">
                  <c:v>44602</c:v>
                </c:pt>
                <c:pt idx="1753">
                  <c:v>44603</c:v>
                </c:pt>
                <c:pt idx="1754">
                  <c:v>44606</c:v>
                </c:pt>
                <c:pt idx="1755">
                  <c:v>44607</c:v>
                </c:pt>
                <c:pt idx="1756">
                  <c:v>44608</c:v>
                </c:pt>
                <c:pt idx="1757">
                  <c:v>44609</c:v>
                </c:pt>
                <c:pt idx="1758">
                  <c:v>44610</c:v>
                </c:pt>
                <c:pt idx="1759">
                  <c:v>44614</c:v>
                </c:pt>
                <c:pt idx="1760">
                  <c:v>44615</c:v>
                </c:pt>
                <c:pt idx="1761">
                  <c:v>44616</c:v>
                </c:pt>
                <c:pt idx="1762">
                  <c:v>44617</c:v>
                </c:pt>
                <c:pt idx="1763">
                  <c:v>44620</c:v>
                </c:pt>
                <c:pt idx="1764">
                  <c:v>44621</c:v>
                </c:pt>
                <c:pt idx="1765">
                  <c:v>44622</c:v>
                </c:pt>
                <c:pt idx="1766">
                  <c:v>44623</c:v>
                </c:pt>
                <c:pt idx="1767">
                  <c:v>44624</c:v>
                </c:pt>
                <c:pt idx="1768">
                  <c:v>44627</c:v>
                </c:pt>
                <c:pt idx="1769">
                  <c:v>44628</c:v>
                </c:pt>
                <c:pt idx="1770">
                  <c:v>44629</c:v>
                </c:pt>
                <c:pt idx="1771">
                  <c:v>44630</c:v>
                </c:pt>
                <c:pt idx="1772">
                  <c:v>44631</c:v>
                </c:pt>
                <c:pt idx="1773">
                  <c:v>44634</c:v>
                </c:pt>
                <c:pt idx="1774">
                  <c:v>44635</c:v>
                </c:pt>
                <c:pt idx="1775">
                  <c:v>44636</c:v>
                </c:pt>
                <c:pt idx="1776">
                  <c:v>44637</c:v>
                </c:pt>
                <c:pt idx="1777">
                  <c:v>44638</c:v>
                </c:pt>
                <c:pt idx="1778">
                  <c:v>44641</c:v>
                </c:pt>
                <c:pt idx="1779">
                  <c:v>44642</c:v>
                </c:pt>
                <c:pt idx="1780">
                  <c:v>44643</c:v>
                </c:pt>
                <c:pt idx="1781">
                  <c:v>44644</c:v>
                </c:pt>
                <c:pt idx="1782">
                  <c:v>44645</c:v>
                </c:pt>
                <c:pt idx="1783">
                  <c:v>44648</c:v>
                </c:pt>
                <c:pt idx="1784">
                  <c:v>44649</c:v>
                </c:pt>
                <c:pt idx="1785">
                  <c:v>44650</c:v>
                </c:pt>
                <c:pt idx="1786">
                  <c:v>44651</c:v>
                </c:pt>
                <c:pt idx="1787">
                  <c:v>44652</c:v>
                </c:pt>
                <c:pt idx="1788">
                  <c:v>44655</c:v>
                </c:pt>
                <c:pt idx="1789">
                  <c:v>44656</c:v>
                </c:pt>
                <c:pt idx="1790">
                  <c:v>44657</c:v>
                </c:pt>
                <c:pt idx="1791">
                  <c:v>44658</c:v>
                </c:pt>
                <c:pt idx="1792">
                  <c:v>44659</c:v>
                </c:pt>
                <c:pt idx="1793">
                  <c:v>44662</c:v>
                </c:pt>
                <c:pt idx="1794">
                  <c:v>44663</c:v>
                </c:pt>
                <c:pt idx="1795">
                  <c:v>44664</c:v>
                </c:pt>
                <c:pt idx="1796">
                  <c:v>44665</c:v>
                </c:pt>
                <c:pt idx="1797">
                  <c:v>44669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44844</c:v>
                </c:pt>
                <c:pt idx="1919">
                  <c:v>44845</c:v>
                </c:pt>
                <c:pt idx="1920">
                  <c:v>44846</c:v>
                </c:pt>
                <c:pt idx="1921">
                  <c:v>44847</c:v>
                </c:pt>
                <c:pt idx="1922">
                  <c:v>44848</c:v>
                </c:pt>
                <c:pt idx="1923">
                  <c:v>44851</c:v>
                </c:pt>
                <c:pt idx="1924">
                  <c:v>44852</c:v>
                </c:pt>
                <c:pt idx="1925">
                  <c:v>44853</c:v>
                </c:pt>
                <c:pt idx="1926">
                  <c:v>44854</c:v>
                </c:pt>
                <c:pt idx="1927">
                  <c:v>44855</c:v>
                </c:pt>
                <c:pt idx="1928">
                  <c:v>44858</c:v>
                </c:pt>
                <c:pt idx="1929">
                  <c:v>44859</c:v>
                </c:pt>
                <c:pt idx="1930">
                  <c:v>44860</c:v>
                </c:pt>
                <c:pt idx="1931">
                  <c:v>44861</c:v>
                </c:pt>
                <c:pt idx="1932">
                  <c:v>44862</c:v>
                </c:pt>
                <c:pt idx="1933">
                  <c:v>44865</c:v>
                </c:pt>
                <c:pt idx="1934">
                  <c:v>44866</c:v>
                </c:pt>
                <c:pt idx="1935">
                  <c:v>44867</c:v>
                </c:pt>
                <c:pt idx="1936">
                  <c:v>44868</c:v>
                </c:pt>
                <c:pt idx="1937">
                  <c:v>44869</c:v>
                </c:pt>
                <c:pt idx="1938">
                  <c:v>44872</c:v>
                </c:pt>
                <c:pt idx="1939">
                  <c:v>44873</c:v>
                </c:pt>
                <c:pt idx="1940">
                  <c:v>44874</c:v>
                </c:pt>
                <c:pt idx="1941">
                  <c:v>44875</c:v>
                </c:pt>
                <c:pt idx="1942">
                  <c:v>44876</c:v>
                </c:pt>
                <c:pt idx="1943">
                  <c:v>44879</c:v>
                </c:pt>
                <c:pt idx="1944">
                  <c:v>44880</c:v>
                </c:pt>
                <c:pt idx="1945">
                  <c:v>44881</c:v>
                </c:pt>
                <c:pt idx="1946">
                  <c:v>44882</c:v>
                </c:pt>
                <c:pt idx="1947">
                  <c:v>44883</c:v>
                </c:pt>
                <c:pt idx="1948">
                  <c:v>44886</c:v>
                </c:pt>
                <c:pt idx="1949">
                  <c:v>44887</c:v>
                </c:pt>
                <c:pt idx="1950">
                  <c:v>44888</c:v>
                </c:pt>
                <c:pt idx="1951">
                  <c:v>44890</c:v>
                </c:pt>
                <c:pt idx="1952">
                  <c:v>44893</c:v>
                </c:pt>
                <c:pt idx="1953">
                  <c:v>44894</c:v>
                </c:pt>
                <c:pt idx="1954">
                  <c:v>44895</c:v>
                </c:pt>
                <c:pt idx="1955">
                  <c:v>44896</c:v>
                </c:pt>
                <c:pt idx="1956">
                  <c:v>44897</c:v>
                </c:pt>
                <c:pt idx="1957">
                  <c:v>44900</c:v>
                </c:pt>
                <c:pt idx="1958">
                  <c:v>44901</c:v>
                </c:pt>
                <c:pt idx="1959">
                  <c:v>44902</c:v>
                </c:pt>
                <c:pt idx="1960">
                  <c:v>44903</c:v>
                </c:pt>
                <c:pt idx="1961">
                  <c:v>44904</c:v>
                </c:pt>
                <c:pt idx="1962">
                  <c:v>44907</c:v>
                </c:pt>
                <c:pt idx="1963">
                  <c:v>44908</c:v>
                </c:pt>
                <c:pt idx="1964">
                  <c:v>44909</c:v>
                </c:pt>
                <c:pt idx="1965">
                  <c:v>44910</c:v>
                </c:pt>
                <c:pt idx="1966">
                  <c:v>44911</c:v>
                </c:pt>
                <c:pt idx="1967">
                  <c:v>44914</c:v>
                </c:pt>
                <c:pt idx="1968">
                  <c:v>44915</c:v>
                </c:pt>
                <c:pt idx="1969">
                  <c:v>44916</c:v>
                </c:pt>
                <c:pt idx="1970">
                  <c:v>44917</c:v>
                </c:pt>
                <c:pt idx="1971">
                  <c:v>44918</c:v>
                </c:pt>
                <c:pt idx="1972">
                  <c:v>44922</c:v>
                </c:pt>
                <c:pt idx="1973">
                  <c:v>44923</c:v>
                </c:pt>
                <c:pt idx="1974">
                  <c:v>44924</c:v>
                </c:pt>
                <c:pt idx="1975">
                  <c:v>44925</c:v>
                </c:pt>
                <c:pt idx="1976">
                  <c:v>44929</c:v>
                </c:pt>
                <c:pt idx="1977">
                  <c:v>44930</c:v>
                </c:pt>
                <c:pt idx="1978">
                  <c:v>44931</c:v>
                </c:pt>
                <c:pt idx="1979">
                  <c:v>44932</c:v>
                </c:pt>
                <c:pt idx="1980">
                  <c:v>44935</c:v>
                </c:pt>
                <c:pt idx="1981">
                  <c:v>44936</c:v>
                </c:pt>
                <c:pt idx="1982">
                  <c:v>44937</c:v>
                </c:pt>
                <c:pt idx="1983">
                  <c:v>44938</c:v>
                </c:pt>
                <c:pt idx="1984">
                  <c:v>44939</c:v>
                </c:pt>
                <c:pt idx="1985">
                  <c:v>44943</c:v>
                </c:pt>
                <c:pt idx="1986">
                  <c:v>44944</c:v>
                </c:pt>
                <c:pt idx="1987">
                  <c:v>44945</c:v>
                </c:pt>
                <c:pt idx="1988">
                  <c:v>44946</c:v>
                </c:pt>
                <c:pt idx="1989">
                  <c:v>44949</c:v>
                </c:pt>
                <c:pt idx="1990">
                  <c:v>44950</c:v>
                </c:pt>
                <c:pt idx="1991">
                  <c:v>44951</c:v>
                </c:pt>
                <c:pt idx="1992">
                  <c:v>44952</c:v>
                </c:pt>
                <c:pt idx="1993">
                  <c:v>44953</c:v>
                </c:pt>
                <c:pt idx="1994">
                  <c:v>44956</c:v>
                </c:pt>
                <c:pt idx="1995">
                  <c:v>44957</c:v>
                </c:pt>
                <c:pt idx="1996">
                  <c:v>44958</c:v>
                </c:pt>
                <c:pt idx="1997">
                  <c:v>44959</c:v>
                </c:pt>
                <c:pt idx="1998">
                  <c:v>44960</c:v>
                </c:pt>
                <c:pt idx="1999">
                  <c:v>44963</c:v>
                </c:pt>
                <c:pt idx="2000">
                  <c:v>44964</c:v>
                </c:pt>
                <c:pt idx="2001">
                  <c:v>44965</c:v>
                </c:pt>
                <c:pt idx="2002">
                  <c:v>44966</c:v>
                </c:pt>
                <c:pt idx="2003">
                  <c:v>44967</c:v>
                </c:pt>
                <c:pt idx="2004">
                  <c:v>44970</c:v>
                </c:pt>
                <c:pt idx="2005">
                  <c:v>44971</c:v>
                </c:pt>
                <c:pt idx="2006">
                  <c:v>44972</c:v>
                </c:pt>
                <c:pt idx="2007">
                  <c:v>44973</c:v>
                </c:pt>
                <c:pt idx="2008">
                  <c:v>44974</c:v>
                </c:pt>
                <c:pt idx="2009">
                  <c:v>44978</c:v>
                </c:pt>
                <c:pt idx="2010">
                  <c:v>44979</c:v>
                </c:pt>
                <c:pt idx="2011">
                  <c:v>44980</c:v>
                </c:pt>
                <c:pt idx="2012">
                  <c:v>44981</c:v>
                </c:pt>
                <c:pt idx="2013">
                  <c:v>44984</c:v>
                </c:pt>
                <c:pt idx="2014">
                  <c:v>44985</c:v>
                </c:pt>
                <c:pt idx="2015">
                  <c:v>44986</c:v>
                </c:pt>
                <c:pt idx="2016">
                  <c:v>44987</c:v>
                </c:pt>
                <c:pt idx="2017">
                  <c:v>44988</c:v>
                </c:pt>
                <c:pt idx="2018">
                  <c:v>44991</c:v>
                </c:pt>
                <c:pt idx="2019">
                  <c:v>44992</c:v>
                </c:pt>
                <c:pt idx="2020">
                  <c:v>44993</c:v>
                </c:pt>
                <c:pt idx="2021">
                  <c:v>44994</c:v>
                </c:pt>
                <c:pt idx="2022">
                  <c:v>44995</c:v>
                </c:pt>
                <c:pt idx="2023">
                  <c:v>44998</c:v>
                </c:pt>
                <c:pt idx="2024">
                  <c:v>44999</c:v>
                </c:pt>
                <c:pt idx="2025">
                  <c:v>45000</c:v>
                </c:pt>
                <c:pt idx="2026">
                  <c:v>45001</c:v>
                </c:pt>
                <c:pt idx="2027">
                  <c:v>45002</c:v>
                </c:pt>
                <c:pt idx="2028">
                  <c:v>45005</c:v>
                </c:pt>
                <c:pt idx="2029">
                  <c:v>45006</c:v>
                </c:pt>
                <c:pt idx="2030">
                  <c:v>45007</c:v>
                </c:pt>
                <c:pt idx="2031">
                  <c:v>45008</c:v>
                </c:pt>
                <c:pt idx="2032">
                  <c:v>45009</c:v>
                </c:pt>
                <c:pt idx="2033">
                  <c:v>45012</c:v>
                </c:pt>
                <c:pt idx="2034">
                  <c:v>45013</c:v>
                </c:pt>
                <c:pt idx="2035">
                  <c:v>45014</c:v>
                </c:pt>
                <c:pt idx="2036">
                  <c:v>45015</c:v>
                </c:pt>
                <c:pt idx="2037">
                  <c:v>45016</c:v>
                </c:pt>
                <c:pt idx="2038">
                  <c:v>45019</c:v>
                </c:pt>
                <c:pt idx="2039">
                  <c:v>45020</c:v>
                </c:pt>
                <c:pt idx="2040">
                  <c:v>45021</c:v>
                </c:pt>
                <c:pt idx="2041">
                  <c:v>45022</c:v>
                </c:pt>
                <c:pt idx="2042">
                  <c:v>45026</c:v>
                </c:pt>
                <c:pt idx="2043">
                  <c:v>45027</c:v>
                </c:pt>
                <c:pt idx="2044">
                  <c:v>45028</c:v>
                </c:pt>
                <c:pt idx="2045">
                  <c:v>45029</c:v>
                </c:pt>
                <c:pt idx="2046">
                  <c:v>45030</c:v>
                </c:pt>
                <c:pt idx="2047">
                  <c:v>45033</c:v>
                </c:pt>
                <c:pt idx="2048">
                  <c:v>45034</c:v>
                </c:pt>
                <c:pt idx="2049">
                  <c:v>45035</c:v>
                </c:pt>
                <c:pt idx="2050">
                  <c:v>45036</c:v>
                </c:pt>
                <c:pt idx="2051">
                  <c:v>45037</c:v>
                </c:pt>
                <c:pt idx="2052">
                  <c:v>45040</c:v>
                </c:pt>
                <c:pt idx="2053">
                  <c:v>45041</c:v>
                </c:pt>
                <c:pt idx="2054">
                  <c:v>45042</c:v>
                </c:pt>
                <c:pt idx="2055">
                  <c:v>45043</c:v>
                </c:pt>
                <c:pt idx="2056">
                  <c:v>45044</c:v>
                </c:pt>
                <c:pt idx="2057">
                  <c:v>45047</c:v>
                </c:pt>
                <c:pt idx="2058">
                  <c:v>45048</c:v>
                </c:pt>
                <c:pt idx="2059">
                  <c:v>45049</c:v>
                </c:pt>
                <c:pt idx="2060">
                  <c:v>45050</c:v>
                </c:pt>
                <c:pt idx="2061">
                  <c:v>45051</c:v>
                </c:pt>
                <c:pt idx="2062">
                  <c:v>45054</c:v>
                </c:pt>
                <c:pt idx="2063">
                  <c:v>45055</c:v>
                </c:pt>
                <c:pt idx="2064">
                  <c:v>45056</c:v>
                </c:pt>
                <c:pt idx="2065">
                  <c:v>45057</c:v>
                </c:pt>
                <c:pt idx="2066">
                  <c:v>45058</c:v>
                </c:pt>
                <c:pt idx="2067">
                  <c:v>45061</c:v>
                </c:pt>
                <c:pt idx="2068">
                  <c:v>45062</c:v>
                </c:pt>
                <c:pt idx="2069">
                  <c:v>45063</c:v>
                </c:pt>
                <c:pt idx="2070">
                  <c:v>45064</c:v>
                </c:pt>
                <c:pt idx="2071">
                  <c:v>45065</c:v>
                </c:pt>
                <c:pt idx="2072">
                  <c:v>45068</c:v>
                </c:pt>
                <c:pt idx="2073">
                  <c:v>45069</c:v>
                </c:pt>
                <c:pt idx="2074">
                  <c:v>45070</c:v>
                </c:pt>
                <c:pt idx="2075">
                  <c:v>45071</c:v>
                </c:pt>
                <c:pt idx="2076">
                  <c:v>45072</c:v>
                </c:pt>
                <c:pt idx="2077">
                  <c:v>45076</c:v>
                </c:pt>
                <c:pt idx="2078">
                  <c:v>45077</c:v>
                </c:pt>
                <c:pt idx="2079">
                  <c:v>45078</c:v>
                </c:pt>
                <c:pt idx="2080">
                  <c:v>45079</c:v>
                </c:pt>
                <c:pt idx="2081">
                  <c:v>45082</c:v>
                </c:pt>
                <c:pt idx="2082">
                  <c:v>45083</c:v>
                </c:pt>
                <c:pt idx="2083">
                  <c:v>45084</c:v>
                </c:pt>
                <c:pt idx="2084">
                  <c:v>45085</c:v>
                </c:pt>
                <c:pt idx="2085">
                  <c:v>45086</c:v>
                </c:pt>
                <c:pt idx="2086">
                  <c:v>45089</c:v>
                </c:pt>
                <c:pt idx="2087">
                  <c:v>45090</c:v>
                </c:pt>
                <c:pt idx="2088">
                  <c:v>45091</c:v>
                </c:pt>
                <c:pt idx="2089">
                  <c:v>45092</c:v>
                </c:pt>
                <c:pt idx="2090">
                  <c:v>45093</c:v>
                </c:pt>
                <c:pt idx="2091">
                  <c:v>45097</c:v>
                </c:pt>
                <c:pt idx="2092">
                  <c:v>45098</c:v>
                </c:pt>
                <c:pt idx="2093">
                  <c:v>45099</c:v>
                </c:pt>
                <c:pt idx="2094">
                  <c:v>45100</c:v>
                </c:pt>
                <c:pt idx="2095">
                  <c:v>45103</c:v>
                </c:pt>
                <c:pt idx="2096">
                  <c:v>45104</c:v>
                </c:pt>
                <c:pt idx="2097">
                  <c:v>45105</c:v>
                </c:pt>
                <c:pt idx="2098">
                  <c:v>45106</c:v>
                </c:pt>
                <c:pt idx="2099">
                  <c:v>45107</c:v>
                </c:pt>
                <c:pt idx="2100">
                  <c:v>45110</c:v>
                </c:pt>
                <c:pt idx="2101">
                  <c:v>45112</c:v>
                </c:pt>
                <c:pt idx="2102">
                  <c:v>45113</c:v>
                </c:pt>
                <c:pt idx="2103">
                  <c:v>45114</c:v>
                </c:pt>
                <c:pt idx="2104">
                  <c:v>45117</c:v>
                </c:pt>
                <c:pt idx="2105">
                  <c:v>45118</c:v>
                </c:pt>
                <c:pt idx="2106">
                  <c:v>45119</c:v>
                </c:pt>
                <c:pt idx="2107">
                  <c:v>45120</c:v>
                </c:pt>
                <c:pt idx="2108">
                  <c:v>45121</c:v>
                </c:pt>
                <c:pt idx="2109">
                  <c:v>45124</c:v>
                </c:pt>
                <c:pt idx="2110">
                  <c:v>45125</c:v>
                </c:pt>
                <c:pt idx="2111">
                  <c:v>45126</c:v>
                </c:pt>
                <c:pt idx="2112">
                  <c:v>45127</c:v>
                </c:pt>
                <c:pt idx="2113">
                  <c:v>45128</c:v>
                </c:pt>
                <c:pt idx="2114">
                  <c:v>45131</c:v>
                </c:pt>
                <c:pt idx="2115">
                  <c:v>45132</c:v>
                </c:pt>
                <c:pt idx="2116">
                  <c:v>45133</c:v>
                </c:pt>
                <c:pt idx="2117">
                  <c:v>45134</c:v>
                </c:pt>
                <c:pt idx="2118">
                  <c:v>45135</c:v>
                </c:pt>
                <c:pt idx="2119">
                  <c:v>45138</c:v>
                </c:pt>
                <c:pt idx="2120">
                  <c:v>45139</c:v>
                </c:pt>
                <c:pt idx="2121">
                  <c:v>45140</c:v>
                </c:pt>
                <c:pt idx="2122">
                  <c:v>45141</c:v>
                </c:pt>
                <c:pt idx="2123">
                  <c:v>45142</c:v>
                </c:pt>
                <c:pt idx="2124">
                  <c:v>45145</c:v>
                </c:pt>
                <c:pt idx="2125">
                  <c:v>45146</c:v>
                </c:pt>
                <c:pt idx="2126">
                  <c:v>45147</c:v>
                </c:pt>
                <c:pt idx="2127">
                  <c:v>45148</c:v>
                </c:pt>
                <c:pt idx="2128">
                  <c:v>45149</c:v>
                </c:pt>
                <c:pt idx="2129">
                  <c:v>45152</c:v>
                </c:pt>
                <c:pt idx="2130">
                  <c:v>45153</c:v>
                </c:pt>
                <c:pt idx="2131">
                  <c:v>45154</c:v>
                </c:pt>
                <c:pt idx="2132">
                  <c:v>45155</c:v>
                </c:pt>
                <c:pt idx="2133">
                  <c:v>45156</c:v>
                </c:pt>
                <c:pt idx="2134">
                  <c:v>45159</c:v>
                </c:pt>
                <c:pt idx="2135">
                  <c:v>45160</c:v>
                </c:pt>
                <c:pt idx="2136">
                  <c:v>45161</c:v>
                </c:pt>
                <c:pt idx="2137">
                  <c:v>45162</c:v>
                </c:pt>
                <c:pt idx="2138">
                  <c:v>45163</c:v>
                </c:pt>
                <c:pt idx="2139">
                  <c:v>45166</c:v>
                </c:pt>
                <c:pt idx="2140">
                  <c:v>45167</c:v>
                </c:pt>
                <c:pt idx="2141">
                  <c:v>45168</c:v>
                </c:pt>
                <c:pt idx="2142">
                  <c:v>45169</c:v>
                </c:pt>
                <c:pt idx="2143">
                  <c:v>45170</c:v>
                </c:pt>
                <c:pt idx="2144">
                  <c:v>45174</c:v>
                </c:pt>
                <c:pt idx="2145">
                  <c:v>45175</c:v>
                </c:pt>
                <c:pt idx="2146">
                  <c:v>45176</c:v>
                </c:pt>
                <c:pt idx="2147">
                  <c:v>45177</c:v>
                </c:pt>
                <c:pt idx="2148">
                  <c:v>45180</c:v>
                </c:pt>
                <c:pt idx="2149">
                  <c:v>45181</c:v>
                </c:pt>
                <c:pt idx="2150">
                  <c:v>45182</c:v>
                </c:pt>
                <c:pt idx="2151">
                  <c:v>45183</c:v>
                </c:pt>
                <c:pt idx="2152">
                  <c:v>45184</c:v>
                </c:pt>
                <c:pt idx="2153">
                  <c:v>45187</c:v>
                </c:pt>
                <c:pt idx="2154">
                  <c:v>45188</c:v>
                </c:pt>
                <c:pt idx="2155">
                  <c:v>45189</c:v>
                </c:pt>
                <c:pt idx="2156">
                  <c:v>45190</c:v>
                </c:pt>
                <c:pt idx="2157">
                  <c:v>45191</c:v>
                </c:pt>
                <c:pt idx="2158">
                  <c:v>45194</c:v>
                </c:pt>
                <c:pt idx="2159">
                  <c:v>45195</c:v>
                </c:pt>
                <c:pt idx="2160">
                  <c:v>45196</c:v>
                </c:pt>
                <c:pt idx="2161">
                  <c:v>45197</c:v>
                </c:pt>
                <c:pt idx="2162">
                  <c:v>45198</c:v>
                </c:pt>
                <c:pt idx="2163">
                  <c:v>45201</c:v>
                </c:pt>
                <c:pt idx="2164">
                  <c:v>45202</c:v>
                </c:pt>
                <c:pt idx="2165">
                  <c:v>45203</c:v>
                </c:pt>
                <c:pt idx="2166">
                  <c:v>45204</c:v>
                </c:pt>
                <c:pt idx="2167">
                  <c:v>45205</c:v>
                </c:pt>
                <c:pt idx="2168">
                  <c:v>45208</c:v>
                </c:pt>
                <c:pt idx="2169">
                  <c:v>45209</c:v>
                </c:pt>
                <c:pt idx="2170">
                  <c:v>45210</c:v>
                </c:pt>
                <c:pt idx="2171">
                  <c:v>45211</c:v>
                </c:pt>
                <c:pt idx="2172">
                  <c:v>45212</c:v>
                </c:pt>
                <c:pt idx="2173">
                  <c:v>45215</c:v>
                </c:pt>
                <c:pt idx="2174">
                  <c:v>45216</c:v>
                </c:pt>
                <c:pt idx="2175">
                  <c:v>45217</c:v>
                </c:pt>
                <c:pt idx="2176">
                  <c:v>45218</c:v>
                </c:pt>
                <c:pt idx="2177">
                  <c:v>45219</c:v>
                </c:pt>
                <c:pt idx="2178">
                  <c:v>45222</c:v>
                </c:pt>
                <c:pt idx="2179">
                  <c:v>45223</c:v>
                </c:pt>
                <c:pt idx="2180">
                  <c:v>45224</c:v>
                </c:pt>
                <c:pt idx="2181">
                  <c:v>45225</c:v>
                </c:pt>
                <c:pt idx="2182">
                  <c:v>45226</c:v>
                </c:pt>
                <c:pt idx="2183">
                  <c:v>45229</c:v>
                </c:pt>
                <c:pt idx="2184">
                  <c:v>45230</c:v>
                </c:pt>
                <c:pt idx="2185">
                  <c:v>45231</c:v>
                </c:pt>
                <c:pt idx="2186">
                  <c:v>45232</c:v>
                </c:pt>
                <c:pt idx="2187">
                  <c:v>45233</c:v>
                </c:pt>
                <c:pt idx="2188">
                  <c:v>45236</c:v>
                </c:pt>
                <c:pt idx="2189">
                  <c:v>45237</c:v>
                </c:pt>
                <c:pt idx="2190">
                  <c:v>45238</c:v>
                </c:pt>
                <c:pt idx="2191">
                  <c:v>45239</c:v>
                </c:pt>
                <c:pt idx="2192">
                  <c:v>45240</c:v>
                </c:pt>
                <c:pt idx="2193">
                  <c:v>45243</c:v>
                </c:pt>
                <c:pt idx="2194">
                  <c:v>45244</c:v>
                </c:pt>
                <c:pt idx="2195">
                  <c:v>45245</c:v>
                </c:pt>
                <c:pt idx="2196">
                  <c:v>45246</c:v>
                </c:pt>
                <c:pt idx="2197">
                  <c:v>45247</c:v>
                </c:pt>
                <c:pt idx="2198">
                  <c:v>45250</c:v>
                </c:pt>
                <c:pt idx="2199">
                  <c:v>45251</c:v>
                </c:pt>
                <c:pt idx="2200">
                  <c:v>45252</c:v>
                </c:pt>
                <c:pt idx="2201">
                  <c:v>45254</c:v>
                </c:pt>
                <c:pt idx="2202">
                  <c:v>45257</c:v>
                </c:pt>
                <c:pt idx="2203">
                  <c:v>45258</c:v>
                </c:pt>
                <c:pt idx="2204">
                  <c:v>45259</c:v>
                </c:pt>
                <c:pt idx="2205">
                  <c:v>45260</c:v>
                </c:pt>
                <c:pt idx="2206">
                  <c:v>45261</c:v>
                </c:pt>
                <c:pt idx="2207">
                  <c:v>45264</c:v>
                </c:pt>
                <c:pt idx="2208">
                  <c:v>45265</c:v>
                </c:pt>
                <c:pt idx="2209">
                  <c:v>45266</c:v>
                </c:pt>
                <c:pt idx="2210">
                  <c:v>45267</c:v>
                </c:pt>
                <c:pt idx="2211">
                  <c:v>45268</c:v>
                </c:pt>
                <c:pt idx="2212">
                  <c:v>45271</c:v>
                </c:pt>
                <c:pt idx="2213">
                  <c:v>45272</c:v>
                </c:pt>
                <c:pt idx="2214">
                  <c:v>45273</c:v>
                </c:pt>
                <c:pt idx="2215">
                  <c:v>45274</c:v>
                </c:pt>
                <c:pt idx="2216">
                  <c:v>45275</c:v>
                </c:pt>
                <c:pt idx="2217">
                  <c:v>45278</c:v>
                </c:pt>
                <c:pt idx="2218">
                  <c:v>45279</c:v>
                </c:pt>
                <c:pt idx="2219">
                  <c:v>45280</c:v>
                </c:pt>
                <c:pt idx="2220">
                  <c:v>45281</c:v>
                </c:pt>
                <c:pt idx="2221">
                  <c:v>45282</c:v>
                </c:pt>
                <c:pt idx="2222">
                  <c:v>45286</c:v>
                </c:pt>
                <c:pt idx="2223">
                  <c:v>45287</c:v>
                </c:pt>
                <c:pt idx="2224">
                  <c:v>45288</c:v>
                </c:pt>
                <c:pt idx="2225">
                  <c:v>45289</c:v>
                </c:pt>
                <c:pt idx="2226">
                  <c:v>45293</c:v>
                </c:pt>
                <c:pt idx="2227">
                  <c:v>45294</c:v>
                </c:pt>
                <c:pt idx="2228">
                  <c:v>45295</c:v>
                </c:pt>
                <c:pt idx="2229">
                  <c:v>45296</c:v>
                </c:pt>
                <c:pt idx="2230">
                  <c:v>45299</c:v>
                </c:pt>
                <c:pt idx="2231">
                  <c:v>45300</c:v>
                </c:pt>
                <c:pt idx="2232">
                  <c:v>45301</c:v>
                </c:pt>
                <c:pt idx="2233">
                  <c:v>45302</c:v>
                </c:pt>
                <c:pt idx="2234">
                  <c:v>45303</c:v>
                </c:pt>
                <c:pt idx="2235">
                  <c:v>45307</c:v>
                </c:pt>
                <c:pt idx="2236">
                  <c:v>45308</c:v>
                </c:pt>
                <c:pt idx="2237">
                  <c:v>45309</c:v>
                </c:pt>
                <c:pt idx="2238">
                  <c:v>45310</c:v>
                </c:pt>
                <c:pt idx="2239">
                  <c:v>45313</c:v>
                </c:pt>
                <c:pt idx="2240">
                  <c:v>45314</c:v>
                </c:pt>
                <c:pt idx="2241">
                  <c:v>45315</c:v>
                </c:pt>
                <c:pt idx="2242">
                  <c:v>45316</c:v>
                </c:pt>
                <c:pt idx="2243">
                  <c:v>45317</c:v>
                </c:pt>
                <c:pt idx="2244">
                  <c:v>45320</c:v>
                </c:pt>
                <c:pt idx="2245">
                  <c:v>45321</c:v>
                </c:pt>
                <c:pt idx="2246">
                  <c:v>45322</c:v>
                </c:pt>
                <c:pt idx="2247">
                  <c:v>45323</c:v>
                </c:pt>
                <c:pt idx="2248">
                  <c:v>45324</c:v>
                </c:pt>
                <c:pt idx="2249">
                  <c:v>45327</c:v>
                </c:pt>
                <c:pt idx="2250">
                  <c:v>45328</c:v>
                </c:pt>
                <c:pt idx="2251">
                  <c:v>45329</c:v>
                </c:pt>
                <c:pt idx="2252">
                  <c:v>45330</c:v>
                </c:pt>
                <c:pt idx="2253">
                  <c:v>45331</c:v>
                </c:pt>
                <c:pt idx="2254">
                  <c:v>45334</c:v>
                </c:pt>
                <c:pt idx="2255">
                  <c:v>45335</c:v>
                </c:pt>
                <c:pt idx="2256">
                  <c:v>45336</c:v>
                </c:pt>
                <c:pt idx="2257">
                  <c:v>45337</c:v>
                </c:pt>
                <c:pt idx="2258">
                  <c:v>45338</c:v>
                </c:pt>
                <c:pt idx="2259">
                  <c:v>45342</c:v>
                </c:pt>
                <c:pt idx="2260">
                  <c:v>45343</c:v>
                </c:pt>
                <c:pt idx="2261">
                  <c:v>45344</c:v>
                </c:pt>
                <c:pt idx="2262">
                  <c:v>45345</c:v>
                </c:pt>
                <c:pt idx="2263">
                  <c:v>45348</c:v>
                </c:pt>
                <c:pt idx="2264">
                  <c:v>45349</c:v>
                </c:pt>
                <c:pt idx="2265">
                  <c:v>45350</c:v>
                </c:pt>
                <c:pt idx="2266">
                  <c:v>45351</c:v>
                </c:pt>
                <c:pt idx="2267">
                  <c:v>45352</c:v>
                </c:pt>
                <c:pt idx="2268">
                  <c:v>45355</c:v>
                </c:pt>
                <c:pt idx="2269">
                  <c:v>45356</c:v>
                </c:pt>
                <c:pt idx="2270">
                  <c:v>45357</c:v>
                </c:pt>
                <c:pt idx="2271">
                  <c:v>45358</c:v>
                </c:pt>
                <c:pt idx="2272">
                  <c:v>45359</c:v>
                </c:pt>
                <c:pt idx="2273">
                  <c:v>45362</c:v>
                </c:pt>
                <c:pt idx="2274">
                  <c:v>45363</c:v>
                </c:pt>
                <c:pt idx="2275">
                  <c:v>45364</c:v>
                </c:pt>
                <c:pt idx="2276">
                  <c:v>45365</c:v>
                </c:pt>
                <c:pt idx="2277">
                  <c:v>45366</c:v>
                </c:pt>
                <c:pt idx="2278">
                  <c:v>45369</c:v>
                </c:pt>
                <c:pt idx="2279">
                  <c:v>45370</c:v>
                </c:pt>
                <c:pt idx="2280">
                  <c:v>45371</c:v>
                </c:pt>
                <c:pt idx="2281">
                  <c:v>45372</c:v>
                </c:pt>
                <c:pt idx="2282">
                  <c:v>45373</c:v>
                </c:pt>
                <c:pt idx="2283">
                  <c:v>45376</c:v>
                </c:pt>
                <c:pt idx="2284">
                  <c:v>45377</c:v>
                </c:pt>
                <c:pt idx="2285">
                  <c:v>45378</c:v>
                </c:pt>
                <c:pt idx="2286">
                  <c:v>45379</c:v>
                </c:pt>
                <c:pt idx="2287">
                  <c:v>45383</c:v>
                </c:pt>
                <c:pt idx="2288">
                  <c:v>45384</c:v>
                </c:pt>
                <c:pt idx="2289">
                  <c:v>45385</c:v>
                </c:pt>
                <c:pt idx="2290">
                  <c:v>45386</c:v>
                </c:pt>
                <c:pt idx="2291">
                  <c:v>45387</c:v>
                </c:pt>
                <c:pt idx="2292">
                  <c:v>45390</c:v>
                </c:pt>
                <c:pt idx="2293">
                  <c:v>45391</c:v>
                </c:pt>
                <c:pt idx="2294">
                  <c:v>45392</c:v>
                </c:pt>
                <c:pt idx="2295">
                  <c:v>45393</c:v>
                </c:pt>
                <c:pt idx="2296">
                  <c:v>45394</c:v>
                </c:pt>
                <c:pt idx="2297">
                  <c:v>45397</c:v>
                </c:pt>
                <c:pt idx="2298">
                  <c:v>45398</c:v>
                </c:pt>
                <c:pt idx="2299">
                  <c:v>45399</c:v>
                </c:pt>
                <c:pt idx="2300">
                  <c:v>45400</c:v>
                </c:pt>
                <c:pt idx="2301">
                  <c:v>45401</c:v>
                </c:pt>
                <c:pt idx="2302">
                  <c:v>45404</c:v>
                </c:pt>
                <c:pt idx="2303">
                  <c:v>45405</c:v>
                </c:pt>
                <c:pt idx="2304">
                  <c:v>45406</c:v>
                </c:pt>
                <c:pt idx="2305">
                  <c:v>45407</c:v>
                </c:pt>
                <c:pt idx="2306">
                  <c:v>45408</c:v>
                </c:pt>
                <c:pt idx="2307">
                  <c:v>45411</c:v>
                </c:pt>
                <c:pt idx="2308">
                  <c:v>45412</c:v>
                </c:pt>
                <c:pt idx="2309">
                  <c:v>45413</c:v>
                </c:pt>
                <c:pt idx="2310">
                  <c:v>45414</c:v>
                </c:pt>
                <c:pt idx="2311">
                  <c:v>45415</c:v>
                </c:pt>
                <c:pt idx="2312">
                  <c:v>45418</c:v>
                </c:pt>
                <c:pt idx="2313">
                  <c:v>45419</c:v>
                </c:pt>
                <c:pt idx="2314">
                  <c:v>45420</c:v>
                </c:pt>
                <c:pt idx="2315">
                  <c:v>45421</c:v>
                </c:pt>
                <c:pt idx="2316">
                  <c:v>45422</c:v>
                </c:pt>
                <c:pt idx="2317">
                  <c:v>45425</c:v>
                </c:pt>
                <c:pt idx="2318">
                  <c:v>45426</c:v>
                </c:pt>
                <c:pt idx="2319">
                  <c:v>45427</c:v>
                </c:pt>
                <c:pt idx="2320">
                  <c:v>45428</c:v>
                </c:pt>
                <c:pt idx="2321">
                  <c:v>45429</c:v>
                </c:pt>
                <c:pt idx="2322">
                  <c:v>45432</c:v>
                </c:pt>
                <c:pt idx="2323">
                  <c:v>45433</c:v>
                </c:pt>
                <c:pt idx="2324">
                  <c:v>45434</c:v>
                </c:pt>
                <c:pt idx="2325">
                  <c:v>45435</c:v>
                </c:pt>
                <c:pt idx="2326">
                  <c:v>45436</c:v>
                </c:pt>
                <c:pt idx="2327">
                  <c:v>45440</c:v>
                </c:pt>
                <c:pt idx="2328">
                  <c:v>45441</c:v>
                </c:pt>
                <c:pt idx="2329">
                  <c:v>45442</c:v>
                </c:pt>
                <c:pt idx="2330">
                  <c:v>45443</c:v>
                </c:pt>
                <c:pt idx="2331">
                  <c:v>45446</c:v>
                </c:pt>
                <c:pt idx="2332">
                  <c:v>45447</c:v>
                </c:pt>
                <c:pt idx="2333">
                  <c:v>45448</c:v>
                </c:pt>
                <c:pt idx="2334">
                  <c:v>45449</c:v>
                </c:pt>
                <c:pt idx="2335">
                  <c:v>45450</c:v>
                </c:pt>
                <c:pt idx="2336">
                  <c:v>45453</c:v>
                </c:pt>
                <c:pt idx="2337">
                  <c:v>45454</c:v>
                </c:pt>
                <c:pt idx="2338">
                  <c:v>45455</c:v>
                </c:pt>
                <c:pt idx="2339">
                  <c:v>45456</c:v>
                </c:pt>
                <c:pt idx="2340">
                  <c:v>45457</c:v>
                </c:pt>
                <c:pt idx="2341">
                  <c:v>45460</c:v>
                </c:pt>
                <c:pt idx="2342">
                  <c:v>45461</c:v>
                </c:pt>
                <c:pt idx="2343">
                  <c:v>45463</c:v>
                </c:pt>
                <c:pt idx="2344">
                  <c:v>45464</c:v>
                </c:pt>
                <c:pt idx="2345">
                  <c:v>45467</c:v>
                </c:pt>
                <c:pt idx="2346">
                  <c:v>45468</c:v>
                </c:pt>
                <c:pt idx="2347">
                  <c:v>45469</c:v>
                </c:pt>
                <c:pt idx="2348">
                  <c:v>45470</c:v>
                </c:pt>
                <c:pt idx="2349">
                  <c:v>45471</c:v>
                </c:pt>
                <c:pt idx="2350">
                  <c:v>45474</c:v>
                </c:pt>
                <c:pt idx="2351">
                  <c:v>45475</c:v>
                </c:pt>
                <c:pt idx="2352">
                  <c:v>45476</c:v>
                </c:pt>
                <c:pt idx="2353">
                  <c:v>45478</c:v>
                </c:pt>
                <c:pt idx="2354">
                  <c:v>45481</c:v>
                </c:pt>
                <c:pt idx="2355">
                  <c:v>45482</c:v>
                </c:pt>
                <c:pt idx="2356">
                  <c:v>45483</c:v>
                </c:pt>
                <c:pt idx="2357">
                  <c:v>45484</c:v>
                </c:pt>
                <c:pt idx="2358">
                  <c:v>45485</c:v>
                </c:pt>
                <c:pt idx="2359">
                  <c:v>45488</c:v>
                </c:pt>
                <c:pt idx="2360">
                  <c:v>45489</c:v>
                </c:pt>
                <c:pt idx="2361">
                  <c:v>45490</c:v>
                </c:pt>
                <c:pt idx="2362">
                  <c:v>45491</c:v>
                </c:pt>
                <c:pt idx="2363">
                  <c:v>45492</c:v>
                </c:pt>
                <c:pt idx="2364">
                  <c:v>45495</c:v>
                </c:pt>
                <c:pt idx="2365">
                  <c:v>45496</c:v>
                </c:pt>
                <c:pt idx="2366">
                  <c:v>45497</c:v>
                </c:pt>
                <c:pt idx="2367">
                  <c:v>45498</c:v>
                </c:pt>
                <c:pt idx="2368">
                  <c:v>45499</c:v>
                </c:pt>
                <c:pt idx="2369">
                  <c:v>45502</c:v>
                </c:pt>
                <c:pt idx="2370">
                  <c:v>45503</c:v>
                </c:pt>
                <c:pt idx="2371">
                  <c:v>45504</c:v>
                </c:pt>
                <c:pt idx="2372">
                  <c:v>45505</c:v>
                </c:pt>
                <c:pt idx="2373">
                  <c:v>45506</c:v>
                </c:pt>
                <c:pt idx="2374">
                  <c:v>45509</c:v>
                </c:pt>
                <c:pt idx="2375">
                  <c:v>45510</c:v>
                </c:pt>
                <c:pt idx="2376">
                  <c:v>45511</c:v>
                </c:pt>
                <c:pt idx="2377">
                  <c:v>45512</c:v>
                </c:pt>
                <c:pt idx="2378">
                  <c:v>45513</c:v>
                </c:pt>
                <c:pt idx="2379">
                  <c:v>45516</c:v>
                </c:pt>
                <c:pt idx="2380">
                  <c:v>45517</c:v>
                </c:pt>
                <c:pt idx="2381">
                  <c:v>45518</c:v>
                </c:pt>
                <c:pt idx="2382">
                  <c:v>45519</c:v>
                </c:pt>
                <c:pt idx="2383">
                  <c:v>45520</c:v>
                </c:pt>
                <c:pt idx="2384">
                  <c:v>45523</c:v>
                </c:pt>
                <c:pt idx="2385">
                  <c:v>45524</c:v>
                </c:pt>
                <c:pt idx="2386">
                  <c:v>45525</c:v>
                </c:pt>
                <c:pt idx="2387">
                  <c:v>45526</c:v>
                </c:pt>
                <c:pt idx="2388">
                  <c:v>45527</c:v>
                </c:pt>
                <c:pt idx="2389">
                  <c:v>45530</c:v>
                </c:pt>
                <c:pt idx="2390">
                  <c:v>45531</c:v>
                </c:pt>
                <c:pt idx="2391">
                  <c:v>45532</c:v>
                </c:pt>
                <c:pt idx="2392">
                  <c:v>45533</c:v>
                </c:pt>
                <c:pt idx="2393">
                  <c:v>45534</c:v>
                </c:pt>
                <c:pt idx="2394">
                  <c:v>45538</c:v>
                </c:pt>
                <c:pt idx="2395">
                  <c:v>45539</c:v>
                </c:pt>
                <c:pt idx="2396">
                  <c:v>45540</c:v>
                </c:pt>
                <c:pt idx="2397">
                  <c:v>45541</c:v>
                </c:pt>
                <c:pt idx="2398">
                  <c:v>45544</c:v>
                </c:pt>
                <c:pt idx="2399">
                  <c:v>45545</c:v>
                </c:pt>
                <c:pt idx="2400">
                  <c:v>45546</c:v>
                </c:pt>
                <c:pt idx="2401">
                  <c:v>45547</c:v>
                </c:pt>
                <c:pt idx="2402">
                  <c:v>45548</c:v>
                </c:pt>
                <c:pt idx="2403">
                  <c:v>45551</c:v>
                </c:pt>
                <c:pt idx="2404">
                  <c:v>45552</c:v>
                </c:pt>
                <c:pt idx="2405">
                  <c:v>45553</c:v>
                </c:pt>
                <c:pt idx="2406">
                  <c:v>45554</c:v>
                </c:pt>
                <c:pt idx="2407">
                  <c:v>45555</c:v>
                </c:pt>
                <c:pt idx="2408">
                  <c:v>45558</c:v>
                </c:pt>
                <c:pt idx="2409">
                  <c:v>45559</c:v>
                </c:pt>
                <c:pt idx="2410">
                  <c:v>45560</c:v>
                </c:pt>
                <c:pt idx="2411">
                  <c:v>45561</c:v>
                </c:pt>
                <c:pt idx="2412">
                  <c:v>45562</c:v>
                </c:pt>
                <c:pt idx="2413">
                  <c:v>45565</c:v>
                </c:pt>
                <c:pt idx="2414">
                  <c:v>45566</c:v>
                </c:pt>
                <c:pt idx="2415">
                  <c:v>45567</c:v>
                </c:pt>
                <c:pt idx="2416">
                  <c:v>45568</c:v>
                </c:pt>
                <c:pt idx="2417">
                  <c:v>45569</c:v>
                </c:pt>
                <c:pt idx="2418">
                  <c:v>45572</c:v>
                </c:pt>
                <c:pt idx="2419">
                  <c:v>45573</c:v>
                </c:pt>
                <c:pt idx="2420">
                  <c:v>45574</c:v>
                </c:pt>
                <c:pt idx="2421">
                  <c:v>45575</c:v>
                </c:pt>
                <c:pt idx="2422">
                  <c:v>45576</c:v>
                </c:pt>
                <c:pt idx="2423">
                  <c:v>45579</c:v>
                </c:pt>
                <c:pt idx="2424">
                  <c:v>45580</c:v>
                </c:pt>
                <c:pt idx="2425">
                  <c:v>45581</c:v>
                </c:pt>
                <c:pt idx="2426">
                  <c:v>45582</c:v>
                </c:pt>
                <c:pt idx="2427">
                  <c:v>45583</c:v>
                </c:pt>
                <c:pt idx="2428">
                  <c:v>45586</c:v>
                </c:pt>
                <c:pt idx="2429">
                  <c:v>45587</c:v>
                </c:pt>
                <c:pt idx="2430">
                  <c:v>45588</c:v>
                </c:pt>
                <c:pt idx="2431">
                  <c:v>45589</c:v>
                </c:pt>
                <c:pt idx="2432">
                  <c:v>45590</c:v>
                </c:pt>
                <c:pt idx="2433">
                  <c:v>45593</c:v>
                </c:pt>
                <c:pt idx="2434">
                  <c:v>45594</c:v>
                </c:pt>
                <c:pt idx="2435">
                  <c:v>45595</c:v>
                </c:pt>
                <c:pt idx="2436">
                  <c:v>45596</c:v>
                </c:pt>
                <c:pt idx="2437">
                  <c:v>45597</c:v>
                </c:pt>
                <c:pt idx="2438">
                  <c:v>45600</c:v>
                </c:pt>
                <c:pt idx="2439">
                  <c:v>45601</c:v>
                </c:pt>
                <c:pt idx="2440">
                  <c:v>45602</c:v>
                </c:pt>
                <c:pt idx="2441">
                  <c:v>45603</c:v>
                </c:pt>
                <c:pt idx="2442">
                  <c:v>45604</c:v>
                </c:pt>
                <c:pt idx="2443">
                  <c:v>45607</c:v>
                </c:pt>
                <c:pt idx="2444">
                  <c:v>45608</c:v>
                </c:pt>
                <c:pt idx="2445">
                  <c:v>45609</c:v>
                </c:pt>
                <c:pt idx="2446">
                  <c:v>45610</c:v>
                </c:pt>
                <c:pt idx="2447">
                  <c:v>45611</c:v>
                </c:pt>
                <c:pt idx="2448">
                  <c:v>45614</c:v>
                </c:pt>
                <c:pt idx="2449">
                  <c:v>45615</c:v>
                </c:pt>
                <c:pt idx="2450">
                  <c:v>45616</c:v>
                </c:pt>
                <c:pt idx="2451">
                  <c:v>45617</c:v>
                </c:pt>
                <c:pt idx="2452">
                  <c:v>45618</c:v>
                </c:pt>
                <c:pt idx="2453">
                  <c:v>45621</c:v>
                </c:pt>
                <c:pt idx="2454">
                  <c:v>45622</c:v>
                </c:pt>
                <c:pt idx="2455">
                  <c:v>45623</c:v>
                </c:pt>
                <c:pt idx="2456">
                  <c:v>45625</c:v>
                </c:pt>
                <c:pt idx="2457">
                  <c:v>45628</c:v>
                </c:pt>
                <c:pt idx="2458">
                  <c:v>45629</c:v>
                </c:pt>
                <c:pt idx="2459">
                  <c:v>45630</c:v>
                </c:pt>
                <c:pt idx="2460">
                  <c:v>45631</c:v>
                </c:pt>
                <c:pt idx="2461">
                  <c:v>45632</c:v>
                </c:pt>
                <c:pt idx="2462">
                  <c:v>45635</c:v>
                </c:pt>
                <c:pt idx="2463">
                  <c:v>45636</c:v>
                </c:pt>
                <c:pt idx="2464">
                  <c:v>45637</c:v>
                </c:pt>
                <c:pt idx="2465">
                  <c:v>45638</c:v>
                </c:pt>
                <c:pt idx="2466">
                  <c:v>45639</c:v>
                </c:pt>
                <c:pt idx="2467">
                  <c:v>45642</c:v>
                </c:pt>
                <c:pt idx="2468">
                  <c:v>45643</c:v>
                </c:pt>
                <c:pt idx="2469">
                  <c:v>45644</c:v>
                </c:pt>
                <c:pt idx="2470">
                  <c:v>45645</c:v>
                </c:pt>
                <c:pt idx="2471">
                  <c:v>45646</c:v>
                </c:pt>
                <c:pt idx="2472">
                  <c:v>45649</c:v>
                </c:pt>
                <c:pt idx="2473">
                  <c:v>45650</c:v>
                </c:pt>
                <c:pt idx="2474">
                  <c:v>45652</c:v>
                </c:pt>
                <c:pt idx="2475">
                  <c:v>45653</c:v>
                </c:pt>
                <c:pt idx="2476">
                  <c:v>45656</c:v>
                </c:pt>
                <c:pt idx="2477">
                  <c:v>45657</c:v>
                </c:pt>
                <c:pt idx="2478">
                  <c:v>45659</c:v>
                </c:pt>
                <c:pt idx="2479">
                  <c:v>45660</c:v>
                </c:pt>
                <c:pt idx="2480">
                  <c:v>45663</c:v>
                </c:pt>
                <c:pt idx="2481">
                  <c:v>45664</c:v>
                </c:pt>
                <c:pt idx="2482">
                  <c:v>45665</c:v>
                </c:pt>
                <c:pt idx="2483">
                  <c:v>45667</c:v>
                </c:pt>
                <c:pt idx="2484">
                  <c:v>45670</c:v>
                </c:pt>
                <c:pt idx="2485">
                  <c:v>45671</c:v>
                </c:pt>
                <c:pt idx="2486">
                  <c:v>45672</c:v>
                </c:pt>
                <c:pt idx="2487">
                  <c:v>45673</c:v>
                </c:pt>
                <c:pt idx="2488">
                  <c:v>45674</c:v>
                </c:pt>
                <c:pt idx="2489">
                  <c:v>45678</c:v>
                </c:pt>
                <c:pt idx="2490">
                  <c:v>45679</c:v>
                </c:pt>
                <c:pt idx="2491">
                  <c:v>45680</c:v>
                </c:pt>
                <c:pt idx="2492">
                  <c:v>45681</c:v>
                </c:pt>
                <c:pt idx="2493">
                  <c:v>45684</c:v>
                </c:pt>
                <c:pt idx="2494">
                  <c:v>45685</c:v>
                </c:pt>
                <c:pt idx="2495">
                  <c:v>45686</c:v>
                </c:pt>
                <c:pt idx="2496">
                  <c:v>45687</c:v>
                </c:pt>
                <c:pt idx="2497">
                  <c:v>45688</c:v>
                </c:pt>
                <c:pt idx="2498">
                  <c:v>45691</c:v>
                </c:pt>
                <c:pt idx="2499">
                  <c:v>45692</c:v>
                </c:pt>
                <c:pt idx="2500">
                  <c:v>45693</c:v>
                </c:pt>
                <c:pt idx="2501">
                  <c:v>45694</c:v>
                </c:pt>
                <c:pt idx="2502">
                  <c:v>45695</c:v>
                </c:pt>
                <c:pt idx="2503">
                  <c:v>45698</c:v>
                </c:pt>
                <c:pt idx="2504">
                  <c:v>45699</c:v>
                </c:pt>
                <c:pt idx="2505">
                  <c:v>45700</c:v>
                </c:pt>
                <c:pt idx="2506">
                  <c:v>45701</c:v>
                </c:pt>
                <c:pt idx="2507">
                  <c:v>45702</c:v>
                </c:pt>
                <c:pt idx="2508">
                  <c:v>45706</c:v>
                </c:pt>
                <c:pt idx="2509">
                  <c:v>45707</c:v>
                </c:pt>
                <c:pt idx="2510">
                  <c:v>45708</c:v>
                </c:pt>
                <c:pt idx="2511">
                  <c:v>45709</c:v>
                </c:pt>
                <c:pt idx="2512">
                  <c:v>45712</c:v>
                </c:pt>
                <c:pt idx="2513">
                  <c:v>45713</c:v>
                </c:pt>
                <c:pt idx="2514">
                  <c:v>45714</c:v>
                </c:pt>
                <c:pt idx="2515">
                  <c:v>45715</c:v>
                </c:pt>
                <c:pt idx="2516">
                  <c:v>45716</c:v>
                </c:pt>
              </c:numCache>
            </c:numRef>
          </c:cat>
          <c:val>
            <c:numRef>
              <c:f>'Coca-Cola Stock Price History'!$C$6:$C$2522</c:f>
              <c:numCache>
                <c:formatCode>0.000</c:formatCode>
                <c:ptCount val="2517"/>
                <c:pt idx="1">
                  <c:v>43.2</c:v>
                </c:pt>
                <c:pt idx="2">
                  <c:v>42.95</c:v>
                </c:pt>
                <c:pt idx="3">
                  <c:v>42.5</c:v>
                </c:pt>
                <c:pt idx="4">
                  <c:v>42.4</c:v>
                </c:pt>
                <c:pt idx="5">
                  <c:v>41.52</c:v>
                </c:pt>
                <c:pt idx="6">
                  <c:v>41.39</c:v>
                </c:pt>
                <c:pt idx="7">
                  <c:v>40.69</c:v>
                </c:pt>
                <c:pt idx="8">
                  <c:v>40.1</c:v>
                </c:pt>
                <c:pt idx="9">
                  <c:v>40.57</c:v>
                </c:pt>
                <c:pt idx="10">
                  <c:v>39.909999999999997</c:v>
                </c:pt>
                <c:pt idx="11">
                  <c:v>40.29</c:v>
                </c:pt>
                <c:pt idx="12">
                  <c:v>40.51</c:v>
                </c:pt>
                <c:pt idx="13">
                  <c:v>40.6</c:v>
                </c:pt>
                <c:pt idx="14">
                  <c:v>40.020000000000003</c:v>
                </c:pt>
                <c:pt idx="15">
                  <c:v>40.65</c:v>
                </c:pt>
                <c:pt idx="16">
                  <c:v>40.619999999999997</c:v>
                </c:pt>
                <c:pt idx="17">
                  <c:v>40.47</c:v>
                </c:pt>
                <c:pt idx="18">
                  <c:v>40.450000000000003</c:v>
                </c:pt>
                <c:pt idx="19">
                  <c:v>40.35</c:v>
                </c:pt>
                <c:pt idx="20">
                  <c:v>40.08</c:v>
                </c:pt>
                <c:pt idx="21">
                  <c:v>40.51</c:v>
                </c:pt>
                <c:pt idx="22">
                  <c:v>40.549999999999997</c:v>
                </c:pt>
                <c:pt idx="23">
                  <c:v>40.68</c:v>
                </c:pt>
                <c:pt idx="24">
                  <c:v>40.68</c:v>
                </c:pt>
                <c:pt idx="25">
                  <c:v>41.17</c:v>
                </c:pt>
                <c:pt idx="26">
                  <c:v>41.01</c:v>
                </c:pt>
                <c:pt idx="27">
                  <c:v>40.89</c:v>
                </c:pt>
                <c:pt idx="28">
                  <c:v>41.05</c:v>
                </c:pt>
                <c:pt idx="29">
                  <c:v>40.880000000000003</c:v>
                </c:pt>
                <c:pt idx="30">
                  <c:v>40.700000000000003</c:v>
                </c:pt>
                <c:pt idx="31">
                  <c:v>40.51</c:v>
                </c:pt>
                <c:pt idx="32">
                  <c:v>40.4</c:v>
                </c:pt>
                <c:pt idx="33">
                  <c:v>40.6</c:v>
                </c:pt>
                <c:pt idx="34">
                  <c:v>40.299999999999997</c:v>
                </c:pt>
                <c:pt idx="35">
                  <c:v>40.659999999999997</c:v>
                </c:pt>
                <c:pt idx="36">
                  <c:v>40.78</c:v>
                </c:pt>
                <c:pt idx="37">
                  <c:v>41.31</c:v>
                </c:pt>
                <c:pt idx="38">
                  <c:v>40.950000000000003</c:v>
                </c:pt>
                <c:pt idx="39">
                  <c:v>40.89</c:v>
                </c:pt>
                <c:pt idx="40">
                  <c:v>40.83</c:v>
                </c:pt>
                <c:pt idx="41">
                  <c:v>40.770000000000003</c:v>
                </c:pt>
                <c:pt idx="42">
                  <c:v>40.49</c:v>
                </c:pt>
                <c:pt idx="43">
                  <c:v>40.56</c:v>
                </c:pt>
                <c:pt idx="44">
                  <c:v>40.909999999999997</c:v>
                </c:pt>
                <c:pt idx="45">
                  <c:v>40.96</c:v>
                </c:pt>
                <c:pt idx="46">
                  <c:v>40.75</c:v>
                </c:pt>
                <c:pt idx="47">
                  <c:v>40.659999999999997</c:v>
                </c:pt>
                <c:pt idx="48">
                  <c:v>40.700000000000003</c:v>
                </c:pt>
                <c:pt idx="49">
                  <c:v>40.98</c:v>
                </c:pt>
                <c:pt idx="50">
                  <c:v>40.94</c:v>
                </c:pt>
                <c:pt idx="51">
                  <c:v>40.69</c:v>
                </c:pt>
                <c:pt idx="52">
                  <c:v>41.05</c:v>
                </c:pt>
                <c:pt idx="53">
                  <c:v>41.5</c:v>
                </c:pt>
                <c:pt idx="54">
                  <c:v>41.52</c:v>
                </c:pt>
                <c:pt idx="55">
                  <c:v>41.32</c:v>
                </c:pt>
                <c:pt idx="56">
                  <c:v>41.31</c:v>
                </c:pt>
                <c:pt idx="57">
                  <c:v>41.35</c:v>
                </c:pt>
                <c:pt idx="58">
                  <c:v>41.23</c:v>
                </c:pt>
                <c:pt idx="59">
                  <c:v>41.21</c:v>
                </c:pt>
                <c:pt idx="60">
                  <c:v>40.99</c:v>
                </c:pt>
                <c:pt idx="61">
                  <c:v>41.12</c:v>
                </c:pt>
                <c:pt idx="62">
                  <c:v>41.14</c:v>
                </c:pt>
                <c:pt idx="63">
                  <c:v>40.96</c:v>
                </c:pt>
                <c:pt idx="64">
                  <c:v>40.94</c:v>
                </c:pt>
                <c:pt idx="65">
                  <c:v>40.99</c:v>
                </c:pt>
                <c:pt idx="66">
                  <c:v>40.869999999999997</c:v>
                </c:pt>
                <c:pt idx="67">
                  <c:v>40.590000000000003</c:v>
                </c:pt>
                <c:pt idx="68">
                  <c:v>40.1</c:v>
                </c:pt>
                <c:pt idx="69">
                  <c:v>40.159999999999997</c:v>
                </c:pt>
                <c:pt idx="70">
                  <c:v>40.200000000000003</c:v>
                </c:pt>
                <c:pt idx="71">
                  <c:v>40.33</c:v>
                </c:pt>
                <c:pt idx="72">
                  <c:v>40.1</c:v>
                </c:pt>
                <c:pt idx="73">
                  <c:v>39.96</c:v>
                </c:pt>
                <c:pt idx="74">
                  <c:v>39.590000000000003</c:v>
                </c:pt>
                <c:pt idx="75">
                  <c:v>40.08</c:v>
                </c:pt>
                <c:pt idx="76">
                  <c:v>40.270000000000003</c:v>
                </c:pt>
                <c:pt idx="77">
                  <c:v>40.65</c:v>
                </c:pt>
                <c:pt idx="78">
                  <c:v>40.4</c:v>
                </c:pt>
                <c:pt idx="79">
                  <c:v>40.479999999999997</c:v>
                </c:pt>
                <c:pt idx="80">
                  <c:v>40.380000000000003</c:v>
                </c:pt>
                <c:pt idx="81">
                  <c:v>40.19</c:v>
                </c:pt>
                <c:pt idx="82">
                  <c:v>40.020000000000003</c:v>
                </c:pt>
                <c:pt idx="83">
                  <c:v>40</c:v>
                </c:pt>
                <c:pt idx="84">
                  <c:v>39.4</c:v>
                </c:pt>
                <c:pt idx="85">
                  <c:v>39.229999999999997</c:v>
                </c:pt>
                <c:pt idx="86">
                  <c:v>39.5</c:v>
                </c:pt>
                <c:pt idx="87">
                  <c:v>39.49</c:v>
                </c:pt>
                <c:pt idx="88">
                  <c:v>39.42</c:v>
                </c:pt>
                <c:pt idx="89">
                  <c:v>40.25</c:v>
                </c:pt>
                <c:pt idx="90">
                  <c:v>39.86</c:v>
                </c:pt>
                <c:pt idx="91">
                  <c:v>39.92</c:v>
                </c:pt>
                <c:pt idx="92">
                  <c:v>40.39</c:v>
                </c:pt>
                <c:pt idx="93">
                  <c:v>40.659999999999997</c:v>
                </c:pt>
                <c:pt idx="94">
                  <c:v>41.17</c:v>
                </c:pt>
                <c:pt idx="95">
                  <c:v>41.13</c:v>
                </c:pt>
                <c:pt idx="96">
                  <c:v>41.48</c:v>
                </c:pt>
                <c:pt idx="97">
                  <c:v>41.25</c:v>
                </c:pt>
                <c:pt idx="98">
                  <c:v>41.38</c:v>
                </c:pt>
                <c:pt idx="99">
                  <c:v>41.19</c:v>
                </c:pt>
                <c:pt idx="100">
                  <c:v>40.9</c:v>
                </c:pt>
                <c:pt idx="101">
                  <c:v>40.840000000000003</c:v>
                </c:pt>
                <c:pt idx="102">
                  <c:v>40.44</c:v>
                </c:pt>
                <c:pt idx="103">
                  <c:v>40.54</c:v>
                </c:pt>
                <c:pt idx="104">
                  <c:v>40.549999999999997</c:v>
                </c:pt>
                <c:pt idx="105">
                  <c:v>40.590000000000003</c:v>
                </c:pt>
                <c:pt idx="106">
                  <c:v>40.56</c:v>
                </c:pt>
                <c:pt idx="107">
                  <c:v>41.08</c:v>
                </c:pt>
                <c:pt idx="108">
                  <c:v>41.54</c:v>
                </c:pt>
                <c:pt idx="109">
                  <c:v>41.85</c:v>
                </c:pt>
                <c:pt idx="110">
                  <c:v>42.12</c:v>
                </c:pt>
                <c:pt idx="111">
                  <c:v>41.92</c:v>
                </c:pt>
                <c:pt idx="112">
                  <c:v>41.77</c:v>
                </c:pt>
                <c:pt idx="113">
                  <c:v>41.68</c:v>
                </c:pt>
                <c:pt idx="114">
                  <c:v>41.48</c:v>
                </c:pt>
                <c:pt idx="115">
                  <c:v>41.26</c:v>
                </c:pt>
                <c:pt idx="116">
                  <c:v>41.1</c:v>
                </c:pt>
                <c:pt idx="117">
                  <c:v>41.25</c:v>
                </c:pt>
                <c:pt idx="118">
                  <c:v>41.35</c:v>
                </c:pt>
                <c:pt idx="119">
                  <c:v>41.3</c:v>
                </c:pt>
                <c:pt idx="120">
                  <c:v>40.78</c:v>
                </c:pt>
                <c:pt idx="121">
                  <c:v>40.549999999999997</c:v>
                </c:pt>
                <c:pt idx="122">
                  <c:v>39.53</c:v>
                </c:pt>
                <c:pt idx="123">
                  <c:v>38.380000000000003</c:v>
                </c:pt>
                <c:pt idx="124">
                  <c:v>37.99</c:v>
                </c:pt>
                <c:pt idx="125">
                  <c:v>38.729999999999997</c:v>
                </c:pt>
                <c:pt idx="126">
                  <c:v>39.270000000000003</c:v>
                </c:pt>
                <c:pt idx="127">
                  <c:v>39.450000000000003</c:v>
                </c:pt>
                <c:pt idx="128">
                  <c:v>39.32</c:v>
                </c:pt>
                <c:pt idx="129">
                  <c:v>38.75</c:v>
                </c:pt>
                <c:pt idx="130">
                  <c:v>38.9</c:v>
                </c:pt>
                <c:pt idx="131">
                  <c:v>39.159999999999997</c:v>
                </c:pt>
                <c:pt idx="132">
                  <c:v>38.520000000000003</c:v>
                </c:pt>
                <c:pt idx="133">
                  <c:v>38.9</c:v>
                </c:pt>
                <c:pt idx="134">
                  <c:v>38.299999999999997</c:v>
                </c:pt>
                <c:pt idx="135">
                  <c:v>38.42</c:v>
                </c:pt>
                <c:pt idx="136">
                  <c:v>38.130000000000003</c:v>
                </c:pt>
                <c:pt idx="137">
                  <c:v>38.1</c:v>
                </c:pt>
                <c:pt idx="138">
                  <c:v>38.5</c:v>
                </c:pt>
                <c:pt idx="139">
                  <c:v>39.15</c:v>
                </c:pt>
                <c:pt idx="140">
                  <c:v>39.380000000000003</c:v>
                </c:pt>
                <c:pt idx="141">
                  <c:v>38.979999999999997</c:v>
                </c:pt>
                <c:pt idx="142">
                  <c:v>39.19</c:v>
                </c:pt>
                <c:pt idx="143">
                  <c:v>38.79</c:v>
                </c:pt>
                <c:pt idx="144">
                  <c:v>38.76</c:v>
                </c:pt>
                <c:pt idx="145">
                  <c:v>39.15</c:v>
                </c:pt>
                <c:pt idx="146">
                  <c:v>39.619999999999997</c:v>
                </c:pt>
                <c:pt idx="147">
                  <c:v>39.53</c:v>
                </c:pt>
                <c:pt idx="148">
                  <c:v>39.659999999999997</c:v>
                </c:pt>
                <c:pt idx="149">
                  <c:v>40.119999999999997</c:v>
                </c:pt>
                <c:pt idx="150">
                  <c:v>39.799999999999997</c:v>
                </c:pt>
                <c:pt idx="151">
                  <c:v>40.39</c:v>
                </c:pt>
                <c:pt idx="152">
                  <c:v>41.01</c:v>
                </c:pt>
                <c:pt idx="153">
                  <c:v>40.96</c:v>
                </c:pt>
                <c:pt idx="154">
                  <c:v>41.52</c:v>
                </c:pt>
                <c:pt idx="155">
                  <c:v>41.98</c:v>
                </c:pt>
                <c:pt idx="156">
                  <c:v>42.02</c:v>
                </c:pt>
                <c:pt idx="157">
                  <c:v>42</c:v>
                </c:pt>
                <c:pt idx="158">
                  <c:v>41.65</c:v>
                </c:pt>
                <c:pt idx="159">
                  <c:v>41.68</c:v>
                </c:pt>
                <c:pt idx="160">
                  <c:v>41.92</c:v>
                </c:pt>
                <c:pt idx="161">
                  <c:v>42.02</c:v>
                </c:pt>
                <c:pt idx="162">
                  <c:v>41.99</c:v>
                </c:pt>
                <c:pt idx="163">
                  <c:v>42.29</c:v>
                </c:pt>
                <c:pt idx="164">
                  <c:v>42.19</c:v>
                </c:pt>
                <c:pt idx="165">
                  <c:v>43.24</c:v>
                </c:pt>
                <c:pt idx="166">
                  <c:v>42.79</c:v>
                </c:pt>
                <c:pt idx="167">
                  <c:v>42.59</c:v>
                </c:pt>
                <c:pt idx="168">
                  <c:v>42.61</c:v>
                </c:pt>
                <c:pt idx="169">
                  <c:v>42.73</c:v>
                </c:pt>
                <c:pt idx="170">
                  <c:v>42.79</c:v>
                </c:pt>
                <c:pt idx="171">
                  <c:v>42.35</c:v>
                </c:pt>
                <c:pt idx="172">
                  <c:v>42.24</c:v>
                </c:pt>
                <c:pt idx="173">
                  <c:v>42.16</c:v>
                </c:pt>
                <c:pt idx="174">
                  <c:v>41.97</c:v>
                </c:pt>
                <c:pt idx="175">
                  <c:v>42.33</c:v>
                </c:pt>
                <c:pt idx="176">
                  <c:v>41.96</c:v>
                </c:pt>
                <c:pt idx="177">
                  <c:v>41.54</c:v>
                </c:pt>
                <c:pt idx="178">
                  <c:v>41.77</c:v>
                </c:pt>
                <c:pt idx="179">
                  <c:v>42.04</c:v>
                </c:pt>
                <c:pt idx="180">
                  <c:v>41.58</c:v>
                </c:pt>
                <c:pt idx="181">
                  <c:v>41.38</c:v>
                </c:pt>
                <c:pt idx="182">
                  <c:v>41.96</c:v>
                </c:pt>
                <c:pt idx="183">
                  <c:v>41.67</c:v>
                </c:pt>
                <c:pt idx="184">
                  <c:v>42.28</c:v>
                </c:pt>
                <c:pt idx="185">
                  <c:v>43.11</c:v>
                </c:pt>
                <c:pt idx="186">
                  <c:v>42.43</c:v>
                </c:pt>
                <c:pt idx="187">
                  <c:v>42.96</c:v>
                </c:pt>
                <c:pt idx="188">
                  <c:v>43.36</c:v>
                </c:pt>
                <c:pt idx="189">
                  <c:v>43.36</c:v>
                </c:pt>
                <c:pt idx="190">
                  <c:v>43.15</c:v>
                </c:pt>
                <c:pt idx="191">
                  <c:v>42.62</c:v>
                </c:pt>
                <c:pt idx="192">
                  <c:v>42.89</c:v>
                </c:pt>
                <c:pt idx="193">
                  <c:v>42.77</c:v>
                </c:pt>
                <c:pt idx="194">
                  <c:v>42.46</c:v>
                </c:pt>
                <c:pt idx="195">
                  <c:v>43.29</c:v>
                </c:pt>
                <c:pt idx="196">
                  <c:v>43.2</c:v>
                </c:pt>
                <c:pt idx="197">
                  <c:v>43.01</c:v>
                </c:pt>
                <c:pt idx="198">
                  <c:v>42.66</c:v>
                </c:pt>
                <c:pt idx="199">
                  <c:v>42.76</c:v>
                </c:pt>
                <c:pt idx="200">
                  <c:v>42.27</c:v>
                </c:pt>
                <c:pt idx="201">
                  <c:v>42.45</c:v>
                </c:pt>
                <c:pt idx="202">
                  <c:v>43.07</c:v>
                </c:pt>
                <c:pt idx="203">
                  <c:v>43.84</c:v>
                </c:pt>
                <c:pt idx="204">
                  <c:v>43.49</c:v>
                </c:pt>
                <c:pt idx="205">
                  <c:v>42.5</c:v>
                </c:pt>
                <c:pt idx="206">
                  <c:v>42.78</c:v>
                </c:pt>
                <c:pt idx="207">
                  <c:v>43.29</c:v>
                </c:pt>
                <c:pt idx="208">
                  <c:v>43.67</c:v>
                </c:pt>
                <c:pt idx="209">
                  <c:v>43.54</c:v>
                </c:pt>
                <c:pt idx="210">
                  <c:v>43.49</c:v>
                </c:pt>
                <c:pt idx="211">
                  <c:v>43.71</c:v>
                </c:pt>
                <c:pt idx="212">
                  <c:v>43.57</c:v>
                </c:pt>
                <c:pt idx="213">
                  <c:v>42.96</c:v>
                </c:pt>
                <c:pt idx="214">
                  <c:v>42.4</c:v>
                </c:pt>
                <c:pt idx="215">
                  <c:v>42.55</c:v>
                </c:pt>
                <c:pt idx="216">
                  <c:v>42.32</c:v>
                </c:pt>
                <c:pt idx="217">
                  <c:v>41.62</c:v>
                </c:pt>
                <c:pt idx="218">
                  <c:v>41.51</c:v>
                </c:pt>
                <c:pt idx="219">
                  <c:v>41.58</c:v>
                </c:pt>
                <c:pt idx="220">
                  <c:v>42.12</c:v>
                </c:pt>
                <c:pt idx="221">
                  <c:v>41.85</c:v>
                </c:pt>
                <c:pt idx="222">
                  <c:v>41.88</c:v>
                </c:pt>
                <c:pt idx="223">
                  <c:v>41.5</c:v>
                </c:pt>
                <c:pt idx="224">
                  <c:v>41.92</c:v>
                </c:pt>
                <c:pt idx="225">
                  <c:v>41.38</c:v>
                </c:pt>
                <c:pt idx="226">
                  <c:v>41.39</c:v>
                </c:pt>
                <c:pt idx="227">
                  <c:v>42.06</c:v>
                </c:pt>
                <c:pt idx="228">
                  <c:v>42.16</c:v>
                </c:pt>
                <c:pt idx="229">
                  <c:v>42.08</c:v>
                </c:pt>
                <c:pt idx="230">
                  <c:v>42.09</c:v>
                </c:pt>
                <c:pt idx="231">
                  <c:v>42.57</c:v>
                </c:pt>
                <c:pt idx="232">
                  <c:v>42.92</c:v>
                </c:pt>
                <c:pt idx="233">
                  <c:v>43</c:v>
                </c:pt>
                <c:pt idx="234">
                  <c:v>42.44</c:v>
                </c:pt>
                <c:pt idx="235">
                  <c:v>42.72</c:v>
                </c:pt>
                <c:pt idx="236">
                  <c:v>42.53</c:v>
                </c:pt>
                <c:pt idx="237">
                  <c:v>42.44</c:v>
                </c:pt>
                <c:pt idx="238">
                  <c:v>42.65</c:v>
                </c:pt>
                <c:pt idx="239">
                  <c:v>43.3</c:v>
                </c:pt>
                <c:pt idx="240">
                  <c:v>42.55</c:v>
                </c:pt>
                <c:pt idx="241">
                  <c:v>42.41</c:v>
                </c:pt>
                <c:pt idx="242">
                  <c:v>43.11</c:v>
                </c:pt>
                <c:pt idx="243">
                  <c:v>43.36</c:v>
                </c:pt>
                <c:pt idx="244">
                  <c:v>43.49</c:v>
                </c:pt>
                <c:pt idx="245">
                  <c:v>43.61</c:v>
                </c:pt>
                <c:pt idx="246">
                  <c:v>43.77</c:v>
                </c:pt>
                <c:pt idx="247">
                  <c:v>43.94</c:v>
                </c:pt>
                <c:pt idx="248">
                  <c:v>43.69</c:v>
                </c:pt>
                <c:pt idx="249">
                  <c:v>43.91</c:v>
                </c:pt>
                <c:pt idx="250">
                  <c:v>44.16</c:v>
                </c:pt>
                <c:pt idx="251">
                  <c:v>43.14</c:v>
                </c:pt>
                <c:pt idx="252">
                  <c:v>43.13</c:v>
                </c:pt>
                <c:pt idx="253">
                  <c:v>43.69</c:v>
                </c:pt>
                <c:pt idx="254">
                  <c:v>43.77</c:v>
                </c:pt>
                <c:pt idx="255">
                  <c:v>43.96</c:v>
                </c:pt>
                <c:pt idx="256">
                  <c:v>44.11</c:v>
                </c:pt>
                <c:pt idx="257">
                  <c:v>44.01</c:v>
                </c:pt>
                <c:pt idx="258">
                  <c:v>44.32</c:v>
                </c:pt>
                <c:pt idx="259">
                  <c:v>44.81</c:v>
                </c:pt>
                <c:pt idx="260">
                  <c:v>45.23</c:v>
                </c:pt>
                <c:pt idx="261">
                  <c:v>45.2</c:v>
                </c:pt>
                <c:pt idx="262">
                  <c:v>45.29</c:v>
                </c:pt>
                <c:pt idx="263">
                  <c:v>45.24</c:v>
                </c:pt>
                <c:pt idx="264">
                  <c:v>45.05</c:v>
                </c:pt>
                <c:pt idx="265">
                  <c:v>45.77</c:v>
                </c:pt>
                <c:pt idx="266">
                  <c:v>45.6</c:v>
                </c:pt>
                <c:pt idx="267">
                  <c:v>45.67</c:v>
                </c:pt>
                <c:pt idx="268">
                  <c:v>45.5</c:v>
                </c:pt>
                <c:pt idx="269">
                  <c:v>45.46</c:v>
                </c:pt>
                <c:pt idx="270">
                  <c:v>45.58</c:v>
                </c:pt>
                <c:pt idx="271">
                  <c:v>45.8</c:v>
                </c:pt>
                <c:pt idx="272">
                  <c:v>46.48</c:v>
                </c:pt>
                <c:pt idx="273">
                  <c:v>46.58</c:v>
                </c:pt>
                <c:pt idx="274">
                  <c:v>46.39</c:v>
                </c:pt>
                <c:pt idx="275">
                  <c:v>46.83</c:v>
                </c:pt>
                <c:pt idx="276">
                  <c:v>46.89</c:v>
                </c:pt>
                <c:pt idx="277">
                  <c:v>46.53</c:v>
                </c:pt>
                <c:pt idx="278">
                  <c:v>46.71</c:v>
                </c:pt>
                <c:pt idx="279">
                  <c:v>46.36</c:v>
                </c:pt>
                <c:pt idx="280">
                  <c:v>46.87</c:v>
                </c:pt>
                <c:pt idx="281">
                  <c:v>46.44</c:v>
                </c:pt>
                <c:pt idx="282">
                  <c:v>46.65</c:v>
                </c:pt>
                <c:pt idx="283">
                  <c:v>46.04</c:v>
                </c:pt>
                <c:pt idx="284">
                  <c:v>45.83</c:v>
                </c:pt>
                <c:pt idx="285">
                  <c:v>46.1</c:v>
                </c:pt>
                <c:pt idx="286">
                  <c:v>46.22</c:v>
                </c:pt>
                <c:pt idx="287">
                  <c:v>46.6</c:v>
                </c:pt>
                <c:pt idx="288">
                  <c:v>44.37</c:v>
                </c:pt>
                <c:pt idx="289">
                  <c:v>43.66</c:v>
                </c:pt>
                <c:pt idx="290">
                  <c:v>44.54</c:v>
                </c:pt>
                <c:pt idx="291">
                  <c:v>44.71</c:v>
                </c:pt>
                <c:pt idx="292">
                  <c:v>44.53</c:v>
                </c:pt>
                <c:pt idx="293">
                  <c:v>44.68</c:v>
                </c:pt>
                <c:pt idx="294">
                  <c:v>44.63</c:v>
                </c:pt>
                <c:pt idx="295">
                  <c:v>44.8</c:v>
                </c:pt>
                <c:pt idx="296">
                  <c:v>44.98</c:v>
                </c:pt>
                <c:pt idx="297">
                  <c:v>44.84</c:v>
                </c:pt>
                <c:pt idx="298">
                  <c:v>44.98</c:v>
                </c:pt>
                <c:pt idx="299">
                  <c:v>45.06</c:v>
                </c:pt>
                <c:pt idx="300">
                  <c:v>45.32</c:v>
                </c:pt>
                <c:pt idx="301">
                  <c:v>45.24</c:v>
                </c:pt>
                <c:pt idx="302">
                  <c:v>45.75</c:v>
                </c:pt>
                <c:pt idx="303">
                  <c:v>45.46</c:v>
                </c:pt>
                <c:pt idx="304">
                  <c:v>45.83</c:v>
                </c:pt>
                <c:pt idx="305">
                  <c:v>45.35</c:v>
                </c:pt>
                <c:pt idx="306">
                  <c:v>45.62</c:v>
                </c:pt>
                <c:pt idx="307">
                  <c:v>44.75</c:v>
                </c:pt>
                <c:pt idx="308">
                  <c:v>44.48</c:v>
                </c:pt>
                <c:pt idx="309">
                  <c:v>44.32</c:v>
                </c:pt>
                <c:pt idx="310">
                  <c:v>43.95</c:v>
                </c:pt>
                <c:pt idx="311">
                  <c:v>43.97</c:v>
                </c:pt>
                <c:pt idx="312">
                  <c:v>44.37</c:v>
                </c:pt>
                <c:pt idx="313">
                  <c:v>44.38</c:v>
                </c:pt>
                <c:pt idx="314">
                  <c:v>44.69</c:v>
                </c:pt>
                <c:pt idx="315">
                  <c:v>44.78</c:v>
                </c:pt>
                <c:pt idx="316">
                  <c:v>44.6</c:v>
                </c:pt>
                <c:pt idx="317">
                  <c:v>44.7</c:v>
                </c:pt>
                <c:pt idx="318">
                  <c:v>44.72</c:v>
                </c:pt>
                <c:pt idx="319">
                  <c:v>45.04</c:v>
                </c:pt>
                <c:pt idx="320">
                  <c:v>45.37</c:v>
                </c:pt>
                <c:pt idx="321">
                  <c:v>45.32</c:v>
                </c:pt>
                <c:pt idx="322">
                  <c:v>45.55</c:v>
                </c:pt>
                <c:pt idx="323">
                  <c:v>45.76</c:v>
                </c:pt>
                <c:pt idx="324">
                  <c:v>45.99</c:v>
                </c:pt>
                <c:pt idx="325">
                  <c:v>45.12</c:v>
                </c:pt>
                <c:pt idx="326">
                  <c:v>45.04</c:v>
                </c:pt>
                <c:pt idx="327">
                  <c:v>45.01</c:v>
                </c:pt>
                <c:pt idx="328">
                  <c:v>45.31</c:v>
                </c:pt>
                <c:pt idx="329">
                  <c:v>44.79</c:v>
                </c:pt>
                <c:pt idx="330">
                  <c:v>44.98</c:v>
                </c:pt>
                <c:pt idx="331">
                  <c:v>45.13</c:v>
                </c:pt>
                <c:pt idx="332">
                  <c:v>44.86</c:v>
                </c:pt>
                <c:pt idx="333">
                  <c:v>45.08</c:v>
                </c:pt>
                <c:pt idx="334">
                  <c:v>43.93</c:v>
                </c:pt>
                <c:pt idx="335">
                  <c:v>43.78</c:v>
                </c:pt>
                <c:pt idx="336">
                  <c:v>44.18</c:v>
                </c:pt>
                <c:pt idx="337">
                  <c:v>44.44</c:v>
                </c:pt>
                <c:pt idx="338">
                  <c:v>45.33</c:v>
                </c:pt>
                <c:pt idx="339">
                  <c:v>45.12</c:v>
                </c:pt>
                <c:pt idx="340">
                  <c:v>45.43</c:v>
                </c:pt>
                <c:pt idx="341">
                  <c:v>45.27</c:v>
                </c:pt>
                <c:pt idx="342">
                  <c:v>45.09</c:v>
                </c:pt>
                <c:pt idx="343">
                  <c:v>45.38</c:v>
                </c:pt>
                <c:pt idx="344">
                  <c:v>45.57</c:v>
                </c:pt>
                <c:pt idx="345">
                  <c:v>45.58</c:v>
                </c:pt>
                <c:pt idx="346">
                  <c:v>45.74</c:v>
                </c:pt>
                <c:pt idx="347">
                  <c:v>45.69</c:v>
                </c:pt>
                <c:pt idx="348">
                  <c:v>45.63</c:v>
                </c:pt>
                <c:pt idx="349">
                  <c:v>45.63</c:v>
                </c:pt>
                <c:pt idx="350">
                  <c:v>45.63</c:v>
                </c:pt>
                <c:pt idx="351">
                  <c:v>45.51</c:v>
                </c:pt>
                <c:pt idx="352">
                  <c:v>45.45</c:v>
                </c:pt>
                <c:pt idx="353">
                  <c:v>45.83</c:v>
                </c:pt>
                <c:pt idx="354">
                  <c:v>45.57</c:v>
                </c:pt>
                <c:pt idx="355">
                  <c:v>44.88</c:v>
                </c:pt>
                <c:pt idx="356">
                  <c:v>43.4</c:v>
                </c:pt>
                <c:pt idx="357">
                  <c:v>43.65</c:v>
                </c:pt>
                <c:pt idx="358">
                  <c:v>43.63</c:v>
                </c:pt>
                <c:pt idx="359">
                  <c:v>43.45</c:v>
                </c:pt>
                <c:pt idx="360">
                  <c:v>43.53</c:v>
                </c:pt>
                <c:pt idx="361">
                  <c:v>43.64</c:v>
                </c:pt>
                <c:pt idx="362">
                  <c:v>43.51</c:v>
                </c:pt>
                <c:pt idx="363">
                  <c:v>43.48</c:v>
                </c:pt>
                <c:pt idx="364">
                  <c:v>43.44</c:v>
                </c:pt>
                <c:pt idx="365">
                  <c:v>43.47</c:v>
                </c:pt>
                <c:pt idx="366">
                  <c:v>43.61</c:v>
                </c:pt>
                <c:pt idx="367">
                  <c:v>43.75</c:v>
                </c:pt>
                <c:pt idx="368">
                  <c:v>44.03</c:v>
                </c:pt>
                <c:pt idx="369">
                  <c:v>44.24</c:v>
                </c:pt>
                <c:pt idx="370">
                  <c:v>43.83</c:v>
                </c:pt>
                <c:pt idx="371">
                  <c:v>44.06</c:v>
                </c:pt>
                <c:pt idx="372">
                  <c:v>44.1</c:v>
                </c:pt>
                <c:pt idx="373">
                  <c:v>43.92</c:v>
                </c:pt>
                <c:pt idx="374">
                  <c:v>43.74</c:v>
                </c:pt>
                <c:pt idx="375">
                  <c:v>43.85</c:v>
                </c:pt>
                <c:pt idx="376">
                  <c:v>43.85</c:v>
                </c:pt>
                <c:pt idx="377">
                  <c:v>43.67</c:v>
                </c:pt>
                <c:pt idx="378">
                  <c:v>43.32</c:v>
                </c:pt>
                <c:pt idx="379">
                  <c:v>43.54</c:v>
                </c:pt>
                <c:pt idx="380">
                  <c:v>43.24</c:v>
                </c:pt>
                <c:pt idx="381">
                  <c:v>43.43</c:v>
                </c:pt>
                <c:pt idx="382">
                  <c:v>43.35</c:v>
                </c:pt>
                <c:pt idx="383">
                  <c:v>43.66</c:v>
                </c:pt>
                <c:pt idx="384">
                  <c:v>43.79</c:v>
                </c:pt>
                <c:pt idx="385">
                  <c:v>43.64</c:v>
                </c:pt>
                <c:pt idx="386">
                  <c:v>43.63</c:v>
                </c:pt>
                <c:pt idx="387">
                  <c:v>42.27</c:v>
                </c:pt>
                <c:pt idx="388">
                  <c:v>43.19</c:v>
                </c:pt>
                <c:pt idx="389">
                  <c:v>42.28</c:v>
                </c:pt>
                <c:pt idx="390">
                  <c:v>42.11</c:v>
                </c:pt>
                <c:pt idx="391">
                  <c:v>42.36</c:v>
                </c:pt>
                <c:pt idx="392">
                  <c:v>42.14</c:v>
                </c:pt>
                <c:pt idx="393">
                  <c:v>42.1</c:v>
                </c:pt>
                <c:pt idx="394">
                  <c:v>42.34</c:v>
                </c:pt>
                <c:pt idx="395">
                  <c:v>42.53</c:v>
                </c:pt>
                <c:pt idx="396">
                  <c:v>42.96</c:v>
                </c:pt>
                <c:pt idx="397">
                  <c:v>42.74</c:v>
                </c:pt>
                <c:pt idx="398">
                  <c:v>42.05</c:v>
                </c:pt>
                <c:pt idx="399">
                  <c:v>42.59</c:v>
                </c:pt>
                <c:pt idx="400">
                  <c:v>42.15</c:v>
                </c:pt>
                <c:pt idx="401">
                  <c:v>42.03</c:v>
                </c:pt>
                <c:pt idx="402">
                  <c:v>42.32</c:v>
                </c:pt>
                <c:pt idx="403">
                  <c:v>42.03</c:v>
                </c:pt>
                <c:pt idx="404">
                  <c:v>41.84</c:v>
                </c:pt>
                <c:pt idx="405">
                  <c:v>41.81</c:v>
                </c:pt>
                <c:pt idx="406">
                  <c:v>41.71</c:v>
                </c:pt>
                <c:pt idx="407">
                  <c:v>41.73</c:v>
                </c:pt>
                <c:pt idx="408">
                  <c:v>41.73</c:v>
                </c:pt>
                <c:pt idx="409">
                  <c:v>41.54</c:v>
                </c:pt>
                <c:pt idx="410">
                  <c:v>41.78</c:v>
                </c:pt>
                <c:pt idx="411">
                  <c:v>41.76</c:v>
                </c:pt>
                <c:pt idx="412">
                  <c:v>41.67</c:v>
                </c:pt>
                <c:pt idx="413">
                  <c:v>41.6</c:v>
                </c:pt>
                <c:pt idx="414">
                  <c:v>41.97</c:v>
                </c:pt>
                <c:pt idx="415">
                  <c:v>42.05</c:v>
                </c:pt>
                <c:pt idx="416">
                  <c:v>41.93</c:v>
                </c:pt>
                <c:pt idx="417">
                  <c:v>42.13</c:v>
                </c:pt>
                <c:pt idx="418">
                  <c:v>42.56</c:v>
                </c:pt>
                <c:pt idx="419">
                  <c:v>42.54</c:v>
                </c:pt>
                <c:pt idx="420">
                  <c:v>42.44</c:v>
                </c:pt>
                <c:pt idx="421">
                  <c:v>42.12</c:v>
                </c:pt>
                <c:pt idx="422">
                  <c:v>42.23</c:v>
                </c:pt>
                <c:pt idx="423">
                  <c:v>42.4</c:v>
                </c:pt>
                <c:pt idx="424">
                  <c:v>42.12</c:v>
                </c:pt>
                <c:pt idx="425">
                  <c:v>42.05</c:v>
                </c:pt>
                <c:pt idx="426">
                  <c:v>42.03</c:v>
                </c:pt>
                <c:pt idx="427">
                  <c:v>41.69</c:v>
                </c:pt>
                <c:pt idx="428">
                  <c:v>42.46</c:v>
                </c:pt>
                <c:pt idx="429">
                  <c:v>42.88</c:v>
                </c:pt>
                <c:pt idx="430">
                  <c:v>42.27</c:v>
                </c:pt>
                <c:pt idx="431">
                  <c:v>40.94</c:v>
                </c:pt>
                <c:pt idx="432">
                  <c:v>41.03</c:v>
                </c:pt>
                <c:pt idx="433">
                  <c:v>41.17</c:v>
                </c:pt>
                <c:pt idx="434">
                  <c:v>41.44</c:v>
                </c:pt>
                <c:pt idx="435">
                  <c:v>41.26</c:v>
                </c:pt>
                <c:pt idx="436">
                  <c:v>41.12</c:v>
                </c:pt>
                <c:pt idx="437">
                  <c:v>40.909999999999997</c:v>
                </c:pt>
                <c:pt idx="438">
                  <c:v>41.36</c:v>
                </c:pt>
                <c:pt idx="439">
                  <c:v>41.37</c:v>
                </c:pt>
                <c:pt idx="440">
                  <c:v>41.12</c:v>
                </c:pt>
                <c:pt idx="441">
                  <c:v>41.53</c:v>
                </c:pt>
                <c:pt idx="442">
                  <c:v>41.75</c:v>
                </c:pt>
                <c:pt idx="443">
                  <c:v>41.15</c:v>
                </c:pt>
                <c:pt idx="444">
                  <c:v>40.35</c:v>
                </c:pt>
                <c:pt idx="445">
                  <c:v>40.17</c:v>
                </c:pt>
                <c:pt idx="446">
                  <c:v>40.36</c:v>
                </c:pt>
                <c:pt idx="447">
                  <c:v>40.619999999999997</c:v>
                </c:pt>
                <c:pt idx="448">
                  <c:v>40.57</c:v>
                </c:pt>
                <c:pt idx="449">
                  <c:v>41.29</c:v>
                </c:pt>
                <c:pt idx="450">
                  <c:v>40.98</c:v>
                </c:pt>
                <c:pt idx="451">
                  <c:v>42</c:v>
                </c:pt>
                <c:pt idx="452">
                  <c:v>41.9</c:v>
                </c:pt>
                <c:pt idx="453">
                  <c:v>41.76</c:v>
                </c:pt>
                <c:pt idx="454">
                  <c:v>41.21</c:v>
                </c:pt>
                <c:pt idx="455">
                  <c:v>41.55</c:v>
                </c:pt>
                <c:pt idx="456">
                  <c:v>41.74</c:v>
                </c:pt>
                <c:pt idx="457">
                  <c:v>41.67</c:v>
                </c:pt>
                <c:pt idx="458">
                  <c:v>41.66</c:v>
                </c:pt>
                <c:pt idx="459">
                  <c:v>41.57</c:v>
                </c:pt>
                <c:pt idx="460">
                  <c:v>41.55</c:v>
                </c:pt>
                <c:pt idx="461">
                  <c:v>41.6</c:v>
                </c:pt>
                <c:pt idx="462">
                  <c:v>41.61</c:v>
                </c:pt>
                <c:pt idx="463">
                  <c:v>41.39</c:v>
                </c:pt>
                <c:pt idx="464">
                  <c:v>41.6</c:v>
                </c:pt>
                <c:pt idx="465">
                  <c:v>41.46</c:v>
                </c:pt>
                <c:pt idx="466">
                  <c:v>41.8</c:v>
                </c:pt>
                <c:pt idx="467">
                  <c:v>41.65</c:v>
                </c:pt>
                <c:pt idx="468">
                  <c:v>41.75</c:v>
                </c:pt>
                <c:pt idx="469">
                  <c:v>41.74</c:v>
                </c:pt>
                <c:pt idx="470">
                  <c:v>41.32</c:v>
                </c:pt>
                <c:pt idx="471">
                  <c:v>41.04</c:v>
                </c:pt>
                <c:pt idx="472">
                  <c:v>41.05</c:v>
                </c:pt>
                <c:pt idx="473">
                  <c:v>40.950000000000003</c:v>
                </c:pt>
                <c:pt idx="474">
                  <c:v>40.880000000000003</c:v>
                </c:pt>
                <c:pt idx="475">
                  <c:v>41.22</c:v>
                </c:pt>
                <c:pt idx="476">
                  <c:v>41.29</c:v>
                </c:pt>
                <c:pt idx="477">
                  <c:v>41.14</c:v>
                </c:pt>
                <c:pt idx="478">
                  <c:v>41.32</c:v>
                </c:pt>
                <c:pt idx="479">
                  <c:v>41.43</c:v>
                </c:pt>
                <c:pt idx="480">
                  <c:v>41.9</c:v>
                </c:pt>
                <c:pt idx="481">
                  <c:v>42.12</c:v>
                </c:pt>
                <c:pt idx="482">
                  <c:v>41.81</c:v>
                </c:pt>
                <c:pt idx="483">
                  <c:v>41.45</c:v>
                </c:pt>
                <c:pt idx="484">
                  <c:v>41.38</c:v>
                </c:pt>
                <c:pt idx="485">
                  <c:v>41.57</c:v>
                </c:pt>
                <c:pt idx="486">
                  <c:v>41.26</c:v>
                </c:pt>
                <c:pt idx="487">
                  <c:v>41.4</c:v>
                </c:pt>
                <c:pt idx="488">
                  <c:v>41.54</c:v>
                </c:pt>
                <c:pt idx="489">
                  <c:v>41.56</c:v>
                </c:pt>
                <c:pt idx="490">
                  <c:v>41.9</c:v>
                </c:pt>
                <c:pt idx="491">
                  <c:v>42.02</c:v>
                </c:pt>
                <c:pt idx="492">
                  <c:v>41.25</c:v>
                </c:pt>
                <c:pt idx="493">
                  <c:v>40.58</c:v>
                </c:pt>
                <c:pt idx="494">
                  <c:v>40.619999999999997</c:v>
                </c:pt>
                <c:pt idx="495">
                  <c:v>40.53</c:v>
                </c:pt>
                <c:pt idx="496">
                  <c:v>40.44</c:v>
                </c:pt>
                <c:pt idx="497">
                  <c:v>41.2</c:v>
                </c:pt>
                <c:pt idx="498">
                  <c:v>41.23</c:v>
                </c:pt>
                <c:pt idx="499">
                  <c:v>41.46</c:v>
                </c:pt>
                <c:pt idx="500">
                  <c:v>41.6</c:v>
                </c:pt>
                <c:pt idx="501">
                  <c:v>41.66</c:v>
                </c:pt>
                <c:pt idx="502">
                  <c:v>41.78</c:v>
                </c:pt>
                <c:pt idx="503">
                  <c:v>41.67</c:v>
                </c:pt>
                <c:pt idx="504">
                  <c:v>41.96</c:v>
                </c:pt>
                <c:pt idx="505">
                  <c:v>42.16</c:v>
                </c:pt>
                <c:pt idx="506">
                  <c:v>42.47</c:v>
                </c:pt>
                <c:pt idx="507">
                  <c:v>42.48</c:v>
                </c:pt>
                <c:pt idx="508">
                  <c:v>42.18</c:v>
                </c:pt>
                <c:pt idx="509">
                  <c:v>41.99</c:v>
                </c:pt>
                <c:pt idx="510">
                  <c:v>41.99</c:v>
                </c:pt>
                <c:pt idx="511">
                  <c:v>42.03</c:v>
                </c:pt>
                <c:pt idx="512">
                  <c:v>42.29</c:v>
                </c:pt>
                <c:pt idx="513">
                  <c:v>42.03</c:v>
                </c:pt>
                <c:pt idx="514">
                  <c:v>41.97</c:v>
                </c:pt>
                <c:pt idx="515">
                  <c:v>42.12</c:v>
                </c:pt>
                <c:pt idx="516">
                  <c:v>42.25</c:v>
                </c:pt>
                <c:pt idx="517">
                  <c:v>42.03</c:v>
                </c:pt>
                <c:pt idx="518">
                  <c:v>42.18</c:v>
                </c:pt>
                <c:pt idx="519">
                  <c:v>42.5</c:v>
                </c:pt>
                <c:pt idx="520">
                  <c:v>42.38</c:v>
                </c:pt>
                <c:pt idx="521">
                  <c:v>42.17</c:v>
                </c:pt>
                <c:pt idx="522">
                  <c:v>42.12</c:v>
                </c:pt>
                <c:pt idx="523">
                  <c:v>42.32</c:v>
                </c:pt>
                <c:pt idx="524">
                  <c:v>42.43</c:v>
                </c:pt>
                <c:pt idx="525">
                  <c:v>42.42</c:v>
                </c:pt>
                <c:pt idx="526">
                  <c:v>42.6</c:v>
                </c:pt>
                <c:pt idx="527">
                  <c:v>42.44</c:v>
                </c:pt>
                <c:pt idx="528">
                  <c:v>42.41</c:v>
                </c:pt>
                <c:pt idx="529">
                  <c:v>42.68</c:v>
                </c:pt>
                <c:pt idx="530">
                  <c:v>42.57</c:v>
                </c:pt>
                <c:pt idx="531">
                  <c:v>42.67</c:v>
                </c:pt>
                <c:pt idx="532">
                  <c:v>42.61</c:v>
                </c:pt>
                <c:pt idx="533">
                  <c:v>42.69</c:v>
                </c:pt>
                <c:pt idx="534">
                  <c:v>42.66</c:v>
                </c:pt>
                <c:pt idx="535">
                  <c:v>42.94</c:v>
                </c:pt>
                <c:pt idx="536">
                  <c:v>42.79</c:v>
                </c:pt>
                <c:pt idx="537">
                  <c:v>43.07</c:v>
                </c:pt>
                <c:pt idx="538">
                  <c:v>43.48</c:v>
                </c:pt>
                <c:pt idx="539">
                  <c:v>43.23</c:v>
                </c:pt>
                <c:pt idx="540">
                  <c:v>43.09</c:v>
                </c:pt>
                <c:pt idx="541">
                  <c:v>43.07</c:v>
                </c:pt>
                <c:pt idx="542">
                  <c:v>43.28</c:v>
                </c:pt>
                <c:pt idx="543">
                  <c:v>43.11</c:v>
                </c:pt>
                <c:pt idx="544">
                  <c:v>43.24</c:v>
                </c:pt>
                <c:pt idx="545">
                  <c:v>43.01</c:v>
                </c:pt>
                <c:pt idx="546">
                  <c:v>43.15</c:v>
                </c:pt>
                <c:pt idx="547">
                  <c:v>43.22</c:v>
                </c:pt>
                <c:pt idx="548">
                  <c:v>43.39</c:v>
                </c:pt>
                <c:pt idx="549">
                  <c:v>43.32</c:v>
                </c:pt>
                <c:pt idx="550">
                  <c:v>43.66</c:v>
                </c:pt>
                <c:pt idx="551">
                  <c:v>43.69</c:v>
                </c:pt>
                <c:pt idx="552">
                  <c:v>43.89</c:v>
                </c:pt>
                <c:pt idx="553">
                  <c:v>43.51</c:v>
                </c:pt>
                <c:pt idx="554">
                  <c:v>43.57</c:v>
                </c:pt>
                <c:pt idx="555">
                  <c:v>43.67</c:v>
                </c:pt>
                <c:pt idx="556">
                  <c:v>43.59</c:v>
                </c:pt>
                <c:pt idx="557">
                  <c:v>43.73</c:v>
                </c:pt>
                <c:pt idx="558">
                  <c:v>43.85</c:v>
                </c:pt>
                <c:pt idx="559">
                  <c:v>43.93</c:v>
                </c:pt>
                <c:pt idx="560">
                  <c:v>43.8</c:v>
                </c:pt>
                <c:pt idx="561">
                  <c:v>43.9</c:v>
                </c:pt>
                <c:pt idx="562">
                  <c:v>44.18</c:v>
                </c:pt>
                <c:pt idx="563">
                  <c:v>44.39</c:v>
                </c:pt>
                <c:pt idx="564">
                  <c:v>45.03</c:v>
                </c:pt>
                <c:pt idx="565">
                  <c:v>45.41</c:v>
                </c:pt>
                <c:pt idx="566">
                  <c:v>45.39</c:v>
                </c:pt>
                <c:pt idx="567">
                  <c:v>45.43</c:v>
                </c:pt>
                <c:pt idx="568">
                  <c:v>45.47</c:v>
                </c:pt>
                <c:pt idx="569">
                  <c:v>45.79</c:v>
                </c:pt>
                <c:pt idx="570">
                  <c:v>45.89</c:v>
                </c:pt>
                <c:pt idx="571">
                  <c:v>45.99</c:v>
                </c:pt>
                <c:pt idx="572">
                  <c:v>45.98</c:v>
                </c:pt>
                <c:pt idx="573">
                  <c:v>45.51</c:v>
                </c:pt>
                <c:pt idx="574">
                  <c:v>45.13</c:v>
                </c:pt>
                <c:pt idx="575">
                  <c:v>45.32</c:v>
                </c:pt>
                <c:pt idx="576">
                  <c:v>45.33</c:v>
                </c:pt>
                <c:pt idx="577">
                  <c:v>45.03</c:v>
                </c:pt>
                <c:pt idx="578">
                  <c:v>45.3</c:v>
                </c:pt>
                <c:pt idx="579">
                  <c:v>45.25</c:v>
                </c:pt>
                <c:pt idx="580">
                  <c:v>45.31</c:v>
                </c:pt>
                <c:pt idx="581">
                  <c:v>45.38</c:v>
                </c:pt>
                <c:pt idx="582">
                  <c:v>45.61</c:v>
                </c:pt>
                <c:pt idx="583">
                  <c:v>45.22</c:v>
                </c:pt>
                <c:pt idx="584">
                  <c:v>45.07</c:v>
                </c:pt>
                <c:pt idx="585">
                  <c:v>45.25</c:v>
                </c:pt>
                <c:pt idx="586">
                  <c:v>45.43</c:v>
                </c:pt>
                <c:pt idx="587">
                  <c:v>45.05</c:v>
                </c:pt>
                <c:pt idx="588">
                  <c:v>45.32</c:v>
                </c:pt>
                <c:pt idx="589">
                  <c:v>44.83</c:v>
                </c:pt>
                <c:pt idx="590">
                  <c:v>44.85</c:v>
                </c:pt>
                <c:pt idx="591">
                  <c:v>44.76</c:v>
                </c:pt>
                <c:pt idx="592">
                  <c:v>44.82</c:v>
                </c:pt>
                <c:pt idx="593">
                  <c:v>44.4</c:v>
                </c:pt>
                <c:pt idx="594">
                  <c:v>44.39</c:v>
                </c:pt>
                <c:pt idx="595">
                  <c:v>44.38</c:v>
                </c:pt>
                <c:pt idx="596">
                  <c:v>44.33</c:v>
                </c:pt>
                <c:pt idx="597">
                  <c:v>44.51</c:v>
                </c:pt>
                <c:pt idx="598">
                  <c:v>44.43</c:v>
                </c:pt>
                <c:pt idx="599">
                  <c:v>44.68</c:v>
                </c:pt>
                <c:pt idx="600">
                  <c:v>44.73</c:v>
                </c:pt>
                <c:pt idx="601">
                  <c:v>44.67</c:v>
                </c:pt>
                <c:pt idx="602">
                  <c:v>44.83</c:v>
                </c:pt>
                <c:pt idx="603">
                  <c:v>44.82</c:v>
                </c:pt>
                <c:pt idx="604">
                  <c:v>45.03</c:v>
                </c:pt>
                <c:pt idx="605">
                  <c:v>44.84</c:v>
                </c:pt>
                <c:pt idx="606">
                  <c:v>45.24</c:v>
                </c:pt>
                <c:pt idx="607">
                  <c:v>45.74</c:v>
                </c:pt>
                <c:pt idx="608">
                  <c:v>46.12</c:v>
                </c:pt>
                <c:pt idx="609">
                  <c:v>46.01</c:v>
                </c:pt>
                <c:pt idx="610">
                  <c:v>45.84</c:v>
                </c:pt>
                <c:pt idx="611">
                  <c:v>45.7</c:v>
                </c:pt>
                <c:pt idx="612">
                  <c:v>45.59</c:v>
                </c:pt>
                <c:pt idx="613">
                  <c:v>45.67</c:v>
                </c:pt>
                <c:pt idx="614">
                  <c:v>45.5</c:v>
                </c:pt>
                <c:pt idx="615">
                  <c:v>45.64</c:v>
                </c:pt>
                <c:pt idx="616">
                  <c:v>45.6</c:v>
                </c:pt>
                <c:pt idx="617">
                  <c:v>45.59</c:v>
                </c:pt>
                <c:pt idx="618">
                  <c:v>45.74</c:v>
                </c:pt>
                <c:pt idx="619">
                  <c:v>45.59</c:v>
                </c:pt>
                <c:pt idx="620">
                  <c:v>45.8</c:v>
                </c:pt>
                <c:pt idx="621">
                  <c:v>46.19</c:v>
                </c:pt>
                <c:pt idx="622">
                  <c:v>46.2</c:v>
                </c:pt>
                <c:pt idx="623">
                  <c:v>45.86</c:v>
                </c:pt>
                <c:pt idx="624">
                  <c:v>45.67</c:v>
                </c:pt>
                <c:pt idx="625">
                  <c:v>45.68</c:v>
                </c:pt>
                <c:pt idx="626">
                  <c:v>45.6</c:v>
                </c:pt>
                <c:pt idx="627">
                  <c:v>45.54</c:v>
                </c:pt>
                <c:pt idx="628">
                  <c:v>45.41</c:v>
                </c:pt>
                <c:pt idx="629">
                  <c:v>45.57</c:v>
                </c:pt>
                <c:pt idx="630">
                  <c:v>45.42</c:v>
                </c:pt>
                <c:pt idx="631">
                  <c:v>45.45</c:v>
                </c:pt>
                <c:pt idx="632">
                  <c:v>45.39</c:v>
                </c:pt>
                <c:pt idx="633">
                  <c:v>45.55</c:v>
                </c:pt>
                <c:pt idx="634">
                  <c:v>45.78</c:v>
                </c:pt>
                <c:pt idx="635">
                  <c:v>45.92</c:v>
                </c:pt>
                <c:pt idx="636">
                  <c:v>45.96</c:v>
                </c:pt>
                <c:pt idx="637">
                  <c:v>46.28</c:v>
                </c:pt>
                <c:pt idx="638">
                  <c:v>46.3</c:v>
                </c:pt>
                <c:pt idx="639">
                  <c:v>46.52</c:v>
                </c:pt>
                <c:pt idx="640">
                  <c:v>46.72</c:v>
                </c:pt>
                <c:pt idx="641">
                  <c:v>46.87</c:v>
                </c:pt>
                <c:pt idx="642">
                  <c:v>46.11</c:v>
                </c:pt>
                <c:pt idx="643">
                  <c:v>46.18</c:v>
                </c:pt>
                <c:pt idx="644">
                  <c:v>46.11</c:v>
                </c:pt>
                <c:pt idx="645">
                  <c:v>45.98</c:v>
                </c:pt>
                <c:pt idx="646">
                  <c:v>45.78</c:v>
                </c:pt>
                <c:pt idx="647">
                  <c:v>45.4</c:v>
                </c:pt>
                <c:pt idx="648">
                  <c:v>45.49</c:v>
                </c:pt>
                <c:pt idx="649">
                  <c:v>45.69</c:v>
                </c:pt>
                <c:pt idx="650">
                  <c:v>45.57</c:v>
                </c:pt>
                <c:pt idx="651">
                  <c:v>44.64</c:v>
                </c:pt>
                <c:pt idx="652">
                  <c:v>44.91</c:v>
                </c:pt>
                <c:pt idx="653">
                  <c:v>45.01</c:v>
                </c:pt>
                <c:pt idx="654">
                  <c:v>44.8</c:v>
                </c:pt>
                <c:pt idx="655">
                  <c:v>45.19</c:v>
                </c:pt>
                <c:pt idx="656">
                  <c:v>45.5</c:v>
                </c:pt>
                <c:pt idx="657">
                  <c:v>45.52</c:v>
                </c:pt>
                <c:pt idx="658">
                  <c:v>45.49</c:v>
                </c:pt>
                <c:pt idx="659">
                  <c:v>45.41</c:v>
                </c:pt>
                <c:pt idx="660">
                  <c:v>45.87</c:v>
                </c:pt>
                <c:pt idx="661">
                  <c:v>46.1</c:v>
                </c:pt>
                <c:pt idx="662">
                  <c:v>46.11</c:v>
                </c:pt>
                <c:pt idx="663">
                  <c:v>46.18</c:v>
                </c:pt>
                <c:pt idx="664">
                  <c:v>46.62</c:v>
                </c:pt>
                <c:pt idx="665">
                  <c:v>46.52</c:v>
                </c:pt>
                <c:pt idx="666">
                  <c:v>46.4</c:v>
                </c:pt>
                <c:pt idx="667">
                  <c:v>46.59</c:v>
                </c:pt>
                <c:pt idx="668">
                  <c:v>46.38</c:v>
                </c:pt>
                <c:pt idx="669">
                  <c:v>46.32</c:v>
                </c:pt>
                <c:pt idx="670">
                  <c:v>46.18</c:v>
                </c:pt>
                <c:pt idx="671">
                  <c:v>46.05</c:v>
                </c:pt>
                <c:pt idx="672">
                  <c:v>46.23</c:v>
                </c:pt>
                <c:pt idx="673">
                  <c:v>46.07</c:v>
                </c:pt>
                <c:pt idx="674">
                  <c:v>45.86</c:v>
                </c:pt>
                <c:pt idx="675">
                  <c:v>45.98</c:v>
                </c:pt>
                <c:pt idx="676">
                  <c:v>45.8</c:v>
                </c:pt>
                <c:pt idx="677">
                  <c:v>45.88</c:v>
                </c:pt>
                <c:pt idx="678">
                  <c:v>45.97</c:v>
                </c:pt>
                <c:pt idx="679">
                  <c:v>45.47</c:v>
                </c:pt>
                <c:pt idx="680">
                  <c:v>45.94</c:v>
                </c:pt>
                <c:pt idx="681">
                  <c:v>46.18</c:v>
                </c:pt>
                <c:pt idx="682">
                  <c:v>46.23</c:v>
                </c:pt>
                <c:pt idx="683">
                  <c:v>46.54</c:v>
                </c:pt>
                <c:pt idx="684">
                  <c:v>46.72</c:v>
                </c:pt>
                <c:pt idx="685">
                  <c:v>47.43</c:v>
                </c:pt>
                <c:pt idx="686">
                  <c:v>46.81</c:v>
                </c:pt>
                <c:pt idx="687">
                  <c:v>46.55</c:v>
                </c:pt>
                <c:pt idx="688">
                  <c:v>45.71</c:v>
                </c:pt>
                <c:pt idx="689">
                  <c:v>45.46</c:v>
                </c:pt>
                <c:pt idx="690">
                  <c:v>45.78</c:v>
                </c:pt>
                <c:pt idx="691">
                  <c:v>45.84</c:v>
                </c:pt>
                <c:pt idx="692">
                  <c:v>45.88</c:v>
                </c:pt>
                <c:pt idx="693">
                  <c:v>45.9</c:v>
                </c:pt>
                <c:pt idx="694">
                  <c:v>45.83</c:v>
                </c:pt>
                <c:pt idx="695">
                  <c:v>45.5</c:v>
                </c:pt>
                <c:pt idx="696">
                  <c:v>45.77</c:v>
                </c:pt>
                <c:pt idx="697">
                  <c:v>45.97</c:v>
                </c:pt>
                <c:pt idx="698">
                  <c:v>46.23</c:v>
                </c:pt>
                <c:pt idx="699">
                  <c:v>46.26</c:v>
                </c:pt>
                <c:pt idx="700">
                  <c:v>46.45</c:v>
                </c:pt>
                <c:pt idx="701">
                  <c:v>45.78</c:v>
                </c:pt>
                <c:pt idx="702">
                  <c:v>45.31</c:v>
                </c:pt>
                <c:pt idx="703">
                  <c:v>45.33</c:v>
                </c:pt>
                <c:pt idx="704">
                  <c:v>45.29</c:v>
                </c:pt>
                <c:pt idx="705">
                  <c:v>45.9</c:v>
                </c:pt>
                <c:pt idx="706">
                  <c:v>46.03</c:v>
                </c:pt>
                <c:pt idx="707">
                  <c:v>46.19</c:v>
                </c:pt>
                <c:pt idx="708">
                  <c:v>45.93</c:v>
                </c:pt>
                <c:pt idx="709">
                  <c:v>46.13</c:v>
                </c:pt>
                <c:pt idx="710">
                  <c:v>46.08</c:v>
                </c:pt>
                <c:pt idx="711">
                  <c:v>45.6</c:v>
                </c:pt>
                <c:pt idx="712">
                  <c:v>45.59</c:v>
                </c:pt>
                <c:pt idx="713">
                  <c:v>45.81</c:v>
                </c:pt>
                <c:pt idx="714">
                  <c:v>45.93</c:v>
                </c:pt>
                <c:pt idx="715">
                  <c:v>45.72</c:v>
                </c:pt>
                <c:pt idx="716">
                  <c:v>45.88</c:v>
                </c:pt>
                <c:pt idx="717">
                  <c:v>45.54</c:v>
                </c:pt>
                <c:pt idx="718">
                  <c:v>45.44</c:v>
                </c:pt>
                <c:pt idx="719">
                  <c:v>46.08</c:v>
                </c:pt>
                <c:pt idx="720">
                  <c:v>46.07</c:v>
                </c:pt>
                <c:pt idx="721">
                  <c:v>46</c:v>
                </c:pt>
                <c:pt idx="722">
                  <c:v>46.23</c:v>
                </c:pt>
                <c:pt idx="723">
                  <c:v>46.07</c:v>
                </c:pt>
                <c:pt idx="724">
                  <c:v>46.04</c:v>
                </c:pt>
                <c:pt idx="725">
                  <c:v>46.15</c:v>
                </c:pt>
                <c:pt idx="726">
                  <c:v>46.53</c:v>
                </c:pt>
                <c:pt idx="727">
                  <c:v>46.82</c:v>
                </c:pt>
                <c:pt idx="728">
                  <c:v>46.88</c:v>
                </c:pt>
                <c:pt idx="729">
                  <c:v>47.16</c:v>
                </c:pt>
                <c:pt idx="730">
                  <c:v>47.38</c:v>
                </c:pt>
                <c:pt idx="731">
                  <c:v>47.45</c:v>
                </c:pt>
                <c:pt idx="732">
                  <c:v>47.83</c:v>
                </c:pt>
                <c:pt idx="733">
                  <c:v>47.84</c:v>
                </c:pt>
                <c:pt idx="734">
                  <c:v>48.53</c:v>
                </c:pt>
                <c:pt idx="735">
                  <c:v>47.7</c:v>
                </c:pt>
                <c:pt idx="736">
                  <c:v>47.41</c:v>
                </c:pt>
                <c:pt idx="737">
                  <c:v>47.59</c:v>
                </c:pt>
                <c:pt idx="738">
                  <c:v>47.45</c:v>
                </c:pt>
                <c:pt idx="739">
                  <c:v>46.73</c:v>
                </c:pt>
                <c:pt idx="740">
                  <c:v>44.89</c:v>
                </c:pt>
                <c:pt idx="741">
                  <c:v>44.67</c:v>
                </c:pt>
                <c:pt idx="742">
                  <c:v>44.56</c:v>
                </c:pt>
                <c:pt idx="743">
                  <c:v>43.1</c:v>
                </c:pt>
                <c:pt idx="744">
                  <c:v>43.13</c:v>
                </c:pt>
                <c:pt idx="745">
                  <c:v>43.97</c:v>
                </c:pt>
                <c:pt idx="746">
                  <c:v>44.19</c:v>
                </c:pt>
                <c:pt idx="747">
                  <c:v>44.1</c:v>
                </c:pt>
                <c:pt idx="748">
                  <c:v>44.78</c:v>
                </c:pt>
                <c:pt idx="749">
                  <c:v>44.98</c:v>
                </c:pt>
                <c:pt idx="750">
                  <c:v>43.99</c:v>
                </c:pt>
                <c:pt idx="751">
                  <c:v>43.34</c:v>
                </c:pt>
                <c:pt idx="752">
                  <c:v>43.52</c:v>
                </c:pt>
                <c:pt idx="753">
                  <c:v>44.04</c:v>
                </c:pt>
                <c:pt idx="754">
                  <c:v>44.03</c:v>
                </c:pt>
                <c:pt idx="755">
                  <c:v>43.62</c:v>
                </c:pt>
                <c:pt idx="756">
                  <c:v>43.22</c:v>
                </c:pt>
                <c:pt idx="757">
                  <c:v>43.43</c:v>
                </c:pt>
                <c:pt idx="758">
                  <c:v>43.72</c:v>
                </c:pt>
                <c:pt idx="759">
                  <c:v>43.89</c:v>
                </c:pt>
                <c:pt idx="760">
                  <c:v>43.93</c:v>
                </c:pt>
                <c:pt idx="761">
                  <c:v>43.82</c:v>
                </c:pt>
                <c:pt idx="762">
                  <c:v>44.45</c:v>
                </c:pt>
                <c:pt idx="763">
                  <c:v>44.82</c:v>
                </c:pt>
                <c:pt idx="764">
                  <c:v>44.53</c:v>
                </c:pt>
                <c:pt idx="765">
                  <c:v>44.57</c:v>
                </c:pt>
                <c:pt idx="766">
                  <c:v>43.78</c:v>
                </c:pt>
                <c:pt idx="767">
                  <c:v>43.67</c:v>
                </c:pt>
                <c:pt idx="768">
                  <c:v>43.46</c:v>
                </c:pt>
                <c:pt idx="769">
                  <c:v>43.26</c:v>
                </c:pt>
                <c:pt idx="770">
                  <c:v>43.16</c:v>
                </c:pt>
                <c:pt idx="771">
                  <c:v>43</c:v>
                </c:pt>
                <c:pt idx="772">
                  <c:v>42.76</c:v>
                </c:pt>
                <c:pt idx="773">
                  <c:v>42.33</c:v>
                </c:pt>
                <c:pt idx="774">
                  <c:v>42.69</c:v>
                </c:pt>
                <c:pt idx="775">
                  <c:v>42.89</c:v>
                </c:pt>
                <c:pt idx="776">
                  <c:v>43.32</c:v>
                </c:pt>
                <c:pt idx="777">
                  <c:v>43.43</c:v>
                </c:pt>
                <c:pt idx="778">
                  <c:v>42.67</c:v>
                </c:pt>
                <c:pt idx="779">
                  <c:v>43.38</c:v>
                </c:pt>
                <c:pt idx="780">
                  <c:v>44.24</c:v>
                </c:pt>
                <c:pt idx="781">
                  <c:v>44.4</c:v>
                </c:pt>
                <c:pt idx="782">
                  <c:v>43.92</c:v>
                </c:pt>
                <c:pt idx="783">
                  <c:v>43.83</c:v>
                </c:pt>
                <c:pt idx="784">
                  <c:v>43.99</c:v>
                </c:pt>
                <c:pt idx="785">
                  <c:v>43.99</c:v>
                </c:pt>
                <c:pt idx="786">
                  <c:v>44.03</c:v>
                </c:pt>
                <c:pt idx="787">
                  <c:v>44.51</c:v>
                </c:pt>
                <c:pt idx="788">
                  <c:v>44.68</c:v>
                </c:pt>
                <c:pt idx="789">
                  <c:v>44.88</c:v>
                </c:pt>
                <c:pt idx="790">
                  <c:v>44.51</c:v>
                </c:pt>
                <c:pt idx="791">
                  <c:v>44.31</c:v>
                </c:pt>
                <c:pt idx="792">
                  <c:v>43.74</c:v>
                </c:pt>
                <c:pt idx="793">
                  <c:v>43.98</c:v>
                </c:pt>
                <c:pt idx="794">
                  <c:v>43.07</c:v>
                </c:pt>
                <c:pt idx="795">
                  <c:v>42.43</c:v>
                </c:pt>
                <c:pt idx="796">
                  <c:v>42.75</c:v>
                </c:pt>
                <c:pt idx="797">
                  <c:v>43.31</c:v>
                </c:pt>
                <c:pt idx="798">
                  <c:v>43.21</c:v>
                </c:pt>
                <c:pt idx="799">
                  <c:v>42.59</c:v>
                </c:pt>
                <c:pt idx="800">
                  <c:v>42.06</c:v>
                </c:pt>
                <c:pt idx="801">
                  <c:v>41.89</c:v>
                </c:pt>
                <c:pt idx="802">
                  <c:v>42.36</c:v>
                </c:pt>
                <c:pt idx="803">
                  <c:v>42.14</c:v>
                </c:pt>
                <c:pt idx="804">
                  <c:v>41.81</c:v>
                </c:pt>
                <c:pt idx="805">
                  <c:v>41.78</c:v>
                </c:pt>
                <c:pt idx="806">
                  <c:v>42.18</c:v>
                </c:pt>
                <c:pt idx="807">
                  <c:v>42.14</c:v>
                </c:pt>
                <c:pt idx="808">
                  <c:v>42.04</c:v>
                </c:pt>
                <c:pt idx="809">
                  <c:v>41.72</c:v>
                </c:pt>
                <c:pt idx="810">
                  <c:v>41.55</c:v>
                </c:pt>
                <c:pt idx="811">
                  <c:v>42.3</c:v>
                </c:pt>
                <c:pt idx="812">
                  <c:v>42.18</c:v>
                </c:pt>
                <c:pt idx="813">
                  <c:v>42.41</c:v>
                </c:pt>
                <c:pt idx="814">
                  <c:v>42.25</c:v>
                </c:pt>
                <c:pt idx="815">
                  <c:v>42.4</c:v>
                </c:pt>
                <c:pt idx="816">
                  <c:v>42.32</c:v>
                </c:pt>
                <c:pt idx="817">
                  <c:v>42.4</c:v>
                </c:pt>
                <c:pt idx="818">
                  <c:v>42.68</c:v>
                </c:pt>
                <c:pt idx="819">
                  <c:v>43.13</c:v>
                </c:pt>
                <c:pt idx="820">
                  <c:v>43</c:v>
                </c:pt>
                <c:pt idx="821">
                  <c:v>43.12</c:v>
                </c:pt>
                <c:pt idx="822">
                  <c:v>43.49</c:v>
                </c:pt>
                <c:pt idx="823">
                  <c:v>43.11</c:v>
                </c:pt>
                <c:pt idx="824">
                  <c:v>43.46</c:v>
                </c:pt>
                <c:pt idx="825">
                  <c:v>43.44</c:v>
                </c:pt>
                <c:pt idx="826">
                  <c:v>43.95</c:v>
                </c:pt>
                <c:pt idx="827">
                  <c:v>44.13</c:v>
                </c:pt>
                <c:pt idx="828">
                  <c:v>44.41</c:v>
                </c:pt>
                <c:pt idx="829">
                  <c:v>44.18</c:v>
                </c:pt>
                <c:pt idx="830">
                  <c:v>43.58</c:v>
                </c:pt>
                <c:pt idx="831">
                  <c:v>44.12</c:v>
                </c:pt>
                <c:pt idx="832">
                  <c:v>43.55</c:v>
                </c:pt>
                <c:pt idx="833">
                  <c:v>43.6</c:v>
                </c:pt>
                <c:pt idx="834">
                  <c:v>43.26</c:v>
                </c:pt>
                <c:pt idx="835">
                  <c:v>43.09</c:v>
                </c:pt>
                <c:pt idx="836">
                  <c:v>43.25</c:v>
                </c:pt>
                <c:pt idx="837">
                  <c:v>43.58</c:v>
                </c:pt>
                <c:pt idx="838">
                  <c:v>43.33</c:v>
                </c:pt>
                <c:pt idx="839">
                  <c:v>43.07</c:v>
                </c:pt>
                <c:pt idx="840">
                  <c:v>43.47</c:v>
                </c:pt>
                <c:pt idx="841">
                  <c:v>43.86</c:v>
                </c:pt>
                <c:pt idx="842">
                  <c:v>43.75</c:v>
                </c:pt>
                <c:pt idx="843">
                  <c:v>43.99</c:v>
                </c:pt>
                <c:pt idx="844">
                  <c:v>44.66</c:v>
                </c:pt>
                <c:pt idx="845">
                  <c:v>44.64</c:v>
                </c:pt>
                <c:pt idx="846">
                  <c:v>44.4</c:v>
                </c:pt>
                <c:pt idx="847">
                  <c:v>44.97</c:v>
                </c:pt>
                <c:pt idx="848">
                  <c:v>44.79</c:v>
                </c:pt>
                <c:pt idx="849">
                  <c:v>44.67</c:v>
                </c:pt>
                <c:pt idx="850">
                  <c:v>44.74</c:v>
                </c:pt>
                <c:pt idx="851">
                  <c:v>44.73</c:v>
                </c:pt>
                <c:pt idx="852">
                  <c:v>45.25</c:v>
                </c:pt>
                <c:pt idx="853">
                  <c:v>45.12</c:v>
                </c:pt>
                <c:pt idx="854">
                  <c:v>45.11</c:v>
                </c:pt>
                <c:pt idx="855">
                  <c:v>45.28</c:v>
                </c:pt>
                <c:pt idx="856">
                  <c:v>44.95</c:v>
                </c:pt>
                <c:pt idx="857">
                  <c:v>45.26</c:v>
                </c:pt>
                <c:pt idx="858">
                  <c:v>46.09</c:v>
                </c:pt>
                <c:pt idx="859">
                  <c:v>46.24</c:v>
                </c:pt>
                <c:pt idx="860">
                  <c:v>46.21</c:v>
                </c:pt>
                <c:pt idx="861">
                  <c:v>46.23</c:v>
                </c:pt>
                <c:pt idx="862">
                  <c:v>46.63</c:v>
                </c:pt>
                <c:pt idx="863">
                  <c:v>46.39</c:v>
                </c:pt>
                <c:pt idx="864">
                  <c:v>46.18</c:v>
                </c:pt>
                <c:pt idx="865">
                  <c:v>46.62</c:v>
                </c:pt>
                <c:pt idx="866">
                  <c:v>46.65</c:v>
                </c:pt>
                <c:pt idx="867">
                  <c:v>46.5</c:v>
                </c:pt>
                <c:pt idx="868">
                  <c:v>46.15</c:v>
                </c:pt>
                <c:pt idx="869">
                  <c:v>46.35</c:v>
                </c:pt>
                <c:pt idx="870">
                  <c:v>46.08</c:v>
                </c:pt>
                <c:pt idx="871">
                  <c:v>45.83</c:v>
                </c:pt>
                <c:pt idx="872">
                  <c:v>45.89</c:v>
                </c:pt>
                <c:pt idx="873">
                  <c:v>46.08</c:v>
                </c:pt>
                <c:pt idx="874">
                  <c:v>46.22</c:v>
                </c:pt>
                <c:pt idx="875">
                  <c:v>46.6</c:v>
                </c:pt>
                <c:pt idx="876">
                  <c:v>46.73</c:v>
                </c:pt>
                <c:pt idx="877">
                  <c:v>46.22</c:v>
                </c:pt>
                <c:pt idx="878">
                  <c:v>45.93</c:v>
                </c:pt>
                <c:pt idx="879">
                  <c:v>45.7</c:v>
                </c:pt>
                <c:pt idx="880">
                  <c:v>45.63</c:v>
                </c:pt>
                <c:pt idx="881">
                  <c:v>45.69</c:v>
                </c:pt>
                <c:pt idx="882">
                  <c:v>45.37</c:v>
                </c:pt>
                <c:pt idx="883">
                  <c:v>45.33</c:v>
                </c:pt>
                <c:pt idx="884">
                  <c:v>44.95</c:v>
                </c:pt>
                <c:pt idx="885">
                  <c:v>44.57</c:v>
                </c:pt>
                <c:pt idx="886">
                  <c:v>44.76</c:v>
                </c:pt>
                <c:pt idx="887">
                  <c:v>45.38</c:v>
                </c:pt>
                <c:pt idx="888">
                  <c:v>45.77</c:v>
                </c:pt>
                <c:pt idx="889">
                  <c:v>45.72</c:v>
                </c:pt>
                <c:pt idx="890">
                  <c:v>46.06</c:v>
                </c:pt>
                <c:pt idx="891">
                  <c:v>46.02</c:v>
                </c:pt>
                <c:pt idx="892">
                  <c:v>46.24</c:v>
                </c:pt>
                <c:pt idx="893">
                  <c:v>45.83</c:v>
                </c:pt>
                <c:pt idx="894">
                  <c:v>45.99</c:v>
                </c:pt>
                <c:pt idx="895">
                  <c:v>46.32</c:v>
                </c:pt>
                <c:pt idx="896">
                  <c:v>45.93</c:v>
                </c:pt>
                <c:pt idx="897">
                  <c:v>45.96</c:v>
                </c:pt>
                <c:pt idx="898">
                  <c:v>46.64</c:v>
                </c:pt>
                <c:pt idx="899">
                  <c:v>46.58</c:v>
                </c:pt>
                <c:pt idx="900">
                  <c:v>46.07</c:v>
                </c:pt>
                <c:pt idx="901">
                  <c:v>45.68</c:v>
                </c:pt>
                <c:pt idx="902">
                  <c:v>45.85</c:v>
                </c:pt>
                <c:pt idx="903">
                  <c:v>46.01</c:v>
                </c:pt>
                <c:pt idx="904">
                  <c:v>46.19</c:v>
                </c:pt>
                <c:pt idx="905">
                  <c:v>46.23</c:v>
                </c:pt>
                <c:pt idx="906">
                  <c:v>46.51</c:v>
                </c:pt>
                <c:pt idx="907">
                  <c:v>45.87</c:v>
                </c:pt>
                <c:pt idx="908">
                  <c:v>45.85</c:v>
                </c:pt>
                <c:pt idx="909">
                  <c:v>45.88</c:v>
                </c:pt>
                <c:pt idx="910">
                  <c:v>46.48</c:v>
                </c:pt>
                <c:pt idx="911">
                  <c:v>46.39</c:v>
                </c:pt>
                <c:pt idx="912">
                  <c:v>45.68</c:v>
                </c:pt>
                <c:pt idx="913">
                  <c:v>44.64</c:v>
                </c:pt>
                <c:pt idx="914">
                  <c:v>44.68</c:v>
                </c:pt>
                <c:pt idx="915">
                  <c:v>44.91</c:v>
                </c:pt>
                <c:pt idx="916">
                  <c:v>45.49</c:v>
                </c:pt>
                <c:pt idx="917">
                  <c:v>45.86</c:v>
                </c:pt>
                <c:pt idx="918">
                  <c:v>45.61</c:v>
                </c:pt>
                <c:pt idx="919">
                  <c:v>46.33</c:v>
                </c:pt>
                <c:pt idx="920">
                  <c:v>45.97</c:v>
                </c:pt>
                <c:pt idx="921">
                  <c:v>46.36</c:v>
                </c:pt>
                <c:pt idx="922">
                  <c:v>46.73</c:v>
                </c:pt>
                <c:pt idx="923">
                  <c:v>46.51</c:v>
                </c:pt>
                <c:pt idx="924">
                  <c:v>45.92</c:v>
                </c:pt>
                <c:pt idx="925">
                  <c:v>46.46</c:v>
                </c:pt>
                <c:pt idx="926">
                  <c:v>47.63</c:v>
                </c:pt>
                <c:pt idx="927">
                  <c:v>47.88</c:v>
                </c:pt>
                <c:pt idx="928">
                  <c:v>47.74</c:v>
                </c:pt>
                <c:pt idx="929">
                  <c:v>48</c:v>
                </c:pt>
                <c:pt idx="930">
                  <c:v>48.69</c:v>
                </c:pt>
                <c:pt idx="931">
                  <c:v>49.11</c:v>
                </c:pt>
                <c:pt idx="932">
                  <c:v>49.37</c:v>
                </c:pt>
                <c:pt idx="933">
                  <c:v>49.33</c:v>
                </c:pt>
                <c:pt idx="934">
                  <c:v>49.68</c:v>
                </c:pt>
                <c:pt idx="935">
                  <c:v>49.87</c:v>
                </c:pt>
                <c:pt idx="936">
                  <c:v>49.86</c:v>
                </c:pt>
                <c:pt idx="937">
                  <c:v>49.76</c:v>
                </c:pt>
                <c:pt idx="938">
                  <c:v>49.74</c:v>
                </c:pt>
                <c:pt idx="939">
                  <c:v>50.17</c:v>
                </c:pt>
                <c:pt idx="940">
                  <c:v>50.51</c:v>
                </c:pt>
                <c:pt idx="941">
                  <c:v>49.38</c:v>
                </c:pt>
                <c:pt idx="942">
                  <c:v>48.73</c:v>
                </c:pt>
                <c:pt idx="943">
                  <c:v>49.02</c:v>
                </c:pt>
                <c:pt idx="944">
                  <c:v>48.87</c:v>
                </c:pt>
                <c:pt idx="945">
                  <c:v>49.37</c:v>
                </c:pt>
                <c:pt idx="946">
                  <c:v>49.71</c:v>
                </c:pt>
                <c:pt idx="947">
                  <c:v>48.98</c:v>
                </c:pt>
                <c:pt idx="948">
                  <c:v>50.4</c:v>
                </c:pt>
                <c:pt idx="949">
                  <c:v>49.69</c:v>
                </c:pt>
                <c:pt idx="950">
                  <c:v>49.58</c:v>
                </c:pt>
                <c:pt idx="951">
                  <c:v>49.38</c:v>
                </c:pt>
                <c:pt idx="952">
                  <c:v>49.09</c:v>
                </c:pt>
                <c:pt idx="953">
                  <c:v>49.24</c:v>
                </c:pt>
                <c:pt idx="954">
                  <c:v>49.54</c:v>
                </c:pt>
                <c:pt idx="955">
                  <c:v>49.22</c:v>
                </c:pt>
                <c:pt idx="956">
                  <c:v>49.47</c:v>
                </c:pt>
                <c:pt idx="957">
                  <c:v>49.34</c:v>
                </c:pt>
                <c:pt idx="958">
                  <c:v>48.33</c:v>
                </c:pt>
                <c:pt idx="959">
                  <c:v>48.32</c:v>
                </c:pt>
                <c:pt idx="960">
                  <c:v>47.9</c:v>
                </c:pt>
                <c:pt idx="961">
                  <c:v>47.54</c:v>
                </c:pt>
                <c:pt idx="962">
                  <c:v>47.57</c:v>
                </c:pt>
                <c:pt idx="963">
                  <c:v>45.96</c:v>
                </c:pt>
                <c:pt idx="964">
                  <c:v>46.94</c:v>
                </c:pt>
                <c:pt idx="965">
                  <c:v>47.53</c:v>
                </c:pt>
                <c:pt idx="966">
                  <c:v>47.2</c:v>
                </c:pt>
                <c:pt idx="967">
                  <c:v>47.35</c:v>
                </c:pt>
                <c:pt idx="968">
                  <c:v>46.93</c:v>
                </c:pt>
                <c:pt idx="969">
                  <c:v>46.64</c:v>
                </c:pt>
                <c:pt idx="970">
                  <c:v>47.57</c:v>
                </c:pt>
                <c:pt idx="971">
                  <c:v>46.95</c:v>
                </c:pt>
                <c:pt idx="972">
                  <c:v>47.48</c:v>
                </c:pt>
                <c:pt idx="973">
                  <c:v>46.57</c:v>
                </c:pt>
                <c:pt idx="974">
                  <c:v>47.07</c:v>
                </c:pt>
                <c:pt idx="975">
                  <c:v>47.34</c:v>
                </c:pt>
                <c:pt idx="976">
                  <c:v>47.15</c:v>
                </c:pt>
                <c:pt idx="977">
                  <c:v>47.57</c:v>
                </c:pt>
                <c:pt idx="978">
                  <c:v>46.92</c:v>
                </c:pt>
                <c:pt idx="979">
                  <c:v>47.06</c:v>
                </c:pt>
                <c:pt idx="980">
                  <c:v>47.61</c:v>
                </c:pt>
                <c:pt idx="981">
                  <c:v>47.72</c:v>
                </c:pt>
                <c:pt idx="982">
                  <c:v>48.27</c:v>
                </c:pt>
                <c:pt idx="983">
                  <c:v>47.69</c:v>
                </c:pt>
                <c:pt idx="984">
                  <c:v>47.37</c:v>
                </c:pt>
                <c:pt idx="985">
                  <c:v>47.17</c:v>
                </c:pt>
                <c:pt idx="986">
                  <c:v>47.4</c:v>
                </c:pt>
                <c:pt idx="987">
                  <c:v>47.86</c:v>
                </c:pt>
                <c:pt idx="988">
                  <c:v>48.13</c:v>
                </c:pt>
                <c:pt idx="989">
                  <c:v>48.7</c:v>
                </c:pt>
                <c:pt idx="990">
                  <c:v>49.25</c:v>
                </c:pt>
                <c:pt idx="991">
                  <c:v>49.26</c:v>
                </c:pt>
                <c:pt idx="992">
                  <c:v>49.26</c:v>
                </c:pt>
                <c:pt idx="993">
                  <c:v>49.42</c:v>
                </c:pt>
                <c:pt idx="994">
                  <c:v>49.5</c:v>
                </c:pt>
                <c:pt idx="995">
                  <c:v>49.61</c:v>
                </c:pt>
                <c:pt idx="996">
                  <c:v>49.66</c:v>
                </c:pt>
                <c:pt idx="997">
                  <c:v>49.79</c:v>
                </c:pt>
                <c:pt idx="998">
                  <c:v>45.59</c:v>
                </c:pt>
                <c:pt idx="999">
                  <c:v>45.24</c:v>
                </c:pt>
                <c:pt idx="1000">
                  <c:v>44.83</c:v>
                </c:pt>
                <c:pt idx="1001">
                  <c:v>45.1</c:v>
                </c:pt>
                <c:pt idx="1002">
                  <c:v>45.86</c:v>
                </c:pt>
                <c:pt idx="1003">
                  <c:v>45.28</c:v>
                </c:pt>
                <c:pt idx="1004">
                  <c:v>44.94</c:v>
                </c:pt>
                <c:pt idx="1005">
                  <c:v>44.69</c:v>
                </c:pt>
                <c:pt idx="1006">
                  <c:v>44.94</c:v>
                </c:pt>
                <c:pt idx="1007">
                  <c:v>45.34</c:v>
                </c:pt>
                <c:pt idx="1008">
                  <c:v>45.38</c:v>
                </c:pt>
                <c:pt idx="1009">
                  <c:v>45.65</c:v>
                </c:pt>
                <c:pt idx="1010">
                  <c:v>45.6</c:v>
                </c:pt>
                <c:pt idx="1011">
                  <c:v>45.45</c:v>
                </c:pt>
                <c:pt idx="1012">
                  <c:v>45.28</c:v>
                </c:pt>
                <c:pt idx="1013">
                  <c:v>44.84</c:v>
                </c:pt>
                <c:pt idx="1014">
                  <c:v>46.18</c:v>
                </c:pt>
                <c:pt idx="1015">
                  <c:v>46.05</c:v>
                </c:pt>
                <c:pt idx="1016">
                  <c:v>46.22</c:v>
                </c:pt>
                <c:pt idx="1017">
                  <c:v>45.7</c:v>
                </c:pt>
                <c:pt idx="1018">
                  <c:v>45.3</c:v>
                </c:pt>
                <c:pt idx="1019">
                  <c:v>45.41</c:v>
                </c:pt>
                <c:pt idx="1020">
                  <c:v>45.56</c:v>
                </c:pt>
                <c:pt idx="1021">
                  <c:v>45.53</c:v>
                </c:pt>
                <c:pt idx="1022">
                  <c:v>45.51</c:v>
                </c:pt>
                <c:pt idx="1023">
                  <c:v>45.93</c:v>
                </c:pt>
                <c:pt idx="1024">
                  <c:v>46.03</c:v>
                </c:pt>
                <c:pt idx="1025">
                  <c:v>46.64</c:v>
                </c:pt>
                <c:pt idx="1026">
                  <c:v>46.61</c:v>
                </c:pt>
                <c:pt idx="1027">
                  <c:v>46.58</c:v>
                </c:pt>
                <c:pt idx="1028">
                  <c:v>46.86</c:v>
                </c:pt>
                <c:pt idx="1029">
                  <c:v>46.72</c:v>
                </c:pt>
                <c:pt idx="1030">
                  <c:v>46.57</c:v>
                </c:pt>
                <c:pt idx="1031">
                  <c:v>46.18</c:v>
                </c:pt>
                <c:pt idx="1032">
                  <c:v>46.48</c:v>
                </c:pt>
                <c:pt idx="1033">
                  <c:v>46.47</c:v>
                </c:pt>
                <c:pt idx="1034">
                  <c:v>46.55</c:v>
                </c:pt>
                <c:pt idx="1035">
                  <c:v>46.67</c:v>
                </c:pt>
                <c:pt idx="1036">
                  <c:v>46.64</c:v>
                </c:pt>
                <c:pt idx="1037">
                  <c:v>46.71</c:v>
                </c:pt>
                <c:pt idx="1038">
                  <c:v>46.74</c:v>
                </c:pt>
                <c:pt idx="1039">
                  <c:v>47</c:v>
                </c:pt>
                <c:pt idx="1040">
                  <c:v>46.95</c:v>
                </c:pt>
                <c:pt idx="1041">
                  <c:v>47.28</c:v>
                </c:pt>
                <c:pt idx="1042">
                  <c:v>47.48</c:v>
                </c:pt>
                <c:pt idx="1043">
                  <c:v>47.4</c:v>
                </c:pt>
                <c:pt idx="1044">
                  <c:v>48.21</c:v>
                </c:pt>
                <c:pt idx="1045">
                  <c:v>47.98</c:v>
                </c:pt>
                <c:pt idx="1046">
                  <c:v>47.84</c:v>
                </c:pt>
                <c:pt idx="1047">
                  <c:v>48.26</c:v>
                </c:pt>
                <c:pt idx="1048">
                  <c:v>48.42</c:v>
                </c:pt>
                <c:pt idx="1049">
                  <c:v>49.06</c:v>
                </c:pt>
                <c:pt idx="1050">
                  <c:v>48.59</c:v>
                </c:pt>
                <c:pt idx="1051">
                  <c:v>48.39</c:v>
                </c:pt>
                <c:pt idx="1052">
                  <c:v>48.72</c:v>
                </c:pt>
                <c:pt idx="1053">
                  <c:v>48.47</c:v>
                </c:pt>
                <c:pt idx="1054">
                  <c:v>48</c:v>
                </c:pt>
                <c:pt idx="1055">
                  <c:v>47.85</c:v>
                </c:pt>
                <c:pt idx="1056">
                  <c:v>47.4</c:v>
                </c:pt>
                <c:pt idx="1057">
                  <c:v>48.19</c:v>
                </c:pt>
                <c:pt idx="1058">
                  <c:v>48.05</c:v>
                </c:pt>
                <c:pt idx="1059">
                  <c:v>48.69</c:v>
                </c:pt>
                <c:pt idx="1060">
                  <c:v>49.18</c:v>
                </c:pt>
                <c:pt idx="1061">
                  <c:v>49.58</c:v>
                </c:pt>
                <c:pt idx="1062">
                  <c:v>49.2</c:v>
                </c:pt>
                <c:pt idx="1063">
                  <c:v>48.85</c:v>
                </c:pt>
                <c:pt idx="1064">
                  <c:v>48.6</c:v>
                </c:pt>
                <c:pt idx="1065">
                  <c:v>49.65</c:v>
                </c:pt>
                <c:pt idx="1066">
                  <c:v>49.85</c:v>
                </c:pt>
                <c:pt idx="1067">
                  <c:v>49.61</c:v>
                </c:pt>
                <c:pt idx="1068">
                  <c:v>49.1</c:v>
                </c:pt>
                <c:pt idx="1069">
                  <c:v>48.61</c:v>
                </c:pt>
                <c:pt idx="1070">
                  <c:v>49.25</c:v>
                </c:pt>
                <c:pt idx="1071">
                  <c:v>49.13</c:v>
                </c:pt>
                <c:pt idx="1072">
                  <c:v>49.98</c:v>
                </c:pt>
                <c:pt idx="1073">
                  <c:v>50</c:v>
                </c:pt>
                <c:pt idx="1074">
                  <c:v>50.78</c:v>
                </c:pt>
                <c:pt idx="1075">
                  <c:v>51.4</c:v>
                </c:pt>
                <c:pt idx="1076">
                  <c:v>51.49</c:v>
                </c:pt>
                <c:pt idx="1077">
                  <c:v>51.38</c:v>
                </c:pt>
                <c:pt idx="1078">
                  <c:v>51.33</c:v>
                </c:pt>
                <c:pt idx="1079">
                  <c:v>51.64</c:v>
                </c:pt>
                <c:pt idx="1080">
                  <c:v>51.13</c:v>
                </c:pt>
                <c:pt idx="1081">
                  <c:v>51.31</c:v>
                </c:pt>
                <c:pt idx="1082">
                  <c:v>50.87</c:v>
                </c:pt>
                <c:pt idx="1083">
                  <c:v>50.64</c:v>
                </c:pt>
                <c:pt idx="1084">
                  <c:v>51.12</c:v>
                </c:pt>
                <c:pt idx="1085">
                  <c:v>51.66</c:v>
                </c:pt>
                <c:pt idx="1086">
                  <c:v>51.55</c:v>
                </c:pt>
                <c:pt idx="1087">
                  <c:v>51.92</c:v>
                </c:pt>
                <c:pt idx="1088">
                  <c:v>51.76</c:v>
                </c:pt>
                <c:pt idx="1089">
                  <c:v>51.12</c:v>
                </c:pt>
                <c:pt idx="1090">
                  <c:v>51.08</c:v>
                </c:pt>
                <c:pt idx="1091">
                  <c:v>50.92</c:v>
                </c:pt>
                <c:pt idx="1092">
                  <c:v>51.6</c:v>
                </c:pt>
                <c:pt idx="1093">
                  <c:v>51.98</c:v>
                </c:pt>
                <c:pt idx="1094">
                  <c:v>52.1</c:v>
                </c:pt>
                <c:pt idx="1095">
                  <c:v>52.11</c:v>
                </c:pt>
                <c:pt idx="1096">
                  <c:v>52</c:v>
                </c:pt>
                <c:pt idx="1097">
                  <c:v>51.59</c:v>
                </c:pt>
                <c:pt idx="1098">
                  <c:v>51.82</c:v>
                </c:pt>
                <c:pt idx="1099">
                  <c:v>52.04</c:v>
                </c:pt>
                <c:pt idx="1100">
                  <c:v>52.12</c:v>
                </c:pt>
                <c:pt idx="1101">
                  <c:v>52.13</c:v>
                </c:pt>
                <c:pt idx="1102">
                  <c:v>52.14</c:v>
                </c:pt>
                <c:pt idx="1103">
                  <c:v>52.18</c:v>
                </c:pt>
                <c:pt idx="1104">
                  <c:v>52.03</c:v>
                </c:pt>
                <c:pt idx="1105">
                  <c:v>51.39</c:v>
                </c:pt>
                <c:pt idx="1106">
                  <c:v>51.22</c:v>
                </c:pt>
                <c:pt idx="1107">
                  <c:v>54.33</c:v>
                </c:pt>
                <c:pt idx="1108">
                  <c:v>53.78</c:v>
                </c:pt>
                <c:pt idx="1109">
                  <c:v>53.07</c:v>
                </c:pt>
                <c:pt idx="1110">
                  <c:v>54.17</c:v>
                </c:pt>
                <c:pt idx="1111">
                  <c:v>53.99</c:v>
                </c:pt>
                <c:pt idx="1112">
                  <c:v>53.72</c:v>
                </c:pt>
                <c:pt idx="1113">
                  <c:v>52.63</c:v>
                </c:pt>
                <c:pt idx="1114">
                  <c:v>52.03</c:v>
                </c:pt>
                <c:pt idx="1115">
                  <c:v>52.33</c:v>
                </c:pt>
                <c:pt idx="1116">
                  <c:v>51.65</c:v>
                </c:pt>
                <c:pt idx="1117">
                  <c:v>52.27</c:v>
                </c:pt>
                <c:pt idx="1118">
                  <c:v>53.18</c:v>
                </c:pt>
                <c:pt idx="1119">
                  <c:v>53.69</c:v>
                </c:pt>
                <c:pt idx="1120">
                  <c:v>53.42</c:v>
                </c:pt>
                <c:pt idx="1121">
                  <c:v>53.2</c:v>
                </c:pt>
                <c:pt idx="1122">
                  <c:v>53.5</c:v>
                </c:pt>
                <c:pt idx="1123">
                  <c:v>52.99</c:v>
                </c:pt>
                <c:pt idx="1124">
                  <c:v>53.87</c:v>
                </c:pt>
                <c:pt idx="1125">
                  <c:v>54.41</c:v>
                </c:pt>
                <c:pt idx="1126">
                  <c:v>54.69</c:v>
                </c:pt>
                <c:pt idx="1127">
                  <c:v>53.88</c:v>
                </c:pt>
                <c:pt idx="1128">
                  <c:v>54.1</c:v>
                </c:pt>
                <c:pt idx="1129">
                  <c:v>54.49</c:v>
                </c:pt>
                <c:pt idx="1130">
                  <c:v>53.74</c:v>
                </c:pt>
                <c:pt idx="1131">
                  <c:v>54.54</c:v>
                </c:pt>
                <c:pt idx="1132">
                  <c:v>54.72</c:v>
                </c:pt>
                <c:pt idx="1133">
                  <c:v>55.11</c:v>
                </c:pt>
                <c:pt idx="1134">
                  <c:v>55.05</c:v>
                </c:pt>
                <c:pt idx="1135">
                  <c:v>55.04</c:v>
                </c:pt>
                <c:pt idx="1136">
                  <c:v>55.3</c:v>
                </c:pt>
                <c:pt idx="1137">
                  <c:v>55.77</c:v>
                </c:pt>
                <c:pt idx="1138">
                  <c:v>55.12</c:v>
                </c:pt>
                <c:pt idx="1139">
                  <c:v>55.23</c:v>
                </c:pt>
                <c:pt idx="1140">
                  <c:v>54.52</c:v>
                </c:pt>
                <c:pt idx="1141">
                  <c:v>54.4</c:v>
                </c:pt>
                <c:pt idx="1142">
                  <c:v>54.77</c:v>
                </c:pt>
                <c:pt idx="1143">
                  <c:v>55.11</c:v>
                </c:pt>
                <c:pt idx="1144">
                  <c:v>54.26</c:v>
                </c:pt>
                <c:pt idx="1145">
                  <c:v>53.96</c:v>
                </c:pt>
                <c:pt idx="1146">
                  <c:v>54.24</c:v>
                </c:pt>
                <c:pt idx="1147">
                  <c:v>54.23</c:v>
                </c:pt>
                <c:pt idx="1148">
                  <c:v>54.52</c:v>
                </c:pt>
                <c:pt idx="1149">
                  <c:v>53.91</c:v>
                </c:pt>
                <c:pt idx="1150">
                  <c:v>54.14</c:v>
                </c:pt>
                <c:pt idx="1151">
                  <c:v>54.3</c:v>
                </c:pt>
                <c:pt idx="1152">
                  <c:v>54.17</c:v>
                </c:pt>
                <c:pt idx="1153">
                  <c:v>54.39</c:v>
                </c:pt>
                <c:pt idx="1154">
                  <c:v>54.31</c:v>
                </c:pt>
                <c:pt idx="1155">
                  <c:v>54.44</c:v>
                </c:pt>
                <c:pt idx="1156">
                  <c:v>54.65</c:v>
                </c:pt>
                <c:pt idx="1157">
                  <c:v>53.08</c:v>
                </c:pt>
                <c:pt idx="1158">
                  <c:v>53.84</c:v>
                </c:pt>
                <c:pt idx="1159">
                  <c:v>54.54</c:v>
                </c:pt>
                <c:pt idx="1160">
                  <c:v>53.87</c:v>
                </c:pt>
                <c:pt idx="1161">
                  <c:v>53.58</c:v>
                </c:pt>
                <c:pt idx="1162">
                  <c:v>53.83</c:v>
                </c:pt>
                <c:pt idx="1163">
                  <c:v>53.66</c:v>
                </c:pt>
                <c:pt idx="1164">
                  <c:v>53.3</c:v>
                </c:pt>
                <c:pt idx="1165">
                  <c:v>53.3</c:v>
                </c:pt>
                <c:pt idx="1166">
                  <c:v>53.51</c:v>
                </c:pt>
                <c:pt idx="1167">
                  <c:v>53.49</c:v>
                </c:pt>
                <c:pt idx="1168">
                  <c:v>53.79</c:v>
                </c:pt>
                <c:pt idx="1169">
                  <c:v>54.78</c:v>
                </c:pt>
                <c:pt idx="1170">
                  <c:v>54.23</c:v>
                </c:pt>
                <c:pt idx="1171">
                  <c:v>53.85</c:v>
                </c:pt>
                <c:pt idx="1172">
                  <c:v>54.64</c:v>
                </c:pt>
                <c:pt idx="1173">
                  <c:v>54.61</c:v>
                </c:pt>
                <c:pt idx="1174">
                  <c:v>53.75</c:v>
                </c:pt>
                <c:pt idx="1175">
                  <c:v>53.57</c:v>
                </c:pt>
                <c:pt idx="1176">
                  <c:v>53.41</c:v>
                </c:pt>
                <c:pt idx="1177">
                  <c:v>53.94</c:v>
                </c:pt>
                <c:pt idx="1178">
                  <c:v>54.43</c:v>
                </c:pt>
                <c:pt idx="1179">
                  <c:v>53.9</c:v>
                </c:pt>
                <c:pt idx="1180">
                  <c:v>53.14</c:v>
                </c:pt>
                <c:pt idx="1181">
                  <c:v>52.42</c:v>
                </c:pt>
                <c:pt idx="1182">
                  <c:v>52.8</c:v>
                </c:pt>
                <c:pt idx="1183">
                  <c:v>52.29</c:v>
                </c:pt>
                <c:pt idx="1184">
                  <c:v>52.21</c:v>
                </c:pt>
                <c:pt idx="1185">
                  <c:v>51.84</c:v>
                </c:pt>
                <c:pt idx="1186">
                  <c:v>51.71</c:v>
                </c:pt>
                <c:pt idx="1187">
                  <c:v>52.41</c:v>
                </c:pt>
                <c:pt idx="1188">
                  <c:v>52.63</c:v>
                </c:pt>
                <c:pt idx="1189">
                  <c:v>52.67</c:v>
                </c:pt>
                <c:pt idx="1190">
                  <c:v>53.03</c:v>
                </c:pt>
                <c:pt idx="1191">
                  <c:v>53.08</c:v>
                </c:pt>
                <c:pt idx="1192">
                  <c:v>53.22</c:v>
                </c:pt>
                <c:pt idx="1193">
                  <c:v>52.96</c:v>
                </c:pt>
                <c:pt idx="1194">
                  <c:v>53.03</c:v>
                </c:pt>
                <c:pt idx="1195">
                  <c:v>53.22</c:v>
                </c:pt>
                <c:pt idx="1196">
                  <c:v>53.9</c:v>
                </c:pt>
                <c:pt idx="1197">
                  <c:v>53.95</c:v>
                </c:pt>
                <c:pt idx="1198">
                  <c:v>53.4</c:v>
                </c:pt>
                <c:pt idx="1199">
                  <c:v>53.75</c:v>
                </c:pt>
                <c:pt idx="1200">
                  <c:v>53.8</c:v>
                </c:pt>
                <c:pt idx="1201">
                  <c:v>54.29</c:v>
                </c:pt>
                <c:pt idx="1202">
                  <c:v>54.19</c:v>
                </c:pt>
                <c:pt idx="1203">
                  <c:v>54.42</c:v>
                </c:pt>
                <c:pt idx="1204">
                  <c:v>54.07</c:v>
                </c:pt>
                <c:pt idx="1205">
                  <c:v>53.77</c:v>
                </c:pt>
                <c:pt idx="1206">
                  <c:v>53.95</c:v>
                </c:pt>
                <c:pt idx="1207">
                  <c:v>54.14</c:v>
                </c:pt>
                <c:pt idx="1208">
                  <c:v>54.42</c:v>
                </c:pt>
                <c:pt idx="1209">
                  <c:v>54.42</c:v>
                </c:pt>
                <c:pt idx="1210">
                  <c:v>54.42</c:v>
                </c:pt>
                <c:pt idx="1211">
                  <c:v>53.91</c:v>
                </c:pt>
                <c:pt idx="1212">
                  <c:v>54.32</c:v>
                </c:pt>
                <c:pt idx="1213">
                  <c:v>54.97</c:v>
                </c:pt>
                <c:pt idx="1214">
                  <c:v>54.91</c:v>
                </c:pt>
                <c:pt idx="1215">
                  <c:v>54.71</c:v>
                </c:pt>
                <c:pt idx="1216">
                  <c:v>55.02</c:v>
                </c:pt>
                <c:pt idx="1217">
                  <c:v>55.35</c:v>
                </c:pt>
                <c:pt idx="1218">
                  <c:v>55.27</c:v>
                </c:pt>
                <c:pt idx="1219">
                  <c:v>55.35</c:v>
                </c:pt>
                <c:pt idx="1220">
                  <c:v>54.99</c:v>
                </c:pt>
                <c:pt idx="1221">
                  <c:v>54.69</c:v>
                </c:pt>
                <c:pt idx="1222">
                  <c:v>54.67</c:v>
                </c:pt>
                <c:pt idx="1223">
                  <c:v>54.25</c:v>
                </c:pt>
                <c:pt idx="1224">
                  <c:v>54.35</c:v>
                </c:pt>
                <c:pt idx="1225">
                  <c:v>55.34</c:v>
                </c:pt>
                <c:pt idx="1226">
                  <c:v>55.53</c:v>
                </c:pt>
                <c:pt idx="1227">
                  <c:v>56.13</c:v>
                </c:pt>
                <c:pt idx="1228">
                  <c:v>56</c:v>
                </c:pt>
                <c:pt idx="1229">
                  <c:v>56.7</c:v>
                </c:pt>
                <c:pt idx="1230">
                  <c:v>56.82</c:v>
                </c:pt>
                <c:pt idx="1231">
                  <c:v>56.94</c:v>
                </c:pt>
                <c:pt idx="1232">
                  <c:v>57.17</c:v>
                </c:pt>
                <c:pt idx="1233">
                  <c:v>57.61</c:v>
                </c:pt>
                <c:pt idx="1234">
                  <c:v>57.83</c:v>
                </c:pt>
                <c:pt idx="1235">
                  <c:v>57.68</c:v>
                </c:pt>
                <c:pt idx="1236">
                  <c:v>57.48</c:v>
                </c:pt>
                <c:pt idx="1237">
                  <c:v>57.01</c:v>
                </c:pt>
                <c:pt idx="1238">
                  <c:v>57.01</c:v>
                </c:pt>
                <c:pt idx="1239">
                  <c:v>58.86</c:v>
                </c:pt>
                <c:pt idx="1240">
                  <c:v>58.4</c:v>
                </c:pt>
                <c:pt idx="1241">
                  <c:v>58.58</c:v>
                </c:pt>
                <c:pt idx="1242">
                  <c:v>58.84</c:v>
                </c:pt>
                <c:pt idx="1243">
                  <c:v>58.85</c:v>
                </c:pt>
                <c:pt idx="1244">
                  <c:v>58.99</c:v>
                </c:pt>
                <c:pt idx="1245">
                  <c:v>59.19</c:v>
                </c:pt>
                <c:pt idx="1246">
                  <c:v>59.75</c:v>
                </c:pt>
                <c:pt idx="1247">
                  <c:v>59.59</c:v>
                </c:pt>
                <c:pt idx="1248">
                  <c:v>59.41</c:v>
                </c:pt>
                <c:pt idx="1249">
                  <c:v>59.61</c:v>
                </c:pt>
                <c:pt idx="1250">
                  <c:v>59.95</c:v>
                </c:pt>
                <c:pt idx="1251">
                  <c:v>59.53</c:v>
                </c:pt>
                <c:pt idx="1252">
                  <c:v>59.77</c:v>
                </c:pt>
                <c:pt idx="1253">
                  <c:v>59.72</c:v>
                </c:pt>
                <c:pt idx="1254">
                  <c:v>60.13</c:v>
                </c:pt>
                <c:pt idx="1255">
                  <c:v>58.65</c:v>
                </c:pt>
                <c:pt idx="1256">
                  <c:v>57.82</c:v>
                </c:pt>
                <c:pt idx="1257">
                  <c:v>57.6</c:v>
                </c:pt>
                <c:pt idx="1258">
                  <c:v>54.93</c:v>
                </c:pt>
                <c:pt idx="1259">
                  <c:v>53.49</c:v>
                </c:pt>
                <c:pt idx="1260">
                  <c:v>55.92</c:v>
                </c:pt>
                <c:pt idx="1261">
                  <c:v>56.06</c:v>
                </c:pt>
                <c:pt idx="1262">
                  <c:v>58.92</c:v>
                </c:pt>
                <c:pt idx="1263">
                  <c:v>56.74</c:v>
                </c:pt>
                <c:pt idx="1264">
                  <c:v>55.26</c:v>
                </c:pt>
                <c:pt idx="1265">
                  <c:v>51.86</c:v>
                </c:pt>
                <c:pt idx="1266">
                  <c:v>53.66</c:v>
                </c:pt>
                <c:pt idx="1267">
                  <c:v>52.21</c:v>
                </c:pt>
                <c:pt idx="1268">
                  <c:v>47.16</c:v>
                </c:pt>
                <c:pt idx="1269">
                  <c:v>48.47</c:v>
                </c:pt>
                <c:pt idx="1270">
                  <c:v>45.26</c:v>
                </c:pt>
                <c:pt idx="1271">
                  <c:v>47.18</c:v>
                </c:pt>
                <c:pt idx="1272">
                  <c:v>44.85</c:v>
                </c:pt>
                <c:pt idx="1273">
                  <c:v>41.83</c:v>
                </c:pt>
                <c:pt idx="1274">
                  <c:v>38.299999999999997</c:v>
                </c:pt>
                <c:pt idx="1275">
                  <c:v>37.56</c:v>
                </c:pt>
                <c:pt idx="1276">
                  <c:v>39.450000000000003</c:v>
                </c:pt>
                <c:pt idx="1277">
                  <c:v>41.61</c:v>
                </c:pt>
                <c:pt idx="1278">
                  <c:v>44.29</c:v>
                </c:pt>
                <c:pt idx="1279">
                  <c:v>42.81</c:v>
                </c:pt>
                <c:pt idx="1280">
                  <c:v>45</c:v>
                </c:pt>
                <c:pt idx="1281">
                  <c:v>44.25</c:v>
                </c:pt>
                <c:pt idx="1282">
                  <c:v>42.12</c:v>
                </c:pt>
                <c:pt idx="1283">
                  <c:v>43.95</c:v>
                </c:pt>
                <c:pt idx="1284">
                  <c:v>43.83</c:v>
                </c:pt>
                <c:pt idx="1285">
                  <c:v>46.67</c:v>
                </c:pt>
                <c:pt idx="1286">
                  <c:v>46.51</c:v>
                </c:pt>
                <c:pt idx="1287">
                  <c:v>47.82</c:v>
                </c:pt>
                <c:pt idx="1288">
                  <c:v>49</c:v>
                </c:pt>
                <c:pt idx="1289">
                  <c:v>46.93</c:v>
                </c:pt>
                <c:pt idx="1290">
                  <c:v>48.92</c:v>
                </c:pt>
                <c:pt idx="1291">
                  <c:v>47.61</c:v>
                </c:pt>
                <c:pt idx="1292">
                  <c:v>47.1</c:v>
                </c:pt>
                <c:pt idx="1293">
                  <c:v>48.06</c:v>
                </c:pt>
                <c:pt idx="1294">
                  <c:v>46.53</c:v>
                </c:pt>
                <c:pt idx="1295">
                  <c:v>45.38</c:v>
                </c:pt>
                <c:pt idx="1296">
                  <c:v>45.68</c:v>
                </c:pt>
                <c:pt idx="1297">
                  <c:v>45.07</c:v>
                </c:pt>
                <c:pt idx="1298">
                  <c:v>45.43</c:v>
                </c:pt>
                <c:pt idx="1299">
                  <c:v>46.78</c:v>
                </c:pt>
                <c:pt idx="1300">
                  <c:v>46.74</c:v>
                </c:pt>
                <c:pt idx="1301">
                  <c:v>47.12</c:v>
                </c:pt>
                <c:pt idx="1302">
                  <c:v>45.89</c:v>
                </c:pt>
                <c:pt idx="1303">
                  <c:v>45.6</c:v>
                </c:pt>
                <c:pt idx="1304">
                  <c:v>45.14</c:v>
                </c:pt>
                <c:pt idx="1305">
                  <c:v>45.4</c:v>
                </c:pt>
                <c:pt idx="1306">
                  <c:v>44.75</c:v>
                </c:pt>
                <c:pt idx="1307">
                  <c:v>44.6</c:v>
                </c:pt>
                <c:pt idx="1308">
                  <c:v>46.11</c:v>
                </c:pt>
                <c:pt idx="1309">
                  <c:v>45.54</c:v>
                </c:pt>
                <c:pt idx="1310">
                  <c:v>44.82</c:v>
                </c:pt>
                <c:pt idx="1311">
                  <c:v>43.94</c:v>
                </c:pt>
                <c:pt idx="1312">
                  <c:v>43.7</c:v>
                </c:pt>
                <c:pt idx="1313">
                  <c:v>43.26</c:v>
                </c:pt>
                <c:pt idx="1314">
                  <c:v>44.97</c:v>
                </c:pt>
                <c:pt idx="1315">
                  <c:v>44.54</c:v>
                </c:pt>
                <c:pt idx="1316">
                  <c:v>45.89</c:v>
                </c:pt>
                <c:pt idx="1317">
                  <c:v>45.17</c:v>
                </c:pt>
                <c:pt idx="1318">
                  <c:v>45.03</c:v>
                </c:pt>
                <c:pt idx="1319">
                  <c:v>46.09</c:v>
                </c:pt>
                <c:pt idx="1320">
                  <c:v>46.73</c:v>
                </c:pt>
                <c:pt idx="1321">
                  <c:v>47.09</c:v>
                </c:pt>
                <c:pt idx="1322">
                  <c:v>46.68</c:v>
                </c:pt>
                <c:pt idx="1323">
                  <c:v>46.99</c:v>
                </c:pt>
                <c:pt idx="1324">
                  <c:v>46.9</c:v>
                </c:pt>
                <c:pt idx="1325">
                  <c:v>47.9</c:v>
                </c:pt>
                <c:pt idx="1326">
                  <c:v>47.92</c:v>
                </c:pt>
                <c:pt idx="1327">
                  <c:v>49.09</c:v>
                </c:pt>
                <c:pt idx="1328">
                  <c:v>49.85</c:v>
                </c:pt>
                <c:pt idx="1329">
                  <c:v>49</c:v>
                </c:pt>
                <c:pt idx="1330">
                  <c:v>48.62</c:v>
                </c:pt>
                <c:pt idx="1331">
                  <c:v>45.54</c:v>
                </c:pt>
                <c:pt idx="1332">
                  <c:v>45.6</c:v>
                </c:pt>
                <c:pt idx="1333">
                  <c:v>46.3</c:v>
                </c:pt>
                <c:pt idx="1334">
                  <c:v>46.77</c:v>
                </c:pt>
                <c:pt idx="1335">
                  <c:v>46.58</c:v>
                </c:pt>
                <c:pt idx="1336">
                  <c:v>46.99</c:v>
                </c:pt>
                <c:pt idx="1337">
                  <c:v>46.02</c:v>
                </c:pt>
                <c:pt idx="1338">
                  <c:v>45.74</c:v>
                </c:pt>
                <c:pt idx="1339">
                  <c:v>45.64</c:v>
                </c:pt>
                <c:pt idx="1340">
                  <c:v>44.65</c:v>
                </c:pt>
                <c:pt idx="1341">
                  <c:v>44.93</c:v>
                </c:pt>
                <c:pt idx="1342">
                  <c:v>43.57</c:v>
                </c:pt>
                <c:pt idx="1343">
                  <c:v>44.36</c:v>
                </c:pt>
                <c:pt idx="1344">
                  <c:v>44.68</c:v>
                </c:pt>
                <c:pt idx="1345">
                  <c:v>44.82</c:v>
                </c:pt>
                <c:pt idx="1346">
                  <c:v>44.88</c:v>
                </c:pt>
                <c:pt idx="1347">
                  <c:v>45.23</c:v>
                </c:pt>
                <c:pt idx="1348">
                  <c:v>45.21</c:v>
                </c:pt>
                <c:pt idx="1349">
                  <c:v>45.07</c:v>
                </c:pt>
                <c:pt idx="1350">
                  <c:v>43.91</c:v>
                </c:pt>
                <c:pt idx="1351">
                  <c:v>45.15</c:v>
                </c:pt>
                <c:pt idx="1352">
                  <c:v>45.25</c:v>
                </c:pt>
                <c:pt idx="1353">
                  <c:v>45.87</c:v>
                </c:pt>
                <c:pt idx="1354">
                  <c:v>46.4</c:v>
                </c:pt>
                <c:pt idx="1355">
                  <c:v>46.15</c:v>
                </c:pt>
                <c:pt idx="1356">
                  <c:v>46.82</c:v>
                </c:pt>
                <c:pt idx="1357">
                  <c:v>46.12</c:v>
                </c:pt>
                <c:pt idx="1358">
                  <c:v>47.2</c:v>
                </c:pt>
                <c:pt idx="1359">
                  <c:v>48.48</c:v>
                </c:pt>
                <c:pt idx="1360">
                  <c:v>48.28</c:v>
                </c:pt>
                <c:pt idx="1361">
                  <c:v>48.49</c:v>
                </c:pt>
                <c:pt idx="1362">
                  <c:v>48.48</c:v>
                </c:pt>
                <c:pt idx="1363">
                  <c:v>48.18</c:v>
                </c:pt>
                <c:pt idx="1364">
                  <c:v>48.02</c:v>
                </c:pt>
                <c:pt idx="1365">
                  <c:v>47.69</c:v>
                </c:pt>
                <c:pt idx="1366">
                  <c:v>47.24</c:v>
                </c:pt>
                <c:pt idx="1367">
                  <c:v>46.3</c:v>
                </c:pt>
                <c:pt idx="1368">
                  <c:v>46.69</c:v>
                </c:pt>
                <c:pt idx="1369">
                  <c:v>47.22</c:v>
                </c:pt>
                <c:pt idx="1370">
                  <c:v>47.48</c:v>
                </c:pt>
                <c:pt idx="1371">
                  <c:v>47.8</c:v>
                </c:pt>
                <c:pt idx="1372">
                  <c:v>47.72</c:v>
                </c:pt>
                <c:pt idx="1373">
                  <c:v>47.93</c:v>
                </c:pt>
                <c:pt idx="1374">
                  <c:v>48.43</c:v>
                </c:pt>
                <c:pt idx="1375">
                  <c:v>48.38</c:v>
                </c:pt>
                <c:pt idx="1376">
                  <c:v>48.45</c:v>
                </c:pt>
                <c:pt idx="1377">
                  <c:v>48.21</c:v>
                </c:pt>
                <c:pt idx="1378">
                  <c:v>48.42</c:v>
                </c:pt>
                <c:pt idx="1379">
                  <c:v>47.37</c:v>
                </c:pt>
                <c:pt idx="1380">
                  <c:v>47.35</c:v>
                </c:pt>
                <c:pt idx="1381">
                  <c:v>47.28</c:v>
                </c:pt>
                <c:pt idx="1382">
                  <c:v>47.97</c:v>
                </c:pt>
                <c:pt idx="1383">
                  <c:v>47.91</c:v>
                </c:pt>
                <c:pt idx="1384">
                  <c:v>48.16</c:v>
                </c:pt>
                <c:pt idx="1385">
                  <c:v>48.23</c:v>
                </c:pt>
                <c:pt idx="1386">
                  <c:v>49.83</c:v>
                </c:pt>
                <c:pt idx="1387">
                  <c:v>49.53</c:v>
                </c:pt>
                <c:pt idx="1388">
                  <c:v>49.12</c:v>
                </c:pt>
                <c:pt idx="1389">
                  <c:v>51.19</c:v>
                </c:pt>
                <c:pt idx="1390">
                  <c:v>50.48</c:v>
                </c:pt>
                <c:pt idx="1391">
                  <c:v>51.04</c:v>
                </c:pt>
                <c:pt idx="1392">
                  <c:v>49.81</c:v>
                </c:pt>
                <c:pt idx="1393">
                  <c:v>50.19</c:v>
                </c:pt>
                <c:pt idx="1394">
                  <c:v>50</c:v>
                </c:pt>
                <c:pt idx="1395">
                  <c:v>51.06</c:v>
                </c:pt>
                <c:pt idx="1396">
                  <c:v>50.71</c:v>
                </c:pt>
                <c:pt idx="1397">
                  <c:v>51.05</c:v>
                </c:pt>
                <c:pt idx="1398">
                  <c:v>50.79</c:v>
                </c:pt>
                <c:pt idx="1399">
                  <c:v>50.55</c:v>
                </c:pt>
                <c:pt idx="1400">
                  <c:v>50.45</c:v>
                </c:pt>
                <c:pt idx="1401">
                  <c:v>49.09</c:v>
                </c:pt>
                <c:pt idx="1402">
                  <c:v>49.66</c:v>
                </c:pt>
                <c:pt idx="1403">
                  <c:v>48.21</c:v>
                </c:pt>
                <c:pt idx="1404">
                  <c:v>48.7</c:v>
                </c:pt>
                <c:pt idx="1405">
                  <c:v>48.72</c:v>
                </c:pt>
                <c:pt idx="1406">
                  <c:v>49.28</c:v>
                </c:pt>
                <c:pt idx="1407">
                  <c:v>48.92</c:v>
                </c:pt>
                <c:pt idx="1408">
                  <c:v>49.37</c:v>
                </c:pt>
                <c:pt idx="1409">
                  <c:v>49.18</c:v>
                </c:pt>
                <c:pt idx="1410">
                  <c:v>49.36</c:v>
                </c:pt>
                <c:pt idx="1411">
                  <c:v>49.38</c:v>
                </c:pt>
                <c:pt idx="1412">
                  <c:v>48.94</c:v>
                </c:pt>
                <c:pt idx="1413">
                  <c:v>49.56</c:v>
                </c:pt>
                <c:pt idx="1414">
                  <c:v>50.46</c:v>
                </c:pt>
                <c:pt idx="1415">
                  <c:v>50.81</c:v>
                </c:pt>
                <c:pt idx="1416">
                  <c:v>51.09</c:v>
                </c:pt>
                <c:pt idx="1417">
                  <c:v>50.22</c:v>
                </c:pt>
                <c:pt idx="1418">
                  <c:v>50.12</c:v>
                </c:pt>
                <c:pt idx="1419">
                  <c:v>49.99</c:v>
                </c:pt>
                <c:pt idx="1420">
                  <c:v>50.03</c:v>
                </c:pt>
                <c:pt idx="1421">
                  <c:v>49.62</c:v>
                </c:pt>
                <c:pt idx="1422">
                  <c:v>50.25</c:v>
                </c:pt>
                <c:pt idx="1423">
                  <c:v>49.99</c:v>
                </c:pt>
                <c:pt idx="1424">
                  <c:v>50.68</c:v>
                </c:pt>
                <c:pt idx="1425">
                  <c:v>50.52</c:v>
                </c:pt>
                <c:pt idx="1426">
                  <c:v>49.8</c:v>
                </c:pt>
                <c:pt idx="1427">
                  <c:v>49.9</c:v>
                </c:pt>
                <c:pt idx="1428">
                  <c:v>47.96</c:v>
                </c:pt>
                <c:pt idx="1429">
                  <c:v>48.02</c:v>
                </c:pt>
                <c:pt idx="1430">
                  <c:v>48.06</c:v>
                </c:pt>
                <c:pt idx="1431">
                  <c:v>48.62</c:v>
                </c:pt>
                <c:pt idx="1432">
                  <c:v>49.35</c:v>
                </c:pt>
                <c:pt idx="1433">
                  <c:v>49.17</c:v>
                </c:pt>
                <c:pt idx="1434">
                  <c:v>49.44</c:v>
                </c:pt>
                <c:pt idx="1435">
                  <c:v>49.45</c:v>
                </c:pt>
                <c:pt idx="1436">
                  <c:v>52.57</c:v>
                </c:pt>
                <c:pt idx="1437">
                  <c:v>53.98</c:v>
                </c:pt>
                <c:pt idx="1438">
                  <c:v>53.58</c:v>
                </c:pt>
                <c:pt idx="1439">
                  <c:v>53.01</c:v>
                </c:pt>
                <c:pt idx="1440">
                  <c:v>53.45</c:v>
                </c:pt>
                <c:pt idx="1441">
                  <c:v>53.85</c:v>
                </c:pt>
                <c:pt idx="1442">
                  <c:v>53.68</c:v>
                </c:pt>
                <c:pt idx="1443">
                  <c:v>52.61</c:v>
                </c:pt>
                <c:pt idx="1444">
                  <c:v>53.13</c:v>
                </c:pt>
                <c:pt idx="1445">
                  <c:v>52.67</c:v>
                </c:pt>
                <c:pt idx="1446">
                  <c:v>52.68</c:v>
                </c:pt>
                <c:pt idx="1447">
                  <c:v>53.22</c:v>
                </c:pt>
                <c:pt idx="1448">
                  <c:v>52.93</c:v>
                </c:pt>
                <c:pt idx="1449">
                  <c:v>52.7</c:v>
                </c:pt>
                <c:pt idx="1450">
                  <c:v>51.6</c:v>
                </c:pt>
                <c:pt idx="1451">
                  <c:v>52.04</c:v>
                </c:pt>
                <c:pt idx="1452">
                  <c:v>52.11</c:v>
                </c:pt>
                <c:pt idx="1453">
                  <c:v>52.78</c:v>
                </c:pt>
                <c:pt idx="1454">
                  <c:v>53.85</c:v>
                </c:pt>
                <c:pt idx="1455">
                  <c:v>52.99</c:v>
                </c:pt>
                <c:pt idx="1456">
                  <c:v>53.18</c:v>
                </c:pt>
                <c:pt idx="1457">
                  <c:v>53.33</c:v>
                </c:pt>
                <c:pt idx="1458">
                  <c:v>53.05</c:v>
                </c:pt>
                <c:pt idx="1459">
                  <c:v>53.35</c:v>
                </c:pt>
                <c:pt idx="1460">
                  <c:v>53.27</c:v>
                </c:pt>
                <c:pt idx="1461">
                  <c:v>53.84</c:v>
                </c:pt>
                <c:pt idx="1462">
                  <c:v>53.06</c:v>
                </c:pt>
                <c:pt idx="1463">
                  <c:v>53.27</c:v>
                </c:pt>
                <c:pt idx="1464">
                  <c:v>53.74</c:v>
                </c:pt>
                <c:pt idx="1465">
                  <c:v>52.81</c:v>
                </c:pt>
                <c:pt idx="1466">
                  <c:v>52.76</c:v>
                </c:pt>
                <c:pt idx="1467">
                  <c:v>53.08</c:v>
                </c:pt>
                <c:pt idx="1468">
                  <c:v>53.44</c:v>
                </c:pt>
                <c:pt idx="1469">
                  <c:v>54.16</c:v>
                </c:pt>
                <c:pt idx="1470">
                  <c:v>54.13</c:v>
                </c:pt>
                <c:pt idx="1471">
                  <c:v>54.44</c:v>
                </c:pt>
                <c:pt idx="1472">
                  <c:v>54.84</c:v>
                </c:pt>
                <c:pt idx="1473">
                  <c:v>52.76</c:v>
                </c:pt>
                <c:pt idx="1474">
                  <c:v>52.18</c:v>
                </c:pt>
                <c:pt idx="1475">
                  <c:v>50.52</c:v>
                </c:pt>
                <c:pt idx="1476">
                  <c:v>49.96</c:v>
                </c:pt>
                <c:pt idx="1477">
                  <c:v>51.08</c:v>
                </c:pt>
                <c:pt idx="1478">
                  <c:v>50.2</c:v>
                </c:pt>
                <c:pt idx="1479">
                  <c:v>50.11</c:v>
                </c:pt>
                <c:pt idx="1480">
                  <c:v>50.16</c:v>
                </c:pt>
                <c:pt idx="1481">
                  <c:v>49.23</c:v>
                </c:pt>
                <c:pt idx="1482">
                  <c:v>48.7</c:v>
                </c:pt>
                <c:pt idx="1483">
                  <c:v>48.51</c:v>
                </c:pt>
                <c:pt idx="1484">
                  <c:v>48.68</c:v>
                </c:pt>
                <c:pt idx="1485">
                  <c:v>48.95</c:v>
                </c:pt>
                <c:pt idx="1486">
                  <c:v>48.49</c:v>
                </c:pt>
                <c:pt idx="1487">
                  <c:v>48.78</c:v>
                </c:pt>
                <c:pt idx="1488">
                  <c:v>49.29</c:v>
                </c:pt>
                <c:pt idx="1489">
                  <c:v>48.53</c:v>
                </c:pt>
                <c:pt idx="1490">
                  <c:v>49.15</c:v>
                </c:pt>
                <c:pt idx="1491">
                  <c:v>48.15</c:v>
                </c:pt>
                <c:pt idx="1492">
                  <c:v>48.48</c:v>
                </c:pt>
                <c:pt idx="1493">
                  <c:v>48.96</c:v>
                </c:pt>
                <c:pt idx="1494">
                  <c:v>48.77</c:v>
                </c:pt>
                <c:pt idx="1495">
                  <c:v>49.01</c:v>
                </c:pt>
                <c:pt idx="1496">
                  <c:v>49.65</c:v>
                </c:pt>
                <c:pt idx="1497">
                  <c:v>49.92</c:v>
                </c:pt>
                <c:pt idx="1498">
                  <c:v>49.7</c:v>
                </c:pt>
                <c:pt idx="1499">
                  <c:v>49.6</c:v>
                </c:pt>
                <c:pt idx="1500">
                  <c:v>50.3</c:v>
                </c:pt>
                <c:pt idx="1501">
                  <c:v>50.69</c:v>
                </c:pt>
                <c:pt idx="1502">
                  <c:v>50.27</c:v>
                </c:pt>
                <c:pt idx="1503">
                  <c:v>50.13</c:v>
                </c:pt>
                <c:pt idx="1504">
                  <c:v>50.77</c:v>
                </c:pt>
                <c:pt idx="1505">
                  <c:v>50.11</c:v>
                </c:pt>
                <c:pt idx="1506">
                  <c:v>50.63</c:v>
                </c:pt>
                <c:pt idx="1507">
                  <c:v>50.54</c:v>
                </c:pt>
                <c:pt idx="1508">
                  <c:v>50.71</c:v>
                </c:pt>
                <c:pt idx="1509">
                  <c:v>50.17</c:v>
                </c:pt>
                <c:pt idx="1510">
                  <c:v>48.99</c:v>
                </c:pt>
                <c:pt idx="1511">
                  <c:v>49.9</c:v>
                </c:pt>
                <c:pt idx="1512">
                  <c:v>50.1</c:v>
                </c:pt>
                <c:pt idx="1513">
                  <c:v>49.98</c:v>
                </c:pt>
                <c:pt idx="1514">
                  <c:v>49.94</c:v>
                </c:pt>
                <c:pt idx="1515">
                  <c:v>50.79</c:v>
                </c:pt>
                <c:pt idx="1516">
                  <c:v>51.64</c:v>
                </c:pt>
                <c:pt idx="1517">
                  <c:v>50.86</c:v>
                </c:pt>
                <c:pt idx="1518">
                  <c:v>51.44</c:v>
                </c:pt>
                <c:pt idx="1519">
                  <c:v>50.88</c:v>
                </c:pt>
                <c:pt idx="1520">
                  <c:v>50.36</c:v>
                </c:pt>
                <c:pt idx="1521">
                  <c:v>51.03</c:v>
                </c:pt>
                <c:pt idx="1522">
                  <c:v>51.22</c:v>
                </c:pt>
                <c:pt idx="1523">
                  <c:v>51.24</c:v>
                </c:pt>
                <c:pt idx="1524">
                  <c:v>50.57</c:v>
                </c:pt>
                <c:pt idx="1525">
                  <c:v>50.81</c:v>
                </c:pt>
                <c:pt idx="1526">
                  <c:v>51</c:v>
                </c:pt>
                <c:pt idx="1527">
                  <c:v>51.39</c:v>
                </c:pt>
                <c:pt idx="1528">
                  <c:v>51.52</c:v>
                </c:pt>
                <c:pt idx="1529">
                  <c:v>52.02</c:v>
                </c:pt>
                <c:pt idx="1530">
                  <c:v>53.04</c:v>
                </c:pt>
                <c:pt idx="1531">
                  <c:v>53.85</c:v>
                </c:pt>
                <c:pt idx="1532">
                  <c:v>53.15</c:v>
                </c:pt>
                <c:pt idx="1533">
                  <c:v>52.71</c:v>
                </c:pt>
                <c:pt idx="1534">
                  <c:v>52.51</c:v>
                </c:pt>
                <c:pt idx="1535">
                  <c:v>52.81</c:v>
                </c:pt>
                <c:pt idx="1536">
                  <c:v>53.19</c:v>
                </c:pt>
                <c:pt idx="1537">
                  <c:v>53.28</c:v>
                </c:pt>
                <c:pt idx="1538">
                  <c:v>53.12</c:v>
                </c:pt>
                <c:pt idx="1539">
                  <c:v>53.18</c:v>
                </c:pt>
                <c:pt idx="1540">
                  <c:v>53.35</c:v>
                </c:pt>
                <c:pt idx="1541">
                  <c:v>53.09</c:v>
                </c:pt>
                <c:pt idx="1542">
                  <c:v>53.08</c:v>
                </c:pt>
                <c:pt idx="1543">
                  <c:v>53.33</c:v>
                </c:pt>
                <c:pt idx="1544">
                  <c:v>53.68</c:v>
                </c:pt>
                <c:pt idx="1545">
                  <c:v>54</c:v>
                </c:pt>
                <c:pt idx="1546">
                  <c:v>54.17</c:v>
                </c:pt>
                <c:pt idx="1547">
                  <c:v>54.61</c:v>
                </c:pt>
                <c:pt idx="1548">
                  <c:v>54.44</c:v>
                </c:pt>
                <c:pt idx="1549">
                  <c:v>54.47</c:v>
                </c:pt>
                <c:pt idx="1550">
                  <c:v>53.66</c:v>
                </c:pt>
                <c:pt idx="1551">
                  <c:v>53.58</c:v>
                </c:pt>
                <c:pt idx="1552">
                  <c:v>53.59</c:v>
                </c:pt>
                <c:pt idx="1553">
                  <c:v>54.26</c:v>
                </c:pt>
                <c:pt idx="1554">
                  <c:v>53.98</c:v>
                </c:pt>
                <c:pt idx="1555">
                  <c:v>54.48</c:v>
                </c:pt>
                <c:pt idx="1556">
                  <c:v>54.14</c:v>
                </c:pt>
                <c:pt idx="1557">
                  <c:v>54</c:v>
                </c:pt>
                <c:pt idx="1558">
                  <c:v>54.54</c:v>
                </c:pt>
                <c:pt idx="1559">
                  <c:v>54.51</c:v>
                </c:pt>
                <c:pt idx="1560">
                  <c:v>54.91</c:v>
                </c:pt>
                <c:pt idx="1561">
                  <c:v>54.32</c:v>
                </c:pt>
                <c:pt idx="1562">
                  <c:v>54.04</c:v>
                </c:pt>
                <c:pt idx="1563">
                  <c:v>54.51</c:v>
                </c:pt>
                <c:pt idx="1564">
                  <c:v>54.73</c:v>
                </c:pt>
                <c:pt idx="1565">
                  <c:v>54.64</c:v>
                </c:pt>
                <c:pt idx="1566">
                  <c:v>54.34</c:v>
                </c:pt>
                <c:pt idx="1567">
                  <c:v>54.17</c:v>
                </c:pt>
                <c:pt idx="1568">
                  <c:v>54.65</c:v>
                </c:pt>
                <c:pt idx="1569">
                  <c:v>54.62</c:v>
                </c:pt>
                <c:pt idx="1570">
                  <c:v>54.8</c:v>
                </c:pt>
                <c:pt idx="1571">
                  <c:v>54.79</c:v>
                </c:pt>
                <c:pt idx="1572">
                  <c:v>55.03</c:v>
                </c:pt>
                <c:pt idx="1573">
                  <c:v>55.49</c:v>
                </c:pt>
                <c:pt idx="1574">
                  <c:v>55.29</c:v>
                </c:pt>
                <c:pt idx="1575">
                  <c:v>55.28</c:v>
                </c:pt>
                <c:pt idx="1576">
                  <c:v>55.5</c:v>
                </c:pt>
                <c:pt idx="1577">
                  <c:v>55.64</c:v>
                </c:pt>
                <c:pt idx="1578">
                  <c:v>56.24</c:v>
                </c:pt>
                <c:pt idx="1579">
                  <c:v>56.04</c:v>
                </c:pt>
                <c:pt idx="1580">
                  <c:v>55.65</c:v>
                </c:pt>
                <c:pt idx="1581">
                  <c:v>55.48</c:v>
                </c:pt>
                <c:pt idx="1582">
                  <c:v>55.91</c:v>
                </c:pt>
                <c:pt idx="1583">
                  <c:v>56.16</c:v>
                </c:pt>
                <c:pt idx="1584">
                  <c:v>55.55</c:v>
                </c:pt>
                <c:pt idx="1585">
                  <c:v>55.41</c:v>
                </c:pt>
                <c:pt idx="1586">
                  <c:v>54.67</c:v>
                </c:pt>
                <c:pt idx="1587">
                  <c:v>54.95</c:v>
                </c:pt>
                <c:pt idx="1588">
                  <c:v>53.77</c:v>
                </c:pt>
                <c:pt idx="1589">
                  <c:v>54.36</c:v>
                </c:pt>
                <c:pt idx="1590">
                  <c:v>54.56</c:v>
                </c:pt>
                <c:pt idx="1591">
                  <c:v>54.12</c:v>
                </c:pt>
                <c:pt idx="1592">
                  <c:v>54.39</c:v>
                </c:pt>
                <c:pt idx="1593">
                  <c:v>54.32</c:v>
                </c:pt>
                <c:pt idx="1594">
                  <c:v>54.26</c:v>
                </c:pt>
                <c:pt idx="1595">
                  <c:v>53.86</c:v>
                </c:pt>
                <c:pt idx="1596">
                  <c:v>54.11</c:v>
                </c:pt>
                <c:pt idx="1597">
                  <c:v>53.96</c:v>
                </c:pt>
                <c:pt idx="1598">
                  <c:v>54.18</c:v>
                </c:pt>
                <c:pt idx="1599">
                  <c:v>53.88</c:v>
                </c:pt>
                <c:pt idx="1600">
                  <c:v>54.32</c:v>
                </c:pt>
                <c:pt idx="1601">
                  <c:v>54.13</c:v>
                </c:pt>
                <c:pt idx="1602">
                  <c:v>54.46</c:v>
                </c:pt>
                <c:pt idx="1603">
                  <c:v>54.48</c:v>
                </c:pt>
                <c:pt idx="1604">
                  <c:v>55.02</c:v>
                </c:pt>
                <c:pt idx="1605">
                  <c:v>56.26</c:v>
                </c:pt>
                <c:pt idx="1606">
                  <c:v>56.44</c:v>
                </c:pt>
                <c:pt idx="1607">
                  <c:v>56.4</c:v>
                </c:pt>
                <c:pt idx="1608">
                  <c:v>55.73</c:v>
                </c:pt>
                <c:pt idx="1609">
                  <c:v>55.83</c:v>
                </c:pt>
                <c:pt idx="1610">
                  <c:v>56.55</c:v>
                </c:pt>
                <c:pt idx="1611">
                  <c:v>56.47</c:v>
                </c:pt>
                <c:pt idx="1612">
                  <c:v>57.01</c:v>
                </c:pt>
                <c:pt idx="1613">
                  <c:v>57.06</c:v>
                </c:pt>
                <c:pt idx="1614">
                  <c:v>57.26</c:v>
                </c:pt>
                <c:pt idx="1615">
                  <c:v>56.74</c:v>
                </c:pt>
                <c:pt idx="1616">
                  <c:v>57.05</c:v>
                </c:pt>
                <c:pt idx="1617">
                  <c:v>57.03</c:v>
                </c:pt>
                <c:pt idx="1618">
                  <c:v>56.88</c:v>
                </c:pt>
                <c:pt idx="1619">
                  <c:v>56.92</c:v>
                </c:pt>
                <c:pt idx="1620">
                  <c:v>56.1</c:v>
                </c:pt>
                <c:pt idx="1621">
                  <c:v>56.5</c:v>
                </c:pt>
                <c:pt idx="1622">
                  <c:v>56.64</c:v>
                </c:pt>
                <c:pt idx="1623">
                  <c:v>56.65</c:v>
                </c:pt>
                <c:pt idx="1624">
                  <c:v>56.8</c:v>
                </c:pt>
                <c:pt idx="1625">
                  <c:v>56.73</c:v>
                </c:pt>
                <c:pt idx="1626">
                  <c:v>56.84</c:v>
                </c:pt>
                <c:pt idx="1627">
                  <c:v>57.23</c:v>
                </c:pt>
                <c:pt idx="1628">
                  <c:v>57.48</c:v>
                </c:pt>
                <c:pt idx="1629">
                  <c:v>57.28</c:v>
                </c:pt>
                <c:pt idx="1630">
                  <c:v>56.5</c:v>
                </c:pt>
                <c:pt idx="1631">
                  <c:v>56.86</c:v>
                </c:pt>
                <c:pt idx="1632">
                  <c:v>56.64</c:v>
                </c:pt>
                <c:pt idx="1633">
                  <c:v>56.44</c:v>
                </c:pt>
                <c:pt idx="1634">
                  <c:v>56.01</c:v>
                </c:pt>
                <c:pt idx="1635">
                  <c:v>56.07</c:v>
                </c:pt>
                <c:pt idx="1636">
                  <c:v>55.54</c:v>
                </c:pt>
                <c:pt idx="1637">
                  <c:v>55.65</c:v>
                </c:pt>
                <c:pt idx="1638">
                  <c:v>56.18</c:v>
                </c:pt>
                <c:pt idx="1639">
                  <c:v>56.31</c:v>
                </c:pt>
                <c:pt idx="1640">
                  <c:v>56.69</c:v>
                </c:pt>
                <c:pt idx="1641">
                  <c:v>56.77</c:v>
                </c:pt>
                <c:pt idx="1642">
                  <c:v>56.73</c:v>
                </c:pt>
                <c:pt idx="1643">
                  <c:v>55.67</c:v>
                </c:pt>
                <c:pt idx="1644">
                  <c:v>56.42</c:v>
                </c:pt>
                <c:pt idx="1645">
                  <c:v>55.86</c:v>
                </c:pt>
                <c:pt idx="1646">
                  <c:v>55.61</c:v>
                </c:pt>
                <c:pt idx="1647">
                  <c:v>56.07</c:v>
                </c:pt>
                <c:pt idx="1648">
                  <c:v>55.69</c:v>
                </c:pt>
                <c:pt idx="1649">
                  <c:v>55.88</c:v>
                </c:pt>
                <c:pt idx="1650">
                  <c:v>55.35</c:v>
                </c:pt>
                <c:pt idx="1651">
                  <c:v>54.44</c:v>
                </c:pt>
                <c:pt idx="1652">
                  <c:v>54.06</c:v>
                </c:pt>
                <c:pt idx="1653">
                  <c:v>54.05</c:v>
                </c:pt>
                <c:pt idx="1654">
                  <c:v>54.13</c:v>
                </c:pt>
                <c:pt idx="1655">
                  <c:v>54.04</c:v>
                </c:pt>
                <c:pt idx="1656">
                  <c:v>53.89</c:v>
                </c:pt>
                <c:pt idx="1657">
                  <c:v>53.61</c:v>
                </c:pt>
                <c:pt idx="1658">
                  <c:v>52.64</c:v>
                </c:pt>
                <c:pt idx="1659">
                  <c:v>52.96</c:v>
                </c:pt>
                <c:pt idx="1660">
                  <c:v>52.47</c:v>
                </c:pt>
                <c:pt idx="1661">
                  <c:v>53.02</c:v>
                </c:pt>
                <c:pt idx="1662">
                  <c:v>52.99</c:v>
                </c:pt>
                <c:pt idx="1663">
                  <c:v>53.08</c:v>
                </c:pt>
                <c:pt idx="1664">
                  <c:v>53.71</c:v>
                </c:pt>
                <c:pt idx="1665">
                  <c:v>53.88</c:v>
                </c:pt>
                <c:pt idx="1666">
                  <c:v>54.12</c:v>
                </c:pt>
                <c:pt idx="1667">
                  <c:v>54.23</c:v>
                </c:pt>
                <c:pt idx="1668">
                  <c:v>54.23</c:v>
                </c:pt>
                <c:pt idx="1669">
                  <c:v>54.24</c:v>
                </c:pt>
                <c:pt idx="1670">
                  <c:v>54.61</c:v>
                </c:pt>
                <c:pt idx="1671">
                  <c:v>54.48</c:v>
                </c:pt>
                <c:pt idx="1672">
                  <c:v>53.94</c:v>
                </c:pt>
                <c:pt idx="1673">
                  <c:v>54.15</c:v>
                </c:pt>
                <c:pt idx="1674">
                  <c:v>54.63</c:v>
                </c:pt>
                <c:pt idx="1675">
                  <c:v>54.35</c:v>
                </c:pt>
                <c:pt idx="1676">
                  <c:v>54.45</c:v>
                </c:pt>
                <c:pt idx="1677">
                  <c:v>54.23</c:v>
                </c:pt>
                <c:pt idx="1678">
                  <c:v>54.47</c:v>
                </c:pt>
                <c:pt idx="1679">
                  <c:v>55.52</c:v>
                </c:pt>
                <c:pt idx="1680">
                  <c:v>56.04</c:v>
                </c:pt>
                <c:pt idx="1681">
                  <c:v>56.37</c:v>
                </c:pt>
                <c:pt idx="1682">
                  <c:v>56.17</c:v>
                </c:pt>
                <c:pt idx="1683">
                  <c:v>56.1</c:v>
                </c:pt>
                <c:pt idx="1684">
                  <c:v>56.29</c:v>
                </c:pt>
                <c:pt idx="1685">
                  <c:v>56.6</c:v>
                </c:pt>
                <c:pt idx="1686">
                  <c:v>56.84</c:v>
                </c:pt>
                <c:pt idx="1687">
                  <c:v>56.33</c:v>
                </c:pt>
                <c:pt idx="1688">
                  <c:v>56.49</c:v>
                </c:pt>
                <c:pt idx="1689">
                  <c:v>56.72</c:v>
                </c:pt>
                <c:pt idx="1690">
                  <c:v>56.74</c:v>
                </c:pt>
                <c:pt idx="1691">
                  <c:v>56.61</c:v>
                </c:pt>
                <c:pt idx="1692">
                  <c:v>56.62</c:v>
                </c:pt>
                <c:pt idx="1693">
                  <c:v>56.22</c:v>
                </c:pt>
                <c:pt idx="1694">
                  <c:v>55.91</c:v>
                </c:pt>
                <c:pt idx="1695">
                  <c:v>55.41</c:v>
                </c:pt>
                <c:pt idx="1696">
                  <c:v>55.13</c:v>
                </c:pt>
                <c:pt idx="1697">
                  <c:v>55.47</c:v>
                </c:pt>
                <c:pt idx="1698">
                  <c:v>55.88</c:v>
                </c:pt>
                <c:pt idx="1699">
                  <c:v>55.43</c:v>
                </c:pt>
                <c:pt idx="1700">
                  <c:v>53.73</c:v>
                </c:pt>
                <c:pt idx="1701">
                  <c:v>54.58</c:v>
                </c:pt>
                <c:pt idx="1702">
                  <c:v>52.45</c:v>
                </c:pt>
                <c:pt idx="1703">
                  <c:v>52.3</c:v>
                </c:pt>
                <c:pt idx="1704">
                  <c:v>53.07</c:v>
                </c:pt>
                <c:pt idx="1705">
                  <c:v>53.54</c:v>
                </c:pt>
                <c:pt idx="1706">
                  <c:v>54.91</c:v>
                </c:pt>
                <c:pt idx="1707">
                  <c:v>55.21</c:v>
                </c:pt>
                <c:pt idx="1708">
                  <c:v>55</c:v>
                </c:pt>
                <c:pt idx="1709">
                  <c:v>54.86</c:v>
                </c:pt>
                <c:pt idx="1710">
                  <c:v>56.28</c:v>
                </c:pt>
                <c:pt idx="1711">
                  <c:v>57.76</c:v>
                </c:pt>
                <c:pt idx="1712">
                  <c:v>57.8</c:v>
                </c:pt>
                <c:pt idx="1713">
                  <c:v>58.06</c:v>
                </c:pt>
                <c:pt idx="1714">
                  <c:v>58.65</c:v>
                </c:pt>
                <c:pt idx="1715">
                  <c:v>57.73</c:v>
                </c:pt>
                <c:pt idx="1716">
                  <c:v>57.54</c:v>
                </c:pt>
                <c:pt idx="1717">
                  <c:v>57.77</c:v>
                </c:pt>
                <c:pt idx="1718">
                  <c:v>58.18</c:v>
                </c:pt>
                <c:pt idx="1719">
                  <c:v>58.22</c:v>
                </c:pt>
                <c:pt idx="1720">
                  <c:v>58.65</c:v>
                </c:pt>
                <c:pt idx="1721">
                  <c:v>58.88</c:v>
                </c:pt>
                <c:pt idx="1722">
                  <c:v>58.95</c:v>
                </c:pt>
                <c:pt idx="1723">
                  <c:v>58.78</c:v>
                </c:pt>
                <c:pt idx="1724">
                  <c:v>59.21</c:v>
                </c:pt>
                <c:pt idx="1725">
                  <c:v>59.3</c:v>
                </c:pt>
                <c:pt idx="1726">
                  <c:v>60.29</c:v>
                </c:pt>
                <c:pt idx="1727">
                  <c:v>60.79</c:v>
                </c:pt>
                <c:pt idx="1728">
                  <c:v>60.47</c:v>
                </c:pt>
                <c:pt idx="1729">
                  <c:v>60.33</c:v>
                </c:pt>
                <c:pt idx="1730">
                  <c:v>60.43</c:v>
                </c:pt>
                <c:pt idx="1731">
                  <c:v>60.45</c:v>
                </c:pt>
                <c:pt idx="1732">
                  <c:v>60.54</c:v>
                </c:pt>
                <c:pt idx="1733">
                  <c:v>60.9</c:v>
                </c:pt>
                <c:pt idx="1734">
                  <c:v>61.39</c:v>
                </c:pt>
                <c:pt idx="1735">
                  <c:v>60.9</c:v>
                </c:pt>
                <c:pt idx="1736">
                  <c:v>61</c:v>
                </c:pt>
                <c:pt idx="1737">
                  <c:v>60.75</c:v>
                </c:pt>
                <c:pt idx="1738">
                  <c:v>60.45</c:v>
                </c:pt>
                <c:pt idx="1739">
                  <c:v>59.96</c:v>
                </c:pt>
                <c:pt idx="1740">
                  <c:v>59.82</c:v>
                </c:pt>
                <c:pt idx="1741">
                  <c:v>59.6</c:v>
                </c:pt>
                <c:pt idx="1742">
                  <c:v>59.65</c:v>
                </c:pt>
                <c:pt idx="1743">
                  <c:v>60.84</c:v>
                </c:pt>
                <c:pt idx="1744">
                  <c:v>61.01</c:v>
                </c:pt>
                <c:pt idx="1745">
                  <c:v>60.56</c:v>
                </c:pt>
                <c:pt idx="1746">
                  <c:v>61.18</c:v>
                </c:pt>
                <c:pt idx="1747">
                  <c:v>61.61</c:v>
                </c:pt>
                <c:pt idx="1748">
                  <c:v>60.96</c:v>
                </c:pt>
                <c:pt idx="1749">
                  <c:v>61.6</c:v>
                </c:pt>
                <c:pt idx="1750">
                  <c:v>62</c:v>
                </c:pt>
                <c:pt idx="1751">
                  <c:v>61.04</c:v>
                </c:pt>
                <c:pt idx="1752">
                  <c:v>61.38</c:v>
                </c:pt>
                <c:pt idx="1753">
                  <c:v>60.29</c:v>
                </c:pt>
                <c:pt idx="1754">
                  <c:v>60.68</c:v>
                </c:pt>
                <c:pt idx="1755">
                  <c:v>60.91</c:v>
                </c:pt>
                <c:pt idx="1756">
                  <c:v>60.9</c:v>
                </c:pt>
                <c:pt idx="1757">
                  <c:v>62.12</c:v>
                </c:pt>
                <c:pt idx="1758">
                  <c:v>62.54</c:v>
                </c:pt>
                <c:pt idx="1759">
                  <c:v>62.28</c:v>
                </c:pt>
                <c:pt idx="1760">
                  <c:v>61.59</c:v>
                </c:pt>
                <c:pt idx="1761">
                  <c:v>60.51</c:v>
                </c:pt>
                <c:pt idx="1762">
                  <c:v>62.85</c:v>
                </c:pt>
                <c:pt idx="1763">
                  <c:v>62.24</c:v>
                </c:pt>
                <c:pt idx="1764">
                  <c:v>61.97</c:v>
                </c:pt>
                <c:pt idx="1765">
                  <c:v>62.43</c:v>
                </c:pt>
                <c:pt idx="1766">
                  <c:v>62.47</c:v>
                </c:pt>
                <c:pt idx="1767">
                  <c:v>62.57</c:v>
                </c:pt>
                <c:pt idx="1768">
                  <c:v>61.08</c:v>
                </c:pt>
                <c:pt idx="1769">
                  <c:v>58.66</c:v>
                </c:pt>
                <c:pt idx="1770">
                  <c:v>58.96</c:v>
                </c:pt>
                <c:pt idx="1771">
                  <c:v>57.88</c:v>
                </c:pt>
                <c:pt idx="1772">
                  <c:v>57.92</c:v>
                </c:pt>
                <c:pt idx="1773">
                  <c:v>58.54</c:v>
                </c:pt>
                <c:pt idx="1774">
                  <c:v>59.62</c:v>
                </c:pt>
                <c:pt idx="1775">
                  <c:v>59.46</c:v>
                </c:pt>
                <c:pt idx="1776">
                  <c:v>60.09</c:v>
                </c:pt>
                <c:pt idx="1777">
                  <c:v>60.1</c:v>
                </c:pt>
                <c:pt idx="1778">
                  <c:v>60.58</c:v>
                </c:pt>
                <c:pt idx="1779">
                  <c:v>60.8</c:v>
                </c:pt>
                <c:pt idx="1780">
                  <c:v>60.4</c:v>
                </c:pt>
                <c:pt idx="1781">
                  <c:v>60.98</c:v>
                </c:pt>
                <c:pt idx="1782">
                  <c:v>61.53</c:v>
                </c:pt>
                <c:pt idx="1783">
                  <c:v>61.92</c:v>
                </c:pt>
                <c:pt idx="1784">
                  <c:v>62.16</c:v>
                </c:pt>
                <c:pt idx="1785">
                  <c:v>62.21</c:v>
                </c:pt>
                <c:pt idx="1786">
                  <c:v>62</c:v>
                </c:pt>
                <c:pt idx="1787">
                  <c:v>62.87</c:v>
                </c:pt>
                <c:pt idx="1788">
                  <c:v>62.54</c:v>
                </c:pt>
                <c:pt idx="1789">
                  <c:v>62.47</c:v>
                </c:pt>
                <c:pt idx="1790">
                  <c:v>63.1</c:v>
                </c:pt>
                <c:pt idx="1791">
                  <c:v>63.44</c:v>
                </c:pt>
                <c:pt idx="1792">
                  <c:v>63.83</c:v>
                </c:pt>
                <c:pt idx="1793">
                  <c:v>63.81</c:v>
                </c:pt>
                <c:pt idx="1794">
                  <c:v>64.56</c:v>
                </c:pt>
                <c:pt idx="1795">
                  <c:v>64.73</c:v>
                </c:pt>
                <c:pt idx="1796">
                  <c:v>65.02</c:v>
                </c:pt>
                <c:pt idx="1797">
                  <c:v>64.44</c:v>
                </c:pt>
                <c:pt idx="1798">
                  <c:v>65.069999999999993</c:v>
                </c:pt>
                <c:pt idx="1799">
                  <c:v>65.959999999999994</c:v>
                </c:pt>
                <c:pt idx="1800">
                  <c:v>66.209999999999994</c:v>
                </c:pt>
                <c:pt idx="1801">
                  <c:v>65.25</c:v>
                </c:pt>
                <c:pt idx="1802">
                  <c:v>65.94</c:v>
                </c:pt>
                <c:pt idx="1803">
                  <c:v>65.05</c:v>
                </c:pt>
                <c:pt idx="1804">
                  <c:v>65.56</c:v>
                </c:pt>
                <c:pt idx="1805">
                  <c:v>66.19</c:v>
                </c:pt>
                <c:pt idx="1806">
                  <c:v>64.61</c:v>
                </c:pt>
                <c:pt idx="1807">
                  <c:v>63.44</c:v>
                </c:pt>
                <c:pt idx="1808">
                  <c:v>63.08</c:v>
                </c:pt>
                <c:pt idx="1809">
                  <c:v>65.03</c:v>
                </c:pt>
                <c:pt idx="1810">
                  <c:v>64.510000000000005</c:v>
                </c:pt>
                <c:pt idx="1811">
                  <c:v>64.739999999999995</c:v>
                </c:pt>
                <c:pt idx="1812">
                  <c:v>64.61</c:v>
                </c:pt>
                <c:pt idx="1813">
                  <c:v>64.010000000000005</c:v>
                </c:pt>
                <c:pt idx="1814">
                  <c:v>64.31</c:v>
                </c:pt>
                <c:pt idx="1815">
                  <c:v>64.510000000000005</c:v>
                </c:pt>
                <c:pt idx="1816">
                  <c:v>65.72</c:v>
                </c:pt>
                <c:pt idx="1817">
                  <c:v>65.959999999999994</c:v>
                </c:pt>
                <c:pt idx="1818">
                  <c:v>65.78</c:v>
                </c:pt>
                <c:pt idx="1819">
                  <c:v>61.2</c:v>
                </c:pt>
                <c:pt idx="1820">
                  <c:v>60</c:v>
                </c:pt>
                <c:pt idx="1821">
                  <c:v>60.98</c:v>
                </c:pt>
                <c:pt idx="1822">
                  <c:v>62.86</c:v>
                </c:pt>
                <c:pt idx="1823">
                  <c:v>64.02</c:v>
                </c:pt>
                <c:pt idx="1824">
                  <c:v>64.069999999999993</c:v>
                </c:pt>
                <c:pt idx="1825">
                  <c:v>64.3</c:v>
                </c:pt>
                <c:pt idx="1826">
                  <c:v>64.680000000000007</c:v>
                </c:pt>
                <c:pt idx="1827">
                  <c:v>63.38</c:v>
                </c:pt>
                <c:pt idx="1828">
                  <c:v>63.07</c:v>
                </c:pt>
                <c:pt idx="1829">
                  <c:v>63.73</c:v>
                </c:pt>
                <c:pt idx="1830">
                  <c:v>62.97</c:v>
                </c:pt>
                <c:pt idx="1831">
                  <c:v>62.87</c:v>
                </c:pt>
                <c:pt idx="1832">
                  <c:v>63.25</c:v>
                </c:pt>
                <c:pt idx="1833">
                  <c:v>62.89</c:v>
                </c:pt>
                <c:pt idx="1834">
                  <c:v>61.8</c:v>
                </c:pt>
                <c:pt idx="1835">
                  <c:v>61.41</c:v>
                </c:pt>
                <c:pt idx="1836">
                  <c:v>61.34</c:v>
                </c:pt>
                <c:pt idx="1837">
                  <c:v>59.23</c:v>
                </c:pt>
                <c:pt idx="1838">
                  <c:v>59.67</c:v>
                </c:pt>
                <c:pt idx="1839">
                  <c:v>59.07</c:v>
                </c:pt>
                <c:pt idx="1840">
                  <c:v>59.43</c:v>
                </c:pt>
                <c:pt idx="1841">
                  <c:v>60.7</c:v>
                </c:pt>
                <c:pt idx="1842">
                  <c:v>61.15</c:v>
                </c:pt>
                <c:pt idx="1843">
                  <c:v>61.88</c:v>
                </c:pt>
                <c:pt idx="1844">
                  <c:v>63.04</c:v>
                </c:pt>
                <c:pt idx="1845">
                  <c:v>62.91</c:v>
                </c:pt>
                <c:pt idx="1846">
                  <c:v>62.28</c:v>
                </c:pt>
                <c:pt idx="1847">
                  <c:v>62.73</c:v>
                </c:pt>
                <c:pt idx="1848">
                  <c:v>62.91</c:v>
                </c:pt>
                <c:pt idx="1849">
                  <c:v>64.38</c:v>
                </c:pt>
                <c:pt idx="1850">
                  <c:v>63.28</c:v>
                </c:pt>
                <c:pt idx="1851">
                  <c:v>63.41</c:v>
                </c:pt>
                <c:pt idx="1852">
                  <c:v>62.91</c:v>
                </c:pt>
                <c:pt idx="1853">
                  <c:v>63.14</c:v>
                </c:pt>
                <c:pt idx="1854">
                  <c:v>62.94</c:v>
                </c:pt>
                <c:pt idx="1855">
                  <c:v>62.67</c:v>
                </c:pt>
                <c:pt idx="1856">
                  <c:v>62.38</c:v>
                </c:pt>
                <c:pt idx="1857">
                  <c:v>62.18</c:v>
                </c:pt>
                <c:pt idx="1858">
                  <c:v>62.5</c:v>
                </c:pt>
                <c:pt idx="1859">
                  <c:v>61.65</c:v>
                </c:pt>
                <c:pt idx="1860">
                  <c:v>62.53</c:v>
                </c:pt>
                <c:pt idx="1861">
                  <c:v>61.5</c:v>
                </c:pt>
                <c:pt idx="1862">
                  <c:v>61.36</c:v>
                </c:pt>
                <c:pt idx="1863">
                  <c:v>61.59</c:v>
                </c:pt>
                <c:pt idx="1864">
                  <c:v>62.19</c:v>
                </c:pt>
                <c:pt idx="1865">
                  <c:v>63.21</c:v>
                </c:pt>
                <c:pt idx="1866">
                  <c:v>63.01</c:v>
                </c:pt>
                <c:pt idx="1867">
                  <c:v>64.06</c:v>
                </c:pt>
                <c:pt idx="1868">
                  <c:v>64.17</c:v>
                </c:pt>
                <c:pt idx="1869">
                  <c:v>64.52</c:v>
                </c:pt>
                <c:pt idx="1870">
                  <c:v>63.64</c:v>
                </c:pt>
                <c:pt idx="1871">
                  <c:v>63.92</c:v>
                </c:pt>
                <c:pt idx="1872">
                  <c:v>63.67</c:v>
                </c:pt>
                <c:pt idx="1873">
                  <c:v>63.38</c:v>
                </c:pt>
                <c:pt idx="1874">
                  <c:v>62.97</c:v>
                </c:pt>
                <c:pt idx="1875">
                  <c:v>63.05</c:v>
                </c:pt>
                <c:pt idx="1876">
                  <c:v>63.65</c:v>
                </c:pt>
                <c:pt idx="1877">
                  <c:v>63.22</c:v>
                </c:pt>
                <c:pt idx="1878">
                  <c:v>63.7</c:v>
                </c:pt>
                <c:pt idx="1879">
                  <c:v>64.5</c:v>
                </c:pt>
                <c:pt idx="1880">
                  <c:v>65.03</c:v>
                </c:pt>
                <c:pt idx="1881">
                  <c:v>64.88</c:v>
                </c:pt>
                <c:pt idx="1882">
                  <c:v>65.22</c:v>
                </c:pt>
                <c:pt idx="1883">
                  <c:v>65.17</c:v>
                </c:pt>
                <c:pt idx="1884">
                  <c:v>64.2</c:v>
                </c:pt>
                <c:pt idx="1885">
                  <c:v>64.27</c:v>
                </c:pt>
                <c:pt idx="1886">
                  <c:v>64.36</c:v>
                </c:pt>
                <c:pt idx="1887">
                  <c:v>64.67</c:v>
                </c:pt>
                <c:pt idx="1888">
                  <c:v>63.11</c:v>
                </c:pt>
                <c:pt idx="1889">
                  <c:v>62.73</c:v>
                </c:pt>
                <c:pt idx="1890">
                  <c:v>62.15</c:v>
                </c:pt>
                <c:pt idx="1891">
                  <c:v>61.71</c:v>
                </c:pt>
                <c:pt idx="1892">
                  <c:v>62</c:v>
                </c:pt>
                <c:pt idx="1893">
                  <c:v>61.15</c:v>
                </c:pt>
                <c:pt idx="1894">
                  <c:v>61.18</c:v>
                </c:pt>
                <c:pt idx="1895">
                  <c:v>62.31</c:v>
                </c:pt>
                <c:pt idx="1896">
                  <c:v>62.12</c:v>
                </c:pt>
                <c:pt idx="1897">
                  <c:v>62.32</c:v>
                </c:pt>
                <c:pt idx="1898">
                  <c:v>62.5</c:v>
                </c:pt>
                <c:pt idx="1899">
                  <c:v>60.47</c:v>
                </c:pt>
                <c:pt idx="1900">
                  <c:v>60.79</c:v>
                </c:pt>
                <c:pt idx="1901">
                  <c:v>59.53</c:v>
                </c:pt>
                <c:pt idx="1902">
                  <c:v>59.54</c:v>
                </c:pt>
                <c:pt idx="1903">
                  <c:v>59.99</c:v>
                </c:pt>
                <c:pt idx="1904">
                  <c:v>59.9</c:v>
                </c:pt>
                <c:pt idx="1905">
                  <c:v>59.4</c:v>
                </c:pt>
                <c:pt idx="1906">
                  <c:v>59.26</c:v>
                </c:pt>
                <c:pt idx="1907">
                  <c:v>58.6</c:v>
                </c:pt>
                <c:pt idx="1908">
                  <c:v>57.87</c:v>
                </c:pt>
                <c:pt idx="1909">
                  <c:v>56.38</c:v>
                </c:pt>
                <c:pt idx="1910">
                  <c:v>56.98</c:v>
                </c:pt>
                <c:pt idx="1911">
                  <c:v>56.57</c:v>
                </c:pt>
                <c:pt idx="1912">
                  <c:v>56.02</c:v>
                </c:pt>
                <c:pt idx="1913">
                  <c:v>56.65</c:v>
                </c:pt>
                <c:pt idx="1914">
                  <c:v>56.78</c:v>
                </c:pt>
                <c:pt idx="1915">
                  <c:v>56.24</c:v>
                </c:pt>
                <c:pt idx="1916">
                  <c:v>55.03</c:v>
                </c:pt>
                <c:pt idx="1917">
                  <c:v>54.51</c:v>
                </c:pt>
                <c:pt idx="1918">
                  <c:v>54.39</c:v>
                </c:pt>
                <c:pt idx="1919">
                  <c:v>54.48</c:v>
                </c:pt>
                <c:pt idx="1920">
                  <c:v>55.14</c:v>
                </c:pt>
                <c:pt idx="1921">
                  <c:v>55.87</c:v>
                </c:pt>
                <c:pt idx="1922">
                  <c:v>54.98</c:v>
                </c:pt>
                <c:pt idx="1923">
                  <c:v>55.69</c:v>
                </c:pt>
                <c:pt idx="1924">
                  <c:v>56.44</c:v>
                </c:pt>
                <c:pt idx="1925">
                  <c:v>55.96</c:v>
                </c:pt>
                <c:pt idx="1926">
                  <c:v>55.08</c:v>
                </c:pt>
                <c:pt idx="1927">
                  <c:v>55.96</c:v>
                </c:pt>
                <c:pt idx="1928">
                  <c:v>57.57</c:v>
                </c:pt>
                <c:pt idx="1929">
                  <c:v>58.95</c:v>
                </c:pt>
                <c:pt idx="1930">
                  <c:v>59.39</c:v>
                </c:pt>
                <c:pt idx="1931">
                  <c:v>59.53</c:v>
                </c:pt>
                <c:pt idx="1932">
                  <c:v>60.76</c:v>
                </c:pt>
                <c:pt idx="1933">
                  <c:v>59.85</c:v>
                </c:pt>
                <c:pt idx="1934">
                  <c:v>59.64</c:v>
                </c:pt>
                <c:pt idx="1935">
                  <c:v>58.81</c:v>
                </c:pt>
                <c:pt idx="1936">
                  <c:v>58.78</c:v>
                </c:pt>
                <c:pt idx="1937">
                  <c:v>59.26</c:v>
                </c:pt>
                <c:pt idx="1938">
                  <c:v>59.49</c:v>
                </c:pt>
                <c:pt idx="1939">
                  <c:v>59.6</c:v>
                </c:pt>
                <c:pt idx="1940">
                  <c:v>58.77</c:v>
                </c:pt>
                <c:pt idx="1941">
                  <c:v>60.88</c:v>
                </c:pt>
                <c:pt idx="1942">
                  <c:v>61.32</c:v>
                </c:pt>
                <c:pt idx="1943">
                  <c:v>60.73</c:v>
                </c:pt>
                <c:pt idx="1944">
                  <c:v>60.63</c:v>
                </c:pt>
                <c:pt idx="1945">
                  <c:v>60.52</c:v>
                </c:pt>
                <c:pt idx="1946">
                  <c:v>60.71</c:v>
                </c:pt>
                <c:pt idx="1947">
                  <c:v>61.14</c:v>
                </c:pt>
                <c:pt idx="1948">
                  <c:v>62.08</c:v>
                </c:pt>
                <c:pt idx="1949">
                  <c:v>62.35</c:v>
                </c:pt>
                <c:pt idx="1950">
                  <c:v>62.63</c:v>
                </c:pt>
                <c:pt idx="1951">
                  <c:v>62.69</c:v>
                </c:pt>
                <c:pt idx="1952">
                  <c:v>62.7</c:v>
                </c:pt>
                <c:pt idx="1953">
                  <c:v>62.48</c:v>
                </c:pt>
                <c:pt idx="1954">
                  <c:v>63.61</c:v>
                </c:pt>
                <c:pt idx="1955">
                  <c:v>63.79</c:v>
                </c:pt>
                <c:pt idx="1956">
                  <c:v>64.349999999999994</c:v>
                </c:pt>
                <c:pt idx="1957">
                  <c:v>63.47</c:v>
                </c:pt>
                <c:pt idx="1958">
                  <c:v>63.44</c:v>
                </c:pt>
                <c:pt idx="1959">
                  <c:v>63.54</c:v>
                </c:pt>
                <c:pt idx="1960">
                  <c:v>63.81</c:v>
                </c:pt>
                <c:pt idx="1961">
                  <c:v>63.14</c:v>
                </c:pt>
                <c:pt idx="1962">
                  <c:v>63.97</c:v>
                </c:pt>
                <c:pt idx="1963">
                  <c:v>63.99</c:v>
                </c:pt>
                <c:pt idx="1964">
                  <c:v>63.99</c:v>
                </c:pt>
                <c:pt idx="1965">
                  <c:v>63.11</c:v>
                </c:pt>
                <c:pt idx="1966">
                  <c:v>62.75</c:v>
                </c:pt>
                <c:pt idx="1967">
                  <c:v>62.84</c:v>
                </c:pt>
                <c:pt idx="1968">
                  <c:v>62.79</c:v>
                </c:pt>
                <c:pt idx="1969">
                  <c:v>63.8</c:v>
                </c:pt>
                <c:pt idx="1970">
                  <c:v>63.34</c:v>
                </c:pt>
                <c:pt idx="1971">
                  <c:v>63.82</c:v>
                </c:pt>
                <c:pt idx="1972">
                  <c:v>64.209999999999994</c:v>
                </c:pt>
                <c:pt idx="1973">
                  <c:v>63.57</c:v>
                </c:pt>
                <c:pt idx="1974">
                  <c:v>63.95</c:v>
                </c:pt>
                <c:pt idx="1975">
                  <c:v>63.61</c:v>
                </c:pt>
                <c:pt idx="1976">
                  <c:v>62.95</c:v>
                </c:pt>
                <c:pt idx="1977">
                  <c:v>62.92</c:v>
                </c:pt>
                <c:pt idx="1978">
                  <c:v>62.2</c:v>
                </c:pt>
                <c:pt idx="1979">
                  <c:v>63.4</c:v>
                </c:pt>
                <c:pt idx="1980">
                  <c:v>62.61</c:v>
                </c:pt>
                <c:pt idx="1981">
                  <c:v>62.13</c:v>
                </c:pt>
                <c:pt idx="1982">
                  <c:v>62.01</c:v>
                </c:pt>
                <c:pt idx="1983">
                  <c:v>61.21</c:v>
                </c:pt>
                <c:pt idx="1984">
                  <c:v>61.43</c:v>
                </c:pt>
                <c:pt idx="1985">
                  <c:v>61.68</c:v>
                </c:pt>
                <c:pt idx="1986">
                  <c:v>59.81</c:v>
                </c:pt>
                <c:pt idx="1987">
                  <c:v>59.72</c:v>
                </c:pt>
                <c:pt idx="1988">
                  <c:v>60.08</c:v>
                </c:pt>
                <c:pt idx="1989">
                  <c:v>60.23</c:v>
                </c:pt>
                <c:pt idx="1990">
                  <c:v>60.55</c:v>
                </c:pt>
                <c:pt idx="1991">
                  <c:v>60.93</c:v>
                </c:pt>
                <c:pt idx="1992">
                  <c:v>60.81</c:v>
                </c:pt>
                <c:pt idx="1993">
                  <c:v>60.49</c:v>
                </c:pt>
                <c:pt idx="1994">
                  <c:v>60.64</c:v>
                </c:pt>
                <c:pt idx="1995">
                  <c:v>61.32</c:v>
                </c:pt>
                <c:pt idx="1996">
                  <c:v>61.33</c:v>
                </c:pt>
                <c:pt idx="1997">
                  <c:v>60.28</c:v>
                </c:pt>
                <c:pt idx="1998">
                  <c:v>59.83</c:v>
                </c:pt>
                <c:pt idx="1999">
                  <c:v>60.17</c:v>
                </c:pt>
                <c:pt idx="2000">
                  <c:v>60.07</c:v>
                </c:pt>
                <c:pt idx="2001">
                  <c:v>59.72</c:v>
                </c:pt>
                <c:pt idx="2002">
                  <c:v>59.62</c:v>
                </c:pt>
                <c:pt idx="2003">
                  <c:v>59.62</c:v>
                </c:pt>
                <c:pt idx="2004">
                  <c:v>60.6</c:v>
                </c:pt>
                <c:pt idx="2005">
                  <c:v>59.59</c:v>
                </c:pt>
                <c:pt idx="2006">
                  <c:v>59.59</c:v>
                </c:pt>
                <c:pt idx="2007">
                  <c:v>59.22</c:v>
                </c:pt>
                <c:pt idx="2008">
                  <c:v>60.12</c:v>
                </c:pt>
                <c:pt idx="2009">
                  <c:v>59.8</c:v>
                </c:pt>
                <c:pt idx="2010">
                  <c:v>59.98</c:v>
                </c:pt>
                <c:pt idx="2011">
                  <c:v>60.09</c:v>
                </c:pt>
                <c:pt idx="2012">
                  <c:v>59.84</c:v>
                </c:pt>
                <c:pt idx="2013">
                  <c:v>59.82</c:v>
                </c:pt>
                <c:pt idx="2014">
                  <c:v>59.51</c:v>
                </c:pt>
                <c:pt idx="2015">
                  <c:v>58.86</c:v>
                </c:pt>
                <c:pt idx="2016">
                  <c:v>59.72</c:v>
                </c:pt>
                <c:pt idx="2017">
                  <c:v>59.44</c:v>
                </c:pt>
                <c:pt idx="2018">
                  <c:v>60.36</c:v>
                </c:pt>
                <c:pt idx="2019">
                  <c:v>60.01</c:v>
                </c:pt>
                <c:pt idx="2020">
                  <c:v>60.04</c:v>
                </c:pt>
                <c:pt idx="2021">
                  <c:v>59.46</c:v>
                </c:pt>
                <c:pt idx="2022">
                  <c:v>59.21</c:v>
                </c:pt>
                <c:pt idx="2023">
                  <c:v>59.81</c:v>
                </c:pt>
                <c:pt idx="2024">
                  <c:v>60.03</c:v>
                </c:pt>
                <c:pt idx="2025">
                  <c:v>60.43</c:v>
                </c:pt>
                <c:pt idx="2026">
                  <c:v>60.3</c:v>
                </c:pt>
                <c:pt idx="2027">
                  <c:v>60.02</c:v>
                </c:pt>
                <c:pt idx="2028">
                  <c:v>60.6</c:v>
                </c:pt>
                <c:pt idx="2029">
                  <c:v>60.32</c:v>
                </c:pt>
                <c:pt idx="2030">
                  <c:v>60.05</c:v>
                </c:pt>
                <c:pt idx="2031">
                  <c:v>59.92</c:v>
                </c:pt>
                <c:pt idx="2032">
                  <c:v>60.9</c:v>
                </c:pt>
                <c:pt idx="2033">
                  <c:v>61.35</c:v>
                </c:pt>
                <c:pt idx="2034">
                  <c:v>61.42</c:v>
                </c:pt>
                <c:pt idx="2035">
                  <c:v>61.86</c:v>
                </c:pt>
                <c:pt idx="2036">
                  <c:v>61.85</c:v>
                </c:pt>
                <c:pt idx="2037">
                  <c:v>62.03</c:v>
                </c:pt>
                <c:pt idx="2038">
                  <c:v>62.4</c:v>
                </c:pt>
                <c:pt idx="2039">
                  <c:v>62.21</c:v>
                </c:pt>
                <c:pt idx="2040">
                  <c:v>62.8</c:v>
                </c:pt>
                <c:pt idx="2041">
                  <c:v>62.84</c:v>
                </c:pt>
                <c:pt idx="2042">
                  <c:v>62.69</c:v>
                </c:pt>
                <c:pt idx="2043">
                  <c:v>62.58</c:v>
                </c:pt>
                <c:pt idx="2044">
                  <c:v>62.69</c:v>
                </c:pt>
                <c:pt idx="2045">
                  <c:v>63.15</c:v>
                </c:pt>
                <c:pt idx="2046">
                  <c:v>63.05</c:v>
                </c:pt>
                <c:pt idx="2047">
                  <c:v>63.46</c:v>
                </c:pt>
                <c:pt idx="2048">
                  <c:v>63.56</c:v>
                </c:pt>
                <c:pt idx="2049">
                  <c:v>63.68</c:v>
                </c:pt>
                <c:pt idx="2050">
                  <c:v>63.96</c:v>
                </c:pt>
                <c:pt idx="2051">
                  <c:v>64.05</c:v>
                </c:pt>
                <c:pt idx="2052">
                  <c:v>63.95</c:v>
                </c:pt>
                <c:pt idx="2053">
                  <c:v>63.85</c:v>
                </c:pt>
                <c:pt idx="2054">
                  <c:v>63.55</c:v>
                </c:pt>
                <c:pt idx="2055">
                  <c:v>63.68</c:v>
                </c:pt>
                <c:pt idx="2056">
                  <c:v>64.150000000000006</c:v>
                </c:pt>
                <c:pt idx="2057">
                  <c:v>64.3</c:v>
                </c:pt>
                <c:pt idx="2058">
                  <c:v>64.010000000000005</c:v>
                </c:pt>
                <c:pt idx="2059">
                  <c:v>63.65</c:v>
                </c:pt>
                <c:pt idx="2060">
                  <c:v>63.72</c:v>
                </c:pt>
                <c:pt idx="2061">
                  <c:v>64.02</c:v>
                </c:pt>
                <c:pt idx="2062">
                  <c:v>63.92</c:v>
                </c:pt>
                <c:pt idx="2063">
                  <c:v>63.39</c:v>
                </c:pt>
                <c:pt idx="2064">
                  <c:v>63.5</c:v>
                </c:pt>
                <c:pt idx="2065">
                  <c:v>63.86</c:v>
                </c:pt>
                <c:pt idx="2066">
                  <c:v>64.11</c:v>
                </c:pt>
                <c:pt idx="2067">
                  <c:v>63.94</c:v>
                </c:pt>
                <c:pt idx="2068">
                  <c:v>63.22</c:v>
                </c:pt>
                <c:pt idx="2069">
                  <c:v>63.15</c:v>
                </c:pt>
                <c:pt idx="2070">
                  <c:v>62.8</c:v>
                </c:pt>
                <c:pt idx="2071">
                  <c:v>62.83</c:v>
                </c:pt>
                <c:pt idx="2072">
                  <c:v>61.51</c:v>
                </c:pt>
                <c:pt idx="2073">
                  <c:v>61.4</c:v>
                </c:pt>
                <c:pt idx="2074">
                  <c:v>60.88</c:v>
                </c:pt>
                <c:pt idx="2075">
                  <c:v>60.41</c:v>
                </c:pt>
                <c:pt idx="2076">
                  <c:v>60.26</c:v>
                </c:pt>
                <c:pt idx="2077">
                  <c:v>59.78</c:v>
                </c:pt>
                <c:pt idx="2078">
                  <c:v>59.66</c:v>
                </c:pt>
                <c:pt idx="2079">
                  <c:v>60</c:v>
                </c:pt>
                <c:pt idx="2080">
                  <c:v>61.16</c:v>
                </c:pt>
                <c:pt idx="2081">
                  <c:v>60.75</c:v>
                </c:pt>
                <c:pt idx="2082">
                  <c:v>60.31</c:v>
                </c:pt>
                <c:pt idx="2083">
                  <c:v>60.22</c:v>
                </c:pt>
                <c:pt idx="2084">
                  <c:v>60.37</c:v>
                </c:pt>
                <c:pt idx="2085">
                  <c:v>60.47</c:v>
                </c:pt>
                <c:pt idx="2086">
                  <c:v>60.21</c:v>
                </c:pt>
                <c:pt idx="2087">
                  <c:v>60.45</c:v>
                </c:pt>
                <c:pt idx="2088">
                  <c:v>60.86</c:v>
                </c:pt>
                <c:pt idx="2089">
                  <c:v>61.23</c:v>
                </c:pt>
                <c:pt idx="2090">
                  <c:v>61.67</c:v>
                </c:pt>
                <c:pt idx="2091">
                  <c:v>61.26</c:v>
                </c:pt>
                <c:pt idx="2092">
                  <c:v>61.43</c:v>
                </c:pt>
                <c:pt idx="2093">
                  <c:v>61.85</c:v>
                </c:pt>
                <c:pt idx="2094">
                  <c:v>61.2</c:v>
                </c:pt>
                <c:pt idx="2095">
                  <c:v>61.22</c:v>
                </c:pt>
                <c:pt idx="2096">
                  <c:v>61.09</c:v>
                </c:pt>
                <c:pt idx="2097">
                  <c:v>60.52</c:v>
                </c:pt>
                <c:pt idx="2098">
                  <c:v>60.02</c:v>
                </c:pt>
                <c:pt idx="2099">
                  <c:v>60.22</c:v>
                </c:pt>
                <c:pt idx="2100">
                  <c:v>60.58</c:v>
                </c:pt>
                <c:pt idx="2101">
                  <c:v>61.03</c:v>
                </c:pt>
                <c:pt idx="2102">
                  <c:v>60.56</c:v>
                </c:pt>
                <c:pt idx="2103">
                  <c:v>59.76</c:v>
                </c:pt>
                <c:pt idx="2104">
                  <c:v>59.31</c:v>
                </c:pt>
                <c:pt idx="2105">
                  <c:v>59.52</c:v>
                </c:pt>
                <c:pt idx="2106">
                  <c:v>59.84</c:v>
                </c:pt>
                <c:pt idx="2107">
                  <c:v>60.35</c:v>
                </c:pt>
                <c:pt idx="2108">
                  <c:v>60.9</c:v>
                </c:pt>
                <c:pt idx="2109">
                  <c:v>60.81</c:v>
                </c:pt>
                <c:pt idx="2110">
                  <c:v>60.57</c:v>
                </c:pt>
                <c:pt idx="2111">
                  <c:v>61.64</c:v>
                </c:pt>
                <c:pt idx="2112">
                  <c:v>62.39</c:v>
                </c:pt>
                <c:pt idx="2113">
                  <c:v>62.44</c:v>
                </c:pt>
                <c:pt idx="2114">
                  <c:v>62.46</c:v>
                </c:pt>
                <c:pt idx="2115">
                  <c:v>62.25</c:v>
                </c:pt>
                <c:pt idx="2116">
                  <c:v>63.05</c:v>
                </c:pt>
                <c:pt idx="2117">
                  <c:v>62.44</c:v>
                </c:pt>
                <c:pt idx="2118">
                  <c:v>62.48</c:v>
                </c:pt>
                <c:pt idx="2119">
                  <c:v>61.93</c:v>
                </c:pt>
                <c:pt idx="2120">
                  <c:v>61.77</c:v>
                </c:pt>
                <c:pt idx="2121">
                  <c:v>61.96</c:v>
                </c:pt>
                <c:pt idx="2122">
                  <c:v>61.64</c:v>
                </c:pt>
                <c:pt idx="2123">
                  <c:v>60.71</c:v>
                </c:pt>
                <c:pt idx="2124">
                  <c:v>61.19</c:v>
                </c:pt>
                <c:pt idx="2125">
                  <c:v>60.92</c:v>
                </c:pt>
                <c:pt idx="2126">
                  <c:v>61.06</c:v>
                </c:pt>
                <c:pt idx="2127">
                  <c:v>60.92</c:v>
                </c:pt>
                <c:pt idx="2128">
                  <c:v>61.17</c:v>
                </c:pt>
                <c:pt idx="2129">
                  <c:v>60.88</c:v>
                </c:pt>
                <c:pt idx="2130">
                  <c:v>60.47</c:v>
                </c:pt>
                <c:pt idx="2131">
                  <c:v>60.48</c:v>
                </c:pt>
                <c:pt idx="2132">
                  <c:v>60.61</c:v>
                </c:pt>
                <c:pt idx="2133">
                  <c:v>60.95</c:v>
                </c:pt>
                <c:pt idx="2134">
                  <c:v>60.43</c:v>
                </c:pt>
                <c:pt idx="2135">
                  <c:v>60.06</c:v>
                </c:pt>
                <c:pt idx="2136">
                  <c:v>60.27</c:v>
                </c:pt>
                <c:pt idx="2137">
                  <c:v>60.11</c:v>
                </c:pt>
                <c:pt idx="2138">
                  <c:v>60.39</c:v>
                </c:pt>
                <c:pt idx="2139">
                  <c:v>60.56</c:v>
                </c:pt>
                <c:pt idx="2140">
                  <c:v>60.5</c:v>
                </c:pt>
                <c:pt idx="2141">
                  <c:v>60.47</c:v>
                </c:pt>
                <c:pt idx="2142">
                  <c:v>59.83</c:v>
                </c:pt>
                <c:pt idx="2143">
                  <c:v>59.31</c:v>
                </c:pt>
                <c:pt idx="2144">
                  <c:v>58.82</c:v>
                </c:pt>
                <c:pt idx="2145">
                  <c:v>58.78</c:v>
                </c:pt>
                <c:pt idx="2146">
                  <c:v>58.33</c:v>
                </c:pt>
                <c:pt idx="2147">
                  <c:v>58.33</c:v>
                </c:pt>
                <c:pt idx="2148">
                  <c:v>58.88</c:v>
                </c:pt>
                <c:pt idx="2149">
                  <c:v>58.3</c:v>
                </c:pt>
                <c:pt idx="2150">
                  <c:v>58.44</c:v>
                </c:pt>
                <c:pt idx="2151">
                  <c:v>58.46</c:v>
                </c:pt>
                <c:pt idx="2152">
                  <c:v>57.94</c:v>
                </c:pt>
                <c:pt idx="2153">
                  <c:v>58.3</c:v>
                </c:pt>
                <c:pt idx="2154">
                  <c:v>58.18</c:v>
                </c:pt>
                <c:pt idx="2155">
                  <c:v>58.44</c:v>
                </c:pt>
                <c:pt idx="2156">
                  <c:v>57.54</c:v>
                </c:pt>
                <c:pt idx="2157">
                  <c:v>57.6</c:v>
                </c:pt>
                <c:pt idx="2158">
                  <c:v>57</c:v>
                </c:pt>
                <c:pt idx="2159">
                  <c:v>56.53</c:v>
                </c:pt>
                <c:pt idx="2160">
                  <c:v>55.95</c:v>
                </c:pt>
                <c:pt idx="2161">
                  <c:v>55.81</c:v>
                </c:pt>
                <c:pt idx="2162">
                  <c:v>55.98</c:v>
                </c:pt>
                <c:pt idx="2163">
                  <c:v>55.48</c:v>
                </c:pt>
                <c:pt idx="2164">
                  <c:v>54.88</c:v>
                </c:pt>
                <c:pt idx="2165">
                  <c:v>55.04</c:v>
                </c:pt>
                <c:pt idx="2166">
                  <c:v>52.38</c:v>
                </c:pt>
                <c:pt idx="2167">
                  <c:v>53.14</c:v>
                </c:pt>
                <c:pt idx="2168">
                  <c:v>52.88</c:v>
                </c:pt>
                <c:pt idx="2169">
                  <c:v>54.03</c:v>
                </c:pt>
                <c:pt idx="2170">
                  <c:v>53.71</c:v>
                </c:pt>
                <c:pt idx="2171">
                  <c:v>52.81</c:v>
                </c:pt>
                <c:pt idx="2172">
                  <c:v>52.89</c:v>
                </c:pt>
                <c:pt idx="2173">
                  <c:v>53.43</c:v>
                </c:pt>
                <c:pt idx="2174">
                  <c:v>54.07</c:v>
                </c:pt>
                <c:pt idx="2175">
                  <c:v>54.05</c:v>
                </c:pt>
                <c:pt idx="2176">
                  <c:v>54.35</c:v>
                </c:pt>
                <c:pt idx="2177">
                  <c:v>54.57</c:v>
                </c:pt>
                <c:pt idx="2178">
                  <c:v>54.08</c:v>
                </c:pt>
                <c:pt idx="2179">
                  <c:v>55.64</c:v>
                </c:pt>
                <c:pt idx="2180">
                  <c:v>56.12</c:v>
                </c:pt>
                <c:pt idx="2181">
                  <c:v>55.78</c:v>
                </c:pt>
                <c:pt idx="2182">
                  <c:v>55.24</c:v>
                </c:pt>
                <c:pt idx="2183">
                  <c:v>56.15</c:v>
                </c:pt>
                <c:pt idx="2184">
                  <c:v>56.49</c:v>
                </c:pt>
                <c:pt idx="2185">
                  <c:v>56.44</c:v>
                </c:pt>
                <c:pt idx="2186">
                  <c:v>57.09</c:v>
                </c:pt>
                <c:pt idx="2187">
                  <c:v>56.74</c:v>
                </c:pt>
                <c:pt idx="2188">
                  <c:v>56.97</c:v>
                </c:pt>
                <c:pt idx="2189">
                  <c:v>57.18</c:v>
                </c:pt>
                <c:pt idx="2190">
                  <c:v>57.09</c:v>
                </c:pt>
                <c:pt idx="2191">
                  <c:v>56.66</c:v>
                </c:pt>
                <c:pt idx="2192">
                  <c:v>56.72</c:v>
                </c:pt>
                <c:pt idx="2193">
                  <c:v>56.93</c:v>
                </c:pt>
                <c:pt idx="2194">
                  <c:v>57.1</c:v>
                </c:pt>
                <c:pt idx="2195">
                  <c:v>57.21</c:v>
                </c:pt>
                <c:pt idx="2196">
                  <c:v>57.15</c:v>
                </c:pt>
                <c:pt idx="2197">
                  <c:v>57.26</c:v>
                </c:pt>
                <c:pt idx="2198">
                  <c:v>57.4</c:v>
                </c:pt>
                <c:pt idx="2199">
                  <c:v>58.03</c:v>
                </c:pt>
                <c:pt idx="2200">
                  <c:v>58.42</c:v>
                </c:pt>
                <c:pt idx="2201">
                  <c:v>58.57</c:v>
                </c:pt>
                <c:pt idx="2202">
                  <c:v>58.46</c:v>
                </c:pt>
                <c:pt idx="2203">
                  <c:v>58.58</c:v>
                </c:pt>
                <c:pt idx="2204">
                  <c:v>58.23</c:v>
                </c:pt>
                <c:pt idx="2205">
                  <c:v>58.44</c:v>
                </c:pt>
                <c:pt idx="2206">
                  <c:v>58.64</c:v>
                </c:pt>
                <c:pt idx="2207">
                  <c:v>58.57</c:v>
                </c:pt>
                <c:pt idx="2208">
                  <c:v>58.66</c:v>
                </c:pt>
                <c:pt idx="2209">
                  <c:v>58.6</c:v>
                </c:pt>
                <c:pt idx="2210">
                  <c:v>58.74</c:v>
                </c:pt>
                <c:pt idx="2211">
                  <c:v>58.61</c:v>
                </c:pt>
                <c:pt idx="2212">
                  <c:v>59.04</c:v>
                </c:pt>
                <c:pt idx="2213">
                  <c:v>59.42</c:v>
                </c:pt>
                <c:pt idx="2214">
                  <c:v>59.93</c:v>
                </c:pt>
                <c:pt idx="2215">
                  <c:v>59.04</c:v>
                </c:pt>
                <c:pt idx="2216">
                  <c:v>58.6</c:v>
                </c:pt>
                <c:pt idx="2217">
                  <c:v>59.02</c:v>
                </c:pt>
                <c:pt idx="2218">
                  <c:v>58.83</c:v>
                </c:pt>
                <c:pt idx="2219">
                  <c:v>57.61</c:v>
                </c:pt>
                <c:pt idx="2220">
                  <c:v>57.99</c:v>
                </c:pt>
                <c:pt idx="2221">
                  <c:v>58.32</c:v>
                </c:pt>
                <c:pt idx="2222">
                  <c:v>58.56</c:v>
                </c:pt>
                <c:pt idx="2223">
                  <c:v>58.71</c:v>
                </c:pt>
                <c:pt idx="2224">
                  <c:v>58.75</c:v>
                </c:pt>
                <c:pt idx="2225">
                  <c:v>58.93</c:v>
                </c:pt>
                <c:pt idx="2226">
                  <c:v>59.82</c:v>
                </c:pt>
                <c:pt idx="2227">
                  <c:v>59.96</c:v>
                </c:pt>
                <c:pt idx="2228">
                  <c:v>59.76</c:v>
                </c:pt>
                <c:pt idx="2229">
                  <c:v>59.67</c:v>
                </c:pt>
                <c:pt idx="2230">
                  <c:v>60.11</c:v>
                </c:pt>
                <c:pt idx="2231">
                  <c:v>60</c:v>
                </c:pt>
                <c:pt idx="2232">
                  <c:v>60.2</c:v>
                </c:pt>
                <c:pt idx="2233">
                  <c:v>59.81</c:v>
                </c:pt>
                <c:pt idx="2234">
                  <c:v>60.39</c:v>
                </c:pt>
                <c:pt idx="2235">
                  <c:v>59.99</c:v>
                </c:pt>
                <c:pt idx="2236">
                  <c:v>59.99</c:v>
                </c:pt>
                <c:pt idx="2237">
                  <c:v>60.16</c:v>
                </c:pt>
                <c:pt idx="2238">
                  <c:v>59.83</c:v>
                </c:pt>
                <c:pt idx="2239">
                  <c:v>59.57</c:v>
                </c:pt>
                <c:pt idx="2240">
                  <c:v>59.85</c:v>
                </c:pt>
                <c:pt idx="2241">
                  <c:v>58.91</c:v>
                </c:pt>
                <c:pt idx="2242">
                  <c:v>59.16</c:v>
                </c:pt>
                <c:pt idx="2243">
                  <c:v>59.37</c:v>
                </c:pt>
                <c:pt idx="2244">
                  <c:v>59.73</c:v>
                </c:pt>
                <c:pt idx="2245">
                  <c:v>59.9</c:v>
                </c:pt>
                <c:pt idx="2246">
                  <c:v>59.49</c:v>
                </c:pt>
                <c:pt idx="2247">
                  <c:v>60.98</c:v>
                </c:pt>
                <c:pt idx="2248">
                  <c:v>60.54</c:v>
                </c:pt>
                <c:pt idx="2249">
                  <c:v>60.04</c:v>
                </c:pt>
                <c:pt idx="2250">
                  <c:v>59.94</c:v>
                </c:pt>
                <c:pt idx="2251">
                  <c:v>59.99</c:v>
                </c:pt>
                <c:pt idx="2252">
                  <c:v>59.83</c:v>
                </c:pt>
                <c:pt idx="2253">
                  <c:v>59.56</c:v>
                </c:pt>
                <c:pt idx="2254">
                  <c:v>59.7</c:v>
                </c:pt>
                <c:pt idx="2255">
                  <c:v>59.35</c:v>
                </c:pt>
                <c:pt idx="2256">
                  <c:v>59.29</c:v>
                </c:pt>
                <c:pt idx="2257">
                  <c:v>59.4</c:v>
                </c:pt>
                <c:pt idx="2258">
                  <c:v>59.39</c:v>
                </c:pt>
                <c:pt idx="2259">
                  <c:v>60.7</c:v>
                </c:pt>
                <c:pt idx="2260">
                  <c:v>61.24</c:v>
                </c:pt>
                <c:pt idx="2261">
                  <c:v>61.15</c:v>
                </c:pt>
                <c:pt idx="2262">
                  <c:v>61.2</c:v>
                </c:pt>
                <c:pt idx="2263">
                  <c:v>60.71</c:v>
                </c:pt>
                <c:pt idx="2264">
                  <c:v>60.34</c:v>
                </c:pt>
                <c:pt idx="2265">
                  <c:v>60.4</c:v>
                </c:pt>
                <c:pt idx="2266">
                  <c:v>60.02</c:v>
                </c:pt>
                <c:pt idx="2267">
                  <c:v>59.53</c:v>
                </c:pt>
                <c:pt idx="2268">
                  <c:v>59.81</c:v>
                </c:pt>
                <c:pt idx="2269">
                  <c:v>59.52</c:v>
                </c:pt>
                <c:pt idx="2270">
                  <c:v>59.55</c:v>
                </c:pt>
                <c:pt idx="2271">
                  <c:v>59.44</c:v>
                </c:pt>
                <c:pt idx="2272">
                  <c:v>59.52</c:v>
                </c:pt>
                <c:pt idx="2273">
                  <c:v>60.24</c:v>
                </c:pt>
                <c:pt idx="2274">
                  <c:v>60.5</c:v>
                </c:pt>
                <c:pt idx="2275">
                  <c:v>61.12</c:v>
                </c:pt>
                <c:pt idx="2276">
                  <c:v>60.5</c:v>
                </c:pt>
                <c:pt idx="2277">
                  <c:v>59.88</c:v>
                </c:pt>
                <c:pt idx="2278">
                  <c:v>60.13</c:v>
                </c:pt>
                <c:pt idx="2279">
                  <c:v>60.23</c:v>
                </c:pt>
                <c:pt idx="2280">
                  <c:v>60.75</c:v>
                </c:pt>
                <c:pt idx="2281">
                  <c:v>60.47</c:v>
                </c:pt>
                <c:pt idx="2282">
                  <c:v>60.49</c:v>
                </c:pt>
                <c:pt idx="2283">
                  <c:v>60.4</c:v>
                </c:pt>
                <c:pt idx="2284">
                  <c:v>60.54</c:v>
                </c:pt>
                <c:pt idx="2285">
                  <c:v>61.03</c:v>
                </c:pt>
                <c:pt idx="2286">
                  <c:v>61.18</c:v>
                </c:pt>
                <c:pt idx="2287">
                  <c:v>60.68</c:v>
                </c:pt>
                <c:pt idx="2288">
                  <c:v>60.15</c:v>
                </c:pt>
                <c:pt idx="2289">
                  <c:v>59.83</c:v>
                </c:pt>
                <c:pt idx="2290">
                  <c:v>59.3</c:v>
                </c:pt>
                <c:pt idx="2291">
                  <c:v>59.51</c:v>
                </c:pt>
                <c:pt idx="2292">
                  <c:v>59.27</c:v>
                </c:pt>
                <c:pt idx="2293">
                  <c:v>59.72</c:v>
                </c:pt>
                <c:pt idx="2294">
                  <c:v>58.92</c:v>
                </c:pt>
                <c:pt idx="2295">
                  <c:v>59.05</c:v>
                </c:pt>
                <c:pt idx="2296">
                  <c:v>58.28</c:v>
                </c:pt>
                <c:pt idx="2297">
                  <c:v>58.14</c:v>
                </c:pt>
                <c:pt idx="2298">
                  <c:v>58.06</c:v>
                </c:pt>
                <c:pt idx="2299">
                  <c:v>58.51</c:v>
                </c:pt>
                <c:pt idx="2300">
                  <c:v>58.91</c:v>
                </c:pt>
                <c:pt idx="2301">
                  <c:v>60.17</c:v>
                </c:pt>
                <c:pt idx="2302">
                  <c:v>60.55</c:v>
                </c:pt>
                <c:pt idx="2303">
                  <c:v>60.64</c:v>
                </c:pt>
                <c:pt idx="2304">
                  <c:v>61.55</c:v>
                </c:pt>
                <c:pt idx="2305">
                  <c:v>61.74</c:v>
                </c:pt>
                <c:pt idx="2306">
                  <c:v>61.74</c:v>
                </c:pt>
                <c:pt idx="2307">
                  <c:v>62.04</c:v>
                </c:pt>
                <c:pt idx="2308">
                  <c:v>61.77</c:v>
                </c:pt>
                <c:pt idx="2309">
                  <c:v>61.93</c:v>
                </c:pt>
                <c:pt idx="2310">
                  <c:v>61.99</c:v>
                </c:pt>
                <c:pt idx="2311">
                  <c:v>62.17</c:v>
                </c:pt>
                <c:pt idx="2312">
                  <c:v>62.35</c:v>
                </c:pt>
                <c:pt idx="2313">
                  <c:v>62.62</c:v>
                </c:pt>
                <c:pt idx="2314">
                  <c:v>62.85</c:v>
                </c:pt>
                <c:pt idx="2315">
                  <c:v>62.88</c:v>
                </c:pt>
                <c:pt idx="2316">
                  <c:v>63.26</c:v>
                </c:pt>
                <c:pt idx="2317">
                  <c:v>63.58</c:v>
                </c:pt>
                <c:pt idx="2318">
                  <c:v>63.1</c:v>
                </c:pt>
                <c:pt idx="2319">
                  <c:v>63.13</c:v>
                </c:pt>
                <c:pt idx="2320">
                  <c:v>63.32</c:v>
                </c:pt>
                <c:pt idx="2321">
                  <c:v>63.03</c:v>
                </c:pt>
                <c:pt idx="2322">
                  <c:v>62.57</c:v>
                </c:pt>
                <c:pt idx="2323">
                  <c:v>62.91</c:v>
                </c:pt>
                <c:pt idx="2324">
                  <c:v>63</c:v>
                </c:pt>
                <c:pt idx="2325">
                  <c:v>62.09</c:v>
                </c:pt>
                <c:pt idx="2326">
                  <c:v>62</c:v>
                </c:pt>
                <c:pt idx="2327">
                  <c:v>61.82</c:v>
                </c:pt>
                <c:pt idx="2328">
                  <c:v>61.7</c:v>
                </c:pt>
                <c:pt idx="2329">
                  <c:v>61.97</c:v>
                </c:pt>
                <c:pt idx="2330">
                  <c:v>62.93</c:v>
                </c:pt>
                <c:pt idx="2331">
                  <c:v>62.93</c:v>
                </c:pt>
                <c:pt idx="2332">
                  <c:v>63.94</c:v>
                </c:pt>
                <c:pt idx="2333">
                  <c:v>63.92</c:v>
                </c:pt>
                <c:pt idx="2334">
                  <c:v>64.150000000000006</c:v>
                </c:pt>
                <c:pt idx="2335">
                  <c:v>63.91</c:v>
                </c:pt>
                <c:pt idx="2336">
                  <c:v>63.59</c:v>
                </c:pt>
                <c:pt idx="2337">
                  <c:v>63.55</c:v>
                </c:pt>
                <c:pt idx="2338">
                  <c:v>62.88</c:v>
                </c:pt>
                <c:pt idx="2339">
                  <c:v>62.99</c:v>
                </c:pt>
                <c:pt idx="2340">
                  <c:v>62.55</c:v>
                </c:pt>
                <c:pt idx="2341">
                  <c:v>62.62</c:v>
                </c:pt>
                <c:pt idx="2342">
                  <c:v>62.63</c:v>
                </c:pt>
                <c:pt idx="2343">
                  <c:v>62.18</c:v>
                </c:pt>
                <c:pt idx="2344">
                  <c:v>62.77</c:v>
                </c:pt>
                <c:pt idx="2345">
                  <c:v>63.97</c:v>
                </c:pt>
                <c:pt idx="2346">
                  <c:v>63.84</c:v>
                </c:pt>
                <c:pt idx="2347">
                  <c:v>64.05</c:v>
                </c:pt>
                <c:pt idx="2348">
                  <c:v>63.91</c:v>
                </c:pt>
                <c:pt idx="2349">
                  <c:v>63.65</c:v>
                </c:pt>
                <c:pt idx="2350">
                  <c:v>63.28</c:v>
                </c:pt>
                <c:pt idx="2351">
                  <c:v>63.15</c:v>
                </c:pt>
                <c:pt idx="2352">
                  <c:v>63.33</c:v>
                </c:pt>
                <c:pt idx="2353">
                  <c:v>63.76</c:v>
                </c:pt>
                <c:pt idx="2354">
                  <c:v>62.96</c:v>
                </c:pt>
                <c:pt idx="2355">
                  <c:v>62.69</c:v>
                </c:pt>
                <c:pt idx="2356">
                  <c:v>62.83</c:v>
                </c:pt>
                <c:pt idx="2357">
                  <c:v>63.1</c:v>
                </c:pt>
                <c:pt idx="2358">
                  <c:v>63.7</c:v>
                </c:pt>
                <c:pt idx="2359">
                  <c:v>63.41</c:v>
                </c:pt>
                <c:pt idx="2360">
                  <c:v>64.27</c:v>
                </c:pt>
                <c:pt idx="2361">
                  <c:v>65.209999999999994</c:v>
                </c:pt>
                <c:pt idx="2362">
                  <c:v>65.19</c:v>
                </c:pt>
                <c:pt idx="2363">
                  <c:v>65.290000000000006</c:v>
                </c:pt>
                <c:pt idx="2364">
                  <c:v>64.77</c:v>
                </c:pt>
                <c:pt idx="2365">
                  <c:v>64.959999999999994</c:v>
                </c:pt>
                <c:pt idx="2366">
                  <c:v>65.81</c:v>
                </c:pt>
                <c:pt idx="2367">
                  <c:v>66.069999999999993</c:v>
                </c:pt>
                <c:pt idx="2368">
                  <c:v>67.05</c:v>
                </c:pt>
                <c:pt idx="2369">
                  <c:v>66.83</c:v>
                </c:pt>
                <c:pt idx="2370">
                  <c:v>67.680000000000007</c:v>
                </c:pt>
                <c:pt idx="2371">
                  <c:v>66.739999999999995</c:v>
                </c:pt>
                <c:pt idx="2372">
                  <c:v>67.959999999999994</c:v>
                </c:pt>
                <c:pt idx="2373">
                  <c:v>69.33</c:v>
                </c:pt>
                <c:pt idx="2374">
                  <c:v>68.099999999999994</c:v>
                </c:pt>
                <c:pt idx="2375">
                  <c:v>68.05</c:v>
                </c:pt>
                <c:pt idx="2376">
                  <c:v>68.459999999999994</c:v>
                </c:pt>
                <c:pt idx="2377">
                  <c:v>68.73</c:v>
                </c:pt>
                <c:pt idx="2378">
                  <c:v>68.680000000000007</c:v>
                </c:pt>
                <c:pt idx="2379">
                  <c:v>68.17</c:v>
                </c:pt>
                <c:pt idx="2380">
                  <c:v>68.459999999999994</c:v>
                </c:pt>
                <c:pt idx="2381">
                  <c:v>68.58</c:v>
                </c:pt>
                <c:pt idx="2382">
                  <c:v>68.650000000000006</c:v>
                </c:pt>
                <c:pt idx="2383">
                  <c:v>69.180000000000007</c:v>
                </c:pt>
                <c:pt idx="2384">
                  <c:v>68.98</c:v>
                </c:pt>
                <c:pt idx="2385">
                  <c:v>69.38</c:v>
                </c:pt>
                <c:pt idx="2386">
                  <c:v>69.569999999999993</c:v>
                </c:pt>
                <c:pt idx="2387">
                  <c:v>69.33</c:v>
                </c:pt>
                <c:pt idx="2388">
                  <c:v>69.790000000000006</c:v>
                </c:pt>
                <c:pt idx="2389">
                  <c:v>70.84</c:v>
                </c:pt>
                <c:pt idx="2390">
                  <c:v>71.5</c:v>
                </c:pt>
                <c:pt idx="2391">
                  <c:v>71.75</c:v>
                </c:pt>
                <c:pt idx="2392">
                  <c:v>72.05</c:v>
                </c:pt>
                <c:pt idx="2393">
                  <c:v>72.47</c:v>
                </c:pt>
                <c:pt idx="2394">
                  <c:v>73.010000000000005</c:v>
                </c:pt>
                <c:pt idx="2395">
                  <c:v>72.56</c:v>
                </c:pt>
                <c:pt idx="2396">
                  <c:v>71.17</c:v>
                </c:pt>
                <c:pt idx="2397">
                  <c:v>71.14</c:v>
                </c:pt>
                <c:pt idx="2398">
                  <c:v>71.849999999999994</c:v>
                </c:pt>
                <c:pt idx="2399">
                  <c:v>71.55</c:v>
                </c:pt>
                <c:pt idx="2400">
                  <c:v>71.08</c:v>
                </c:pt>
                <c:pt idx="2401">
                  <c:v>71.23</c:v>
                </c:pt>
                <c:pt idx="2402">
                  <c:v>71.41</c:v>
                </c:pt>
                <c:pt idx="2403">
                  <c:v>72.099999999999994</c:v>
                </c:pt>
                <c:pt idx="2404">
                  <c:v>71.8</c:v>
                </c:pt>
                <c:pt idx="2405">
                  <c:v>71.75</c:v>
                </c:pt>
                <c:pt idx="2406">
                  <c:v>70.62</c:v>
                </c:pt>
                <c:pt idx="2407">
                  <c:v>71.64</c:v>
                </c:pt>
                <c:pt idx="2408">
                  <c:v>71.73</c:v>
                </c:pt>
                <c:pt idx="2409">
                  <c:v>71.33</c:v>
                </c:pt>
                <c:pt idx="2410">
                  <c:v>71.45</c:v>
                </c:pt>
                <c:pt idx="2411">
                  <c:v>71.400000000000006</c:v>
                </c:pt>
                <c:pt idx="2412">
                  <c:v>71.790000000000006</c:v>
                </c:pt>
                <c:pt idx="2413">
                  <c:v>71.86</c:v>
                </c:pt>
                <c:pt idx="2414">
                  <c:v>71.709999999999994</c:v>
                </c:pt>
                <c:pt idx="2415">
                  <c:v>71.010000000000005</c:v>
                </c:pt>
                <c:pt idx="2416">
                  <c:v>70.52</c:v>
                </c:pt>
                <c:pt idx="2417">
                  <c:v>70.17</c:v>
                </c:pt>
                <c:pt idx="2418">
                  <c:v>69.010000000000005</c:v>
                </c:pt>
                <c:pt idx="2419">
                  <c:v>69.180000000000007</c:v>
                </c:pt>
                <c:pt idx="2420">
                  <c:v>69.569999999999993</c:v>
                </c:pt>
                <c:pt idx="2421">
                  <c:v>69.25</c:v>
                </c:pt>
                <c:pt idx="2422">
                  <c:v>69.569999999999993</c:v>
                </c:pt>
                <c:pt idx="2423">
                  <c:v>70.34</c:v>
                </c:pt>
                <c:pt idx="2424">
                  <c:v>70.34</c:v>
                </c:pt>
                <c:pt idx="2425">
                  <c:v>70.569999999999993</c:v>
                </c:pt>
                <c:pt idx="2426">
                  <c:v>69.900000000000006</c:v>
                </c:pt>
                <c:pt idx="2427">
                  <c:v>70.44</c:v>
                </c:pt>
                <c:pt idx="2428">
                  <c:v>69.45</c:v>
                </c:pt>
                <c:pt idx="2429">
                  <c:v>69.45</c:v>
                </c:pt>
                <c:pt idx="2430">
                  <c:v>68.010000000000005</c:v>
                </c:pt>
                <c:pt idx="2431">
                  <c:v>67.3</c:v>
                </c:pt>
                <c:pt idx="2432">
                  <c:v>66.92</c:v>
                </c:pt>
                <c:pt idx="2433">
                  <c:v>66.67</c:v>
                </c:pt>
                <c:pt idx="2434">
                  <c:v>65.56</c:v>
                </c:pt>
                <c:pt idx="2435">
                  <c:v>65.92</c:v>
                </c:pt>
                <c:pt idx="2436">
                  <c:v>65.31</c:v>
                </c:pt>
                <c:pt idx="2437">
                  <c:v>65.010000000000005</c:v>
                </c:pt>
                <c:pt idx="2438">
                  <c:v>65.11</c:v>
                </c:pt>
                <c:pt idx="2439">
                  <c:v>65.37</c:v>
                </c:pt>
                <c:pt idx="2440">
                  <c:v>63.7</c:v>
                </c:pt>
                <c:pt idx="2441">
                  <c:v>63.66</c:v>
                </c:pt>
                <c:pt idx="2442">
                  <c:v>63.92</c:v>
                </c:pt>
                <c:pt idx="2443">
                  <c:v>63.36</c:v>
                </c:pt>
                <c:pt idx="2444">
                  <c:v>63.2</c:v>
                </c:pt>
                <c:pt idx="2445">
                  <c:v>63</c:v>
                </c:pt>
                <c:pt idx="2446">
                  <c:v>62.55</c:v>
                </c:pt>
                <c:pt idx="2447">
                  <c:v>61.74</c:v>
                </c:pt>
                <c:pt idx="2448">
                  <c:v>61.86</c:v>
                </c:pt>
                <c:pt idx="2449">
                  <c:v>62.59</c:v>
                </c:pt>
                <c:pt idx="2450">
                  <c:v>62.99</c:v>
                </c:pt>
                <c:pt idx="2451">
                  <c:v>63.76</c:v>
                </c:pt>
                <c:pt idx="2452">
                  <c:v>63.92</c:v>
                </c:pt>
                <c:pt idx="2453">
                  <c:v>64.38</c:v>
                </c:pt>
                <c:pt idx="2454">
                  <c:v>64.55</c:v>
                </c:pt>
                <c:pt idx="2455">
                  <c:v>64.430000000000007</c:v>
                </c:pt>
                <c:pt idx="2456">
                  <c:v>64.08</c:v>
                </c:pt>
                <c:pt idx="2457">
                  <c:v>63.65</c:v>
                </c:pt>
                <c:pt idx="2458">
                  <c:v>63.52</c:v>
                </c:pt>
                <c:pt idx="2459">
                  <c:v>62.21</c:v>
                </c:pt>
                <c:pt idx="2460">
                  <c:v>62.92</c:v>
                </c:pt>
                <c:pt idx="2461">
                  <c:v>62.53</c:v>
                </c:pt>
                <c:pt idx="2462">
                  <c:v>62.6</c:v>
                </c:pt>
                <c:pt idx="2463">
                  <c:v>62.91</c:v>
                </c:pt>
                <c:pt idx="2464">
                  <c:v>62.64</c:v>
                </c:pt>
                <c:pt idx="2465">
                  <c:v>63.84</c:v>
                </c:pt>
                <c:pt idx="2466">
                  <c:v>63.12</c:v>
                </c:pt>
                <c:pt idx="2467">
                  <c:v>62.55</c:v>
                </c:pt>
                <c:pt idx="2468">
                  <c:v>63.4</c:v>
                </c:pt>
                <c:pt idx="2469">
                  <c:v>62.85</c:v>
                </c:pt>
                <c:pt idx="2470">
                  <c:v>62.45</c:v>
                </c:pt>
                <c:pt idx="2471">
                  <c:v>62.55</c:v>
                </c:pt>
                <c:pt idx="2472">
                  <c:v>62.38</c:v>
                </c:pt>
                <c:pt idx="2473">
                  <c:v>62.84</c:v>
                </c:pt>
                <c:pt idx="2474">
                  <c:v>62.57</c:v>
                </c:pt>
                <c:pt idx="2475">
                  <c:v>62.45</c:v>
                </c:pt>
                <c:pt idx="2476">
                  <c:v>62.03</c:v>
                </c:pt>
                <c:pt idx="2477">
                  <c:v>62.26</c:v>
                </c:pt>
                <c:pt idx="2478">
                  <c:v>61.84</c:v>
                </c:pt>
                <c:pt idx="2479">
                  <c:v>61.75</c:v>
                </c:pt>
                <c:pt idx="2480">
                  <c:v>60.81</c:v>
                </c:pt>
                <c:pt idx="2481">
                  <c:v>60.84</c:v>
                </c:pt>
                <c:pt idx="2482">
                  <c:v>61.71</c:v>
                </c:pt>
                <c:pt idx="2483">
                  <c:v>61.07</c:v>
                </c:pt>
                <c:pt idx="2484">
                  <c:v>61.65</c:v>
                </c:pt>
                <c:pt idx="2485">
                  <c:v>62.04</c:v>
                </c:pt>
                <c:pt idx="2486">
                  <c:v>61.77</c:v>
                </c:pt>
                <c:pt idx="2487">
                  <c:v>62.25</c:v>
                </c:pt>
                <c:pt idx="2488">
                  <c:v>62.71</c:v>
                </c:pt>
                <c:pt idx="2489">
                  <c:v>62.42</c:v>
                </c:pt>
                <c:pt idx="2490">
                  <c:v>61.78</c:v>
                </c:pt>
                <c:pt idx="2491">
                  <c:v>61.53</c:v>
                </c:pt>
                <c:pt idx="2492">
                  <c:v>61.92</c:v>
                </c:pt>
                <c:pt idx="2493">
                  <c:v>63.87</c:v>
                </c:pt>
                <c:pt idx="2494">
                  <c:v>62.36</c:v>
                </c:pt>
                <c:pt idx="2495">
                  <c:v>62.83</c:v>
                </c:pt>
                <c:pt idx="2496">
                  <c:v>64.05</c:v>
                </c:pt>
                <c:pt idx="2497">
                  <c:v>63.48</c:v>
                </c:pt>
                <c:pt idx="2498">
                  <c:v>63.35</c:v>
                </c:pt>
                <c:pt idx="2499">
                  <c:v>62.67</c:v>
                </c:pt>
                <c:pt idx="2500">
                  <c:v>63.12</c:v>
                </c:pt>
                <c:pt idx="2501">
                  <c:v>63.36</c:v>
                </c:pt>
                <c:pt idx="2502">
                  <c:v>63.84</c:v>
                </c:pt>
                <c:pt idx="2503">
                  <c:v>64.55</c:v>
                </c:pt>
                <c:pt idx="2504">
                  <c:v>67.599999999999994</c:v>
                </c:pt>
                <c:pt idx="2505">
                  <c:v>68.709999999999994</c:v>
                </c:pt>
                <c:pt idx="2506">
                  <c:v>69.5</c:v>
                </c:pt>
                <c:pt idx="2507">
                  <c:v>68.87</c:v>
                </c:pt>
                <c:pt idx="2508">
                  <c:v>69.05</c:v>
                </c:pt>
                <c:pt idx="2509">
                  <c:v>70.069999999999993</c:v>
                </c:pt>
                <c:pt idx="2510">
                  <c:v>70.040000000000006</c:v>
                </c:pt>
                <c:pt idx="2511">
                  <c:v>71.349999999999994</c:v>
                </c:pt>
                <c:pt idx="2512">
                  <c:v>70.59</c:v>
                </c:pt>
                <c:pt idx="2513">
                  <c:v>71.489999999999995</c:v>
                </c:pt>
                <c:pt idx="2514">
                  <c:v>70.8</c:v>
                </c:pt>
                <c:pt idx="2515">
                  <c:v>70.87</c:v>
                </c:pt>
                <c:pt idx="2516">
                  <c:v>71.209999999999994</c:v>
                </c:pt>
              </c:numCache>
            </c:numRef>
          </c:val>
        </c:ser>
        <c:ser>
          <c:idx val="1"/>
          <c:order val="1"/>
          <c:tx>
            <c:strRef>
              <c:f>'Coca-Cola Stock Price History'!$K$5</c:f>
              <c:strCache>
                <c:ptCount val="1"/>
                <c:pt idx="0">
                  <c:v>MA20</c:v>
                </c:pt>
              </c:strCache>
            </c:strRef>
          </c:tx>
          <c:marker>
            <c:symbol val="none"/>
          </c:marker>
          <c:cat>
            <c:numRef>
              <c:f>'Coca-Cola Stock Price History'!$B$6:$B$2522</c:f>
              <c:numCache>
                <c:formatCode>mm/dd/yy;@</c:formatCode>
                <c:ptCount val="2517"/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42072</c:v>
                </c:pt>
                <c:pt idx="7">
                  <c:v>42073</c:v>
                </c:pt>
                <c:pt idx="8">
                  <c:v>42074</c:v>
                </c:pt>
                <c:pt idx="9">
                  <c:v>42075</c:v>
                </c:pt>
                <c:pt idx="10">
                  <c:v>42076</c:v>
                </c:pt>
                <c:pt idx="11">
                  <c:v>42079</c:v>
                </c:pt>
                <c:pt idx="12">
                  <c:v>42080</c:v>
                </c:pt>
                <c:pt idx="13">
                  <c:v>42081</c:v>
                </c:pt>
                <c:pt idx="14">
                  <c:v>42082</c:v>
                </c:pt>
                <c:pt idx="15">
                  <c:v>42083</c:v>
                </c:pt>
                <c:pt idx="16">
                  <c:v>42086</c:v>
                </c:pt>
                <c:pt idx="17">
                  <c:v>42087</c:v>
                </c:pt>
                <c:pt idx="18">
                  <c:v>42088</c:v>
                </c:pt>
                <c:pt idx="19">
                  <c:v>42089</c:v>
                </c:pt>
                <c:pt idx="20">
                  <c:v>42090</c:v>
                </c:pt>
                <c:pt idx="21">
                  <c:v>42093</c:v>
                </c:pt>
                <c:pt idx="22">
                  <c:v>42094</c:v>
                </c:pt>
                <c:pt idx="23">
                  <c:v>42095</c:v>
                </c:pt>
                <c:pt idx="24">
                  <c:v>42096</c:v>
                </c:pt>
                <c:pt idx="25">
                  <c:v>42100</c:v>
                </c:pt>
                <c:pt idx="26">
                  <c:v>42101</c:v>
                </c:pt>
                <c:pt idx="27">
                  <c:v>42102</c:v>
                </c:pt>
                <c:pt idx="28">
                  <c:v>42103</c:v>
                </c:pt>
                <c:pt idx="29">
                  <c:v>42104</c:v>
                </c:pt>
                <c:pt idx="30">
                  <c:v>42107</c:v>
                </c:pt>
                <c:pt idx="31">
                  <c:v>42108</c:v>
                </c:pt>
                <c:pt idx="32">
                  <c:v>42109</c:v>
                </c:pt>
                <c:pt idx="33">
                  <c:v>42110</c:v>
                </c:pt>
                <c:pt idx="34">
                  <c:v>42111</c:v>
                </c:pt>
                <c:pt idx="35">
                  <c:v>42114</c:v>
                </c:pt>
                <c:pt idx="36">
                  <c:v>42115</c:v>
                </c:pt>
                <c:pt idx="37">
                  <c:v>42116</c:v>
                </c:pt>
                <c:pt idx="38">
                  <c:v>42117</c:v>
                </c:pt>
                <c:pt idx="39">
                  <c:v>42118</c:v>
                </c:pt>
                <c:pt idx="40">
                  <c:v>42121</c:v>
                </c:pt>
                <c:pt idx="41">
                  <c:v>42122</c:v>
                </c:pt>
                <c:pt idx="42">
                  <c:v>42123</c:v>
                </c:pt>
                <c:pt idx="43">
                  <c:v>42124</c:v>
                </c:pt>
                <c:pt idx="44">
                  <c:v>42125</c:v>
                </c:pt>
                <c:pt idx="45">
                  <c:v>42128</c:v>
                </c:pt>
                <c:pt idx="46">
                  <c:v>42129</c:v>
                </c:pt>
                <c:pt idx="47">
                  <c:v>42130</c:v>
                </c:pt>
                <c:pt idx="48">
                  <c:v>42131</c:v>
                </c:pt>
                <c:pt idx="49">
                  <c:v>42132</c:v>
                </c:pt>
                <c:pt idx="50">
                  <c:v>42135</c:v>
                </c:pt>
                <c:pt idx="51">
                  <c:v>42136</c:v>
                </c:pt>
                <c:pt idx="52">
                  <c:v>42137</c:v>
                </c:pt>
                <c:pt idx="53">
                  <c:v>42138</c:v>
                </c:pt>
                <c:pt idx="54">
                  <c:v>42139</c:v>
                </c:pt>
                <c:pt idx="55">
                  <c:v>42142</c:v>
                </c:pt>
                <c:pt idx="56">
                  <c:v>42143</c:v>
                </c:pt>
                <c:pt idx="57">
                  <c:v>42144</c:v>
                </c:pt>
                <c:pt idx="58">
                  <c:v>42145</c:v>
                </c:pt>
                <c:pt idx="59">
                  <c:v>42146</c:v>
                </c:pt>
                <c:pt idx="60">
                  <c:v>42150</c:v>
                </c:pt>
                <c:pt idx="61">
                  <c:v>42151</c:v>
                </c:pt>
                <c:pt idx="62">
                  <c:v>42152</c:v>
                </c:pt>
                <c:pt idx="63">
                  <c:v>42153</c:v>
                </c:pt>
                <c:pt idx="64">
                  <c:v>42156</c:v>
                </c:pt>
                <c:pt idx="65">
                  <c:v>42157</c:v>
                </c:pt>
                <c:pt idx="66">
                  <c:v>42158</c:v>
                </c:pt>
                <c:pt idx="67">
                  <c:v>42159</c:v>
                </c:pt>
                <c:pt idx="68">
                  <c:v>42160</c:v>
                </c:pt>
                <c:pt idx="69">
                  <c:v>42163</c:v>
                </c:pt>
                <c:pt idx="70">
                  <c:v>42164</c:v>
                </c:pt>
                <c:pt idx="71">
                  <c:v>42165</c:v>
                </c:pt>
                <c:pt idx="72">
                  <c:v>42166</c:v>
                </c:pt>
                <c:pt idx="73">
                  <c:v>42167</c:v>
                </c:pt>
                <c:pt idx="74">
                  <c:v>42170</c:v>
                </c:pt>
                <c:pt idx="75">
                  <c:v>42171</c:v>
                </c:pt>
                <c:pt idx="76">
                  <c:v>42172</c:v>
                </c:pt>
                <c:pt idx="77">
                  <c:v>42173</c:v>
                </c:pt>
                <c:pt idx="78">
                  <c:v>42174</c:v>
                </c:pt>
                <c:pt idx="79">
                  <c:v>42177</c:v>
                </c:pt>
                <c:pt idx="80">
                  <c:v>42178</c:v>
                </c:pt>
                <c:pt idx="81">
                  <c:v>42179</c:v>
                </c:pt>
                <c:pt idx="82">
                  <c:v>42180</c:v>
                </c:pt>
                <c:pt idx="83">
                  <c:v>42181</c:v>
                </c:pt>
                <c:pt idx="84">
                  <c:v>42184</c:v>
                </c:pt>
                <c:pt idx="85">
                  <c:v>42185</c:v>
                </c:pt>
                <c:pt idx="86">
                  <c:v>42186</c:v>
                </c:pt>
                <c:pt idx="87">
                  <c:v>42187</c:v>
                </c:pt>
                <c:pt idx="88">
                  <c:v>42191</c:v>
                </c:pt>
                <c:pt idx="89">
                  <c:v>42192</c:v>
                </c:pt>
                <c:pt idx="90">
                  <c:v>42193</c:v>
                </c:pt>
                <c:pt idx="91">
                  <c:v>42194</c:v>
                </c:pt>
                <c:pt idx="92">
                  <c:v>42195</c:v>
                </c:pt>
                <c:pt idx="93">
                  <c:v>42198</c:v>
                </c:pt>
                <c:pt idx="94">
                  <c:v>42199</c:v>
                </c:pt>
                <c:pt idx="95">
                  <c:v>42200</c:v>
                </c:pt>
                <c:pt idx="96">
                  <c:v>42201</c:v>
                </c:pt>
                <c:pt idx="97">
                  <c:v>42202</c:v>
                </c:pt>
                <c:pt idx="98">
                  <c:v>42205</c:v>
                </c:pt>
                <c:pt idx="99">
                  <c:v>42206</c:v>
                </c:pt>
                <c:pt idx="100">
                  <c:v>42207</c:v>
                </c:pt>
                <c:pt idx="101">
                  <c:v>42208</c:v>
                </c:pt>
                <c:pt idx="102">
                  <c:v>42209</c:v>
                </c:pt>
                <c:pt idx="103">
                  <c:v>42212</c:v>
                </c:pt>
                <c:pt idx="104">
                  <c:v>42213</c:v>
                </c:pt>
                <c:pt idx="105">
                  <c:v>42214</c:v>
                </c:pt>
                <c:pt idx="106">
                  <c:v>42215</c:v>
                </c:pt>
                <c:pt idx="107">
                  <c:v>42216</c:v>
                </c:pt>
                <c:pt idx="108">
                  <c:v>42219</c:v>
                </c:pt>
                <c:pt idx="109">
                  <c:v>42220</c:v>
                </c:pt>
                <c:pt idx="110">
                  <c:v>42221</c:v>
                </c:pt>
                <c:pt idx="111">
                  <c:v>42222</c:v>
                </c:pt>
                <c:pt idx="112">
                  <c:v>42223</c:v>
                </c:pt>
                <c:pt idx="113">
                  <c:v>42226</c:v>
                </c:pt>
                <c:pt idx="114">
                  <c:v>42227</c:v>
                </c:pt>
                <c:pt idx="115">
                  <c:v>42228</c:v>
                </c:pt>
                <c:pt idx="116">
                  <c:v>42229</c:v>
                </c:pt>
                <c:pt idx="117">
                  <c:v>42230</c:v>
                </c:pt>
                <c:pt idx="118">
                  <c:v>42233</c:v>
                </c:pt>
                <c:pt idx="119">
                  <c:v>42234</c:v>
                </c:pt>
                <c:pt idx="120">
                  <c:v>42235</c:v>
                </c:pt>
                <c:pt idx="121">
                  <c:v>42236</c:v>
                </c:pt>
                <c:pt idx="122">
                  <c:v>42237</c:v>
                </c:pt>
                <c:pt idx="123">
                  <c:v>42240</c:v>
                </c:pt>
                <c:pt idx="124">
                  <c:v>42241</c:v>
                </c:pt>
                <c:pt idx="125">
                  <c:v>42242</c:v>
                </c:pt>
                <c:pt idx="126">
                  <c:v>42243</c:v>
                </c:pt>
                <c:pt idx="127">
                  <c:v>42244</c:v>
                </c:pt>
                <c:pt idx="128">
                  <c:v>42247</c:v>
                </c:pt>
                <c:pt idx="129">
                  <c:v>42248</c:v>
                </c:pt>
                <c:pt idx="130">
                  <c:v>42249</c:v>
                </c:pt>
                <c:pt idx="131">
                  <c:v>42250</c:v>
                </c:pt>
                <c:pt idx="132">
                  <c:v>42251</c:v>
                </c:pt>
                <c:pt idx="133">
                  <c:v>42255</c:v>
                </c:pt>
                <c:pt idx="134">
                  <c:v>42256</c:v>
                </c:pt>
                <c:pt idx="135">
                  <c:v>42257</c:v>
                </c:pt>
                <c:pt idx="136">
                  <c:v>42258</c:v>
                </c:pt>
                <c:pt idx="137">
                  <c:v>42261</c:v>
                </c:pt>
                <c:pt idx="138">
                  <c:v>42262</c:v>
                </c:pt>
                <c:pt idx="139">
                  <c:v>42263</c:v>
                </c:pt>
                <c:pt idx="140">
                  <c:v>42264</c:v>
                </c:pt>
                <c:pt idx="141">
                  <c:v>42265</c:v>
                </c:pt>
                <c:pt idx="142">
                  <c:v>42268</c:v>
                </c:pt>
                <c:pt idx="143">
                  <c:v>42269</c:v>
                </c:pt>
                <c:pt idx="144">
                  <c:v>42270</c:v>
                </c:pt>
                <c:pt idx="145">
                  <c:v>42271</c:v>
                </c:pt>
                <c:pt idx="146">
                  <c:v>42272</c:v>
                </c:pt>
                <c:pt idx="147">
                  <c:v>42275</c:v>
                </c:pt>
                <c:pt idx="148">
                  <c:v>42276</c:v>
                </c:pt>
                <c:pt idx="149">
                  <c:v>42277</c:v>
                </c:pt>
                <c:pt idx="150">
                  <c:v>42278</c:v>
                </c:pt>
                <c:pt idx="151">
                  <c:v>42279</c:v>
                </c:pt>
                <c:pt idx="152">
                  <c:v>42282</c:v>
                </c:pt>
                <c:pt idx="153">
                  <c:v>42283</c:v>
                </c:pt>
                <c:pt idx="154">
                  <c:v>42284</c:v>
                </c:pt>
                <c:pt idx="155">
                  <c:v>42285</c:v>
                </c:pt>
                <c:pt idx="156">
                  <c:v>42286</c:v>
                </c:pt>
                <c:pt idx="157">
                  <c:v>42289</c:v>
                </c:pt>
                <c:pt idx="158">
                  <c:v>42290</c:v>
                </c:pt>
                <c:pt idx="159">
                  <c:v>42291</c:v>
                </c:pt>
                <c:pt idx="160">
                  <c:v>42292</c:v>
                </c:pt>
                <c:pt idx="161">
                  <c:v>42293</c:v>
                </c:pt>
                <c:pt idx="162">
                  <c:v>42296</c:v>
                </c:pt>
                <c:pt idx="163">
                  <c:v>42297</c:v>
                </c:pt>
                <c:pt idx="164">
                  <c:v>42298</c:v>
                </c:pt>
                <c:pt idx="165">
                  <c:v>42299</c:v>
                </c:pt>
                <c:pt idx="166">
                  <c:v>42300</c:v>
                </c:pt>
                <c:pt idx="167">
                  <c:v>42303</c:v>
                </c:pt>
                <c:pt idx="168">
                  <c:v>42304</c:v>
                </c:pt>
                <c:pt idx="169">
                  <c:v>42305</c:v>
                </c:pt>
                <c:pt idx="170">
                  <c:v>42306</c:v>
                </c:pt>
                <c:pt idx="171">
                  <c:v>42307</c:v>
                </c:pt>
                <c:pt idx="172">
                  <c:v>42310</c:v>
                </c:pt>
                <c:pt idx="173">
                  <c:v>42311</c:v>
                </c:pt>
                <c:pt idx="174">
                  <c:v>42312</c:v>
                </c:pt>
                <c:pt idx="175">
                  <c:v>42313</c:v>
                </c:pt>
                <c:pt idx="176">
                  <c:v>42314</c:v>
                </c:pt>
                <c:pt idx="177">
                  <c:v>42317</c:v>
                </c:pt>
                <c:pt idx="178">
                  <c:v>42318</c:v>
                </c:pt>
                <c:pt idx="179">
                  <c:v>42319</c:v>
                </c:pt>
                <c:pt idx="180">
                  <c:v>42320</c:v>
                </c:pt>
                <c:pt idx="181">
                  <c:v>42321</c:v>
                </c:pt>
                <c:pt idx="182">
                  <c:v>42324</c:v>
                </c:pt>
                <c:pt idx="183">
                  <c:v>42325</c:v>
                </c:pt>
                <c:pt idx="184">
                  <c:v>42326</c:v>
                </c:pt>
                <c:pt idx="185">
                  <c:v>42327</c:v>
                </c:pt>
                <c:pt idx="186">
                  <c:v>42328</c:v>
                </c:pt>
                <c:pt idx="187">
                  <c:v>42331</c:v>
                </c:pt>
                <c:pt idx="188">
                  <c:v>42332</c:v>
                </c:pt>
                <c:pt idx="189">
                  <c:v>42333</c:v>
                </c:pt>
                <c:pt idx="190">
                  <c:v>42335</c:v>
                </c:pt>
                <c:pt idx="191">
                  <c:v>42338</c:v>
                </c:pt>
                <c:pt idx="192">
                  <c:v>42339</c:v>
                </c:pt>
                <c:pt idx="193">
                  <c:v>42340</c:v>
                </c:pt>
                <c:pt idx="194">
                  <c:v>42341</c:v>
                </c:pt>
                <c:pt idx="195">
                  <c:v>42342</c:v>
                </c:pt>
                <c:pt idx="196">
                  <c:v>42345</c:v>
                </c:pt>
                <c:pt idx="197">
                  <c:v>42346</c:v>
                </c:pt>
                <c:pt idx="198">
                  <c:v>42347</c:v>
                </c:pt>
                <c:pt idx="199">
                  <c:v>42348</c:v>
                </c:pt>
                <c:pt idx="200">
                  <c:v>42349</c:v>
                </c:pt>
                <c:pt idx="201">
                  <c:v>42352</c:v>
                </c:pt>
                <c:pt idx="202">
                  <c:v>42353</c:v>
                </c:pt>
                <c:pt idx="203">
                  <c:v>42354</c:v>
                </c:pt>
                <c:pt idx="204">
                  <c:v>42355</c:v>
                </c:pt>
                <c:pt idx="205">
                  <c:v>42356</c:v>
                </c:pt>
                <c:pt idx="206">
                  <c:v>42359</c:v>
                </c:pt>
                <c:pt idx="207">
                  <c:v>42360</c:v>
                </c:pt>
                <c:pt idx="208">
                  <c:v>42361</c:v>
                </c:pt>
                <c:pt idx="209">
                  <c:v>42362</c:v>
                </c:pt>
                <c:pt idx="210">
                  <c:v>42366</c:v>
                </c:pt>
                <c:pt idx="211">
                  <c:v>42367</c:v>
                </c:pt>
                <c:pt idx="212">
                  <c:v>42368</c:v>
                </c:pt>
                <c:pt idx="213">
                  <c:v>42369</c:v>
                </c:pt>
                <c:pt idx="214">
                  <c:v>42373</c:v>
                </c:pt>
                <c:pt idx="215">
                  <c:v>42374</c:v>
                </c:pt>
                <c:pt idx="216">
                  <c:v>42375</c:v>
                </c:pt>
                <c:pt idx="217">
                  <c:v>42376</c:v>
                </c:pt>
                <c:pt idx="218">
                  <c:v>42377</c:v>
                </c:pt>
                <c:pt idx="219">
                  <c:v>42380</c:v>
                </c:pt>
                <c:pt idx="220">
                  <c:v>42381</c:v>
                </c:pt>
                <c:pt idx="221">
                  <c:v>42382</c:v>
                </c:pt>
                <c:pt idx="222">
                  <c:v>42383</c:v>
                </c:pt>
                <c:pt idx="223">
                  <c:v>42384</c:v>
                </c:pt>
                <c:pt idx="224">
                  <c:v>42388</c:v>
                </c:pt>
                <c:pt idx="225">
                  <c:v>42389</c:v>
                </c:pt>
                <c:pt idx="226">
                  <c:v>42390</c:v>
                </c:pt>
                <c:pt idx="227">
                  <c:v>42391</c:v>
                </c:pt>
                <c:pt idx="228">
                  <c:v>42394</c:v>
                </c:pt>
                <c:pt idx="229">
                  <c:v>42395</c:v>
                </c:pt>
                <c:pt idx="230">
                  <c:v>42396</c:v>
                </c:pt>
                <c:pt idx="231">
                  <c:v>42397</c:v>
                </c:pt>
                <c:pt idx="232">
                  <c:v>42398</c:v>
                </c:pt>
                <c:pt idx="233">
                  <c:v>42401</c:v>
                </c:pt>
                <c:pt idx="234">
                  <c:v>42402</c:v>
                </c:pt>
                <c:pt idx="235">
                  <c:v>42403</c:v>
                </c:pt>
                <c:pt idx="236">
                  <c:v>42404</c:v>
                </c:pt>
                <c:pt idx="237">
                  <c:v>42405</c:v>
                </c:pt>
                <c:pt idx="238">
                  <c:v>42408</c:v>
                </c:pt>
                <c:pt idx="239">
                  <c:v>42409</c:v>
                </c:pt>
                <c:pt idx="240">
                  <c:v>42410</c:v>
                </c:pt>
                <c:pt idx="241">
                  <c:v>42411</c:v>
                </c:pt>
                <c:pt idx="242">
                  <c:v>42412</c:v>
                </c:pt>
                <c:pt idx="243">
                  <c:v>42416</c:v>
                </c:pt>
                <c:pt idx="244">
                  <c:v>42417</c:v>
                </c:pt>
                <c:pt idx="245">
                  <c:v>42418</c:v>
                </c:pt>
                <c:pt idx="246">
                  <c:v>42419</c:v>
                </c:pt>
                <c:pt idx="247">
                  <c:v>42422</c:v>
                </c:pt>
                <c:pt idx="248">
                  <c:v>42423</c:v>
                </c:pt>
                <c:pt idx="249">
                  <c:v>42424</c:v>
                </c:pt>
                <c:pt idx="250">
                  <c:v>42425</c:v>
                </c:pt>
                <c:pt idx="251">
                  <c:v>42426</c:v>
                </c:pt>
                <c:pt idx="252">
                  <c:v>42429</c:v>
                </c:pt>
                <c:pt idx="253">
                  <c:v>42430</c:v>
                </c:pt>
                <c:pt idx="254">
                  <c:v>42431</c:v>
                </c:pt>
                <c:pt idx="255">
                  <c:v>42432</c:v>
                </c:pt>
                <c:pt idx="256">
                  <c:v>42433</c:v>
                </c:pt>
                <c:pt idx="257">
                  <c:v>42436</c:v>
                </c:pt>
                <c:pt idx="258">
                  <c:v>42437</c:v>
                </c:pt>
                <c:pt idx="259">
                  <c:v>42438</c:v>
                </c:pt>
                <c:pt idx="260">
                  <c:v>42439</c:v>
                </c:pt>
                <c:pt idx="261">
                  <c:v>42440</c:v>
                </c:pt>
                <c:pt idx="262">
                  <c:v>42443</c:v>
                </c:pt>
                <c:pt idx="263">
                  <c:v>42444</c:v>
                </c:pt>
                <c:pt idx="264">
                  <c:v>42445</c:v>
                </c:pt>
                <c:pt idx="265">
                  <c:v>42446</c:v>
                </c:pt>
                <c:pt idx="266">
                  <c:v>42447</c:v>
                </c:pt>
                <c:pt idx="267">
                  <c:v>42450</c:v>
                </c:pt>
                <c:pt idx="268">
                  <c:v>42451</c:v>
                </c:pt>
                <c:pt idx="269">
                  <c:v>42452</c:v>
                </c:pt>
                <c:pt idx="270">
                  <c:v>42453</c:v>
                </c:pt>
                <c:pt idx="271">
                  <c:v>42457</c:v>
                </c:pt>
                <c:pt idx="272">
                  <c:v>42458</c:v>
                </c:pt>
                <c:pt idx="273">
                  <c:v>42459</c:v>
                </c:pt>
                <c:pt idx="274">
                  <c:v>42460</c:v>
                </c:pt>
                <c:pt idx="275">
                  <c:v>42461</c:v>
                </c:pt>
                <c:pt idx="276">
                  <c:v>42464</c:v>
                </c:pt>
                <c:pt idx="277">
                  <c:v>42465</c:v>
                </c:pt>
                <c:pt idx="278">
                  <c:v>42466</c:v>
                </c:pt>
                <c:pt idx="279">
                  <c:v>42467</c:v>
                </c:pt>
                <c:pt idx="280">
                  <c:v>42468</c:v>
                </c:pt>
                <c:pt idx="281">
                  <c:v>42471</c:v>
                </c:pt>
                <c:pt idx="282">
                  <c:v>42472</c:v>
                </c:pt>
                <c:pt idx="283">
                  <c:v>42473</c:v>
                </c:pt>
                <c:pt idx="284">
                  <c:v>42474</c:v>
                </c:pt>
                <c:pt idx="285">
                  <c:v>42475</c:v>
                </c:pt>
                <c:pt idx="286">
                  <c:v>42478</c:v>
                </c:pt>
                <c:pt idx="287">
                  <c:v>42479</c:v>
                </c:pt>
                <c:pt idx="288">
                  <c:v>42480</c:v>
                </c:pt>
                <c:pt idx="289">
                  <c:v>42481</c:v>
                </c:pt>
                <c:pt idx="290">
                  <c:v>42482</c:v>
                </c:pt>
                <c:pt idx="291">
                  <c:v>42485</c:v>
                </c:pt>
                <c:pt idx="292">
                  <c:v>42486</c:v>
                </c:pt>
                <c:pt idx="293">
                  <c:v>42487</c:v>
                </c:pt>
                <c:pt idx="294">
                  <c:v>42488</c:v>
                </c:pt>
                <c:pt idx="295">
                  <c:v>42489</c:v>
                </c:pt>
                <c:pt idx="296">
                  <c:v>42492</c:v>
                </c:pt>
                <c:pt idx="297">
                  <c:v>42493</c:v>
                </c:pt>
                <c:pt idx="298">
                  <c:v>42494</c:v>
                </c:pt>
                <c:pt idx="299">
                  <c:v>42495</c:v>
                </c:pt>
                <c:pt idx="300">
                  <c:v>42496</c:v>
                </c:pt>
                <c:pt idx="301">
                  <c:v>42499</c:v>
                </c:pt>
                <c:pt idx="302">
                  <c:v>42500</c:v>
                </c:pt>
                <c:pt idx="303">
                  <c:v>42501</c:v>
                </c:pt>
                <c:pt idx="304">
                  <c:v>42502</c:v>
                </c:pt>
                <c:pt idx="305">
                  <c:v>42503</c:v>
                </c:pt>
                <c:pt idx="306">
                  <c:v>42506</c:v>
                </c:pt>
                <c:pt idx="307">
                  <c:v>42507</c:v>
                </c:pt>
                <c:pt idx="308">
                  <c:v>42508</c:v>
                </c:pt>
                <c:pt idx="309">
                  <c:v>42509</c:v>
                </c:pt>
                <c:pt idx="310">
                  <c:v>42510</c:v>
                </c:pt>
                <c:pt idx="311">
                  <c:v>42513</c:v>
                </c:pt>
                <c:pt idx="312">
                  <c:v>42514</c:v>
                </c:pt>
                <c:pt idx="313">
                  <c:v>42515</c:v>
                </c:pt>
                <c:pt idx="314">
                  <c:v>42516</c:v>
                </c:pt>
                <c:pt idx="315">
                  <c:v>42517</c:v>
                </c:pt>
                <c:pt idx="316">
                  <c:v>42521</c:v>
                </c:pt>
                <c:pt idx="317">
                  <c:v>42522</c:v>
                </c:pt>
                <c:pt idx="318">
                  <c:v>42523</c:v>
                </c:pt>
                <c:pt idx="319">
                  <c:v>42524</c:v>
                </c:pt>
                <c:pt idx="320">
                  <c:v>42527</c:v>
                </c:pt>
                <c:pt idx="321">
                  <c:v>42528</c:v>
                </c:pt>
                <c:pt idx="322">
                  <c:v>42529</c:v>
                </c:pt>
                <c:pt idx="323">
                  <c:v>42530</c:v>
                </c:pt>
                <c:pt idx="324">
                  <c:v>42531</c:v>
                </c:pt>
                <c:pt idx="325">
                  <c:v>42534</c:v>
                </c:pt>
                <c:pt idx="326">
                  <c:v>42535</c:v>
                </c:pt>
                <c:pt idx="327">
                  <c:v>42536</c:v>
                </c:pt>
                <c:pt idx="328">
                  <c:v>42537</c:v>
                </c:pt>
                <c:pt idx="329">
                  <c:v>42538</c:v>
                </c:pt>
                <c:pt idx="330">
                  <c:v>42541</c:v>
                </c:pt>
                <c:pt idx="331">
                  <c:v>42542</c:v>
                </c:pt>
                <c:pt idx="332">
                  <c:v>42543</c:v>
                </c:pt>
                <c:pt idx="333">
                  <c:v>42544</c:v>
                </c:pt>
                <c:pt idx="334">
                  <c:v>42545</c:v>
                </c:pt>
                <c:pt idx="335">
                  <c:v>42548</c:v>
                </c:pt>
                <c:pt idx="336">
                  <c:v>42549</c:v>
                </c:pt>
                <c:pt idx="337">
                  <c:v>42550</c:v>
                </c:pt>
                <c:pt idx="338">
                  <c:v>42551</c:v>
                </c:pt>
                <c:pt idx="339">
                  <c:v>42552</c:v>
                </c:pt>
                <c:pt idx="340">
                  <c:v>42556</c:v>
                </c:pt>
                <c:pt idx="341">
                  <c:v>42557</c:v>
                </c:pt>
                <c:pt idx="342">
                  <c:v>42558</c:v>
                </c:pt>
                <c:pt idx="343">
                  <c:v>42559</c:v>
                </c:pt>
                <c:pt idx="344">
                  <c:v>42562</c:v>
                </c:pt>
                <c:pt idx="345">
                  <c:v>42563</c:v>
                </c:pt>
                <c:pt idx="346">
                  <c:v>42564</c:v>
                </c:pt>
                <c:pt idx="347">
                  <c:v>42565</c:v>
                </c:pt>
                <c:pt idx="348">
                  <c:v>42566</c:v>
                </c:pt>
                <c:pt idx="349">
                  <c:v>42569</c:v>
                </c:pt>
                <c:pt idx="350">
                  <c:v>42570</c:v>
                </c:pt>
                <c:pt idx="351">
                  <c:v>42571</c:v>
                </c:pt>
                <c:pt idx="352">
                  <c:v>42572</c:v>
                </c:pt>
                <c:pt idx="353">
                  <c:v>42573</c:v>
                </c:pt>
                <c:pt idx="354">
                  <c:v>42576</c:v>
                </c:pt>
                <c:pt idx="355">
                  <c:v>42577</c:v>
                </c:pt>
                <c:pt idx="356">
                  <c:v>42578</c:v>
                </c:pt>
                <c:pt idx="357">
                  <c:v>42579</c:v>
                </c:pt>
                <c:pt idx="358">
                  <c:v>42580</c:v>
                </c:pt>
                <c:pt idx="359">
                  <c:v>42583</c:v>
                </c:pt>
                <c:pt idx="360">
                  <c:v>42584</c:v>
                </c:pt>
                <c:pt idx="361">
                  <c:v>42585</c:v>
                </c:pt>
                <c:pt idx="362">
                  <c:v>42586</c:v>
                </c:pt>
                <c:pt idx="363">
                  <c:v>42587</c:v>
                </c:pt>
                <c:pt idx="364">
                  <c:v>42590</c:v>
                </c:pt>
                <c:pt idx="365">
                  <c:v>42591</c:v>
                </c:pt>
                <c:pt idx="366">
                  <c:v>42592</c:v>
                </c:pt>
                <c:pt idx="367">
                  <c:v>42593</c:v>
                </c:pt>
                <c:pt idx="368">
                  <c:v>42594</c:v>
                </c:pt>
                <c:pt idx="369">
                  <c:v>42597</c:v>
                </c:pt>
                <c:pt idx="370">
                  <c:v>42598</c:v>
                </c:pt>
                <c:pt idx="371">
                  <c:v>42599</c:v>
                </c:pt>
                <c:pt idx="372">
                  <c:v>42600</c:v>
                </c:pt>
                <c:pt idx="373">
                  <c:v>42601</c:v>
                </c:pt>
                <c:pt idx="374">
                  <c:v>42604</c:v>
                </c:pt>
                <c:pt idx="375">
                  <c:v>42605</c:v>
                </c:pt>
                <c:pt idx="376">
                  <c:v>42606</c:v>
                </c:pt>
                <c:pt idx="377">
                  <c:v>42607</c:v>
                </c:pt>
                <c:pt idx="378">
                  <c:v>42608</c:v>
                </c:pt>
                <c:pt idx="379">
                  <c:v>42611</c:v>
                </c:pt>
                <c:pt idx="380">
                  <c:v>42612</c:v>
                </c:pt>
                <c:pt idx="381">
                  <c:v>42613</c:v>
                </c:pt>
                <c:pt idx="382">
                  <c:v>42614</c:v>
                </c:pt>
                <c:pt idx="383">
                  <c:v>42615</c:v>
                </c:pt>
                <c:pt idx="384">
                  <c:v>42619</c:v>
                </c:pt>
                <c:pt idx="385">
                  <c:v>42620</c:v>
                </c:pt>
                <c:pt idx="386">
                  <c:v>42621</c:v>
                </c:pt>
                <c:pt idx="387">
                  <c:v>42622</c:v>
                </c:pt>
                <c:pt idx="388">
                  <c:v>42625</c:v>
                </c:pt>
                <c:pt idx="389">
                  <c:v>42626</c:v>
                </c:pt>
                <c:pt idx="390">
                  <c:v>42627</c:v>
                </c:pt>
                <c:pt idx="391">
                  <c:v>42628</c:v>
                </c:pt>
                <c:pt idx="392">
                  <c:v>42629</c:v>
                </c:pt>
                <c:pt idx="393">
                  <c:v>42632</c:v>
                </c:pt>
                <c:pt idx="394">
                  <c:v>42633</c:v>
                </c:pt>
                <c:pt idx="395">
                  <c:v>42634</c:v>
                </c:pt>
                <c:pt idx="396">
                  <c:v>42635</c:v>
                </c:pt>
                <c:pt idx="397">
                  <c:v>42636</c:v>
                </c:pt>
                <c:pt idx="398">
                  <c:v>42639</c:v>
                </c:pt>
                <c:pt idx="399">
                  <c:v>42640</c:v>
                </c:pt>
                <c:pt idx="400">
                  <c:v>42641</c:v>
                </c:pt>
                <c:pt idx="401">
                  <c:v>42642</c:v>
                </c:pt>
                <c:pt idx="402">
                  <c:v>42643</c:v>
                </c:pt>
                <c:pt idx="403">
                  <c:v>42646</c:v>
                </c:pt>
                <c:pt idx="404">
                  <c:v>42647</c:v>
                </c:pt>
                <c:pt idx="405">
                  <c:v>42648</c:v>
                </c:pt>
                <c:pt idx="406">
                  <c:v>42649</c:v>
                </c:pt>
                <c:pt idx="407">
                  <c:v>42650</c:v>
                </c:pt>
                <c:pt idx="408">
                  <c:v>42653</c:v>
                </c:pt>
                <c:pt idx="409">
                  <c:v>42654</c:v>
                </c:pt>
                <c:pt idx="410">
                  <c:v>42655</c:v>
                </c:pt>
                <c:pt idx="411">
                  <c:v>42656</c:v>
                </c:pt>
                <c:pt idx="412">
                  <c:v>42657</c:v>
                </c:pt>
                <c:pt idx="413">
                  <c:v>42660</c:v>
                </c:pt>
                <c:pt idx="414">
                  <c:v>42661</c:v>
                </c:pt>
                <c:pt idx="415">
                  <c:v>42662</c:v>
                </c:pt>
                <c:pt idx="416">
                  <c:v>42663</c:v>
                </c:pt>
                <c:pt idx="417">
                  <c:v>42664</c:v>
                </c:pt>
                <c:pt idx="418">
                  <c:v>42667</c:v>
                </c:pt>
                <c:pt idx="419">
                  <c:v>42668</c:v>
                </c:pt>
                <c:pt idx="420">
                  <c:v>42669</c:v>
                </c:pt>
                <c:pt idx="421">
                  <c:v>42670</c:v>
                </c:pt>
                <c:pt idx="422">
                  <c:v>42671</c:v>
                </c:pt>
                <c:pt idx="423">
                  <c:v>42674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42683</c:v>
                </c:pt>
                <c:pt idx="431">
                  <c:v>42684</c:v>
                </c:pt>
                <c:pt idx="432">
                  <c:v>42685</c:v>
                </c:pt>
                <c:pt idx="433">
                  <c:v>42688</c:v>
                </c:pt>
                <c:pt idx="434">
                  <c:v>42689</c:v>
                </c:pt>
                <c:pt idx="435">
                  <c:v>42690</c:v>
                </c:pt>
                <c:pt idx="436">
                  <c:v>42691</c:v>
                </c:pt>
                <c:pt idx="437">
                  <c:v>42692</c:v>
                </c:pt>
                <c:pt idx="438">
                  <c:v>42695</c:v>
                </c:pt>
                <c:pt idx="439">
                  <c:v>42696</c:v>
                </c:pt>
                <c:pt idx="440">
                  <c:v>42697</c:v>
                </c:pt>
                <c:pt idx="441">
                  <c:v>42699</c:v>
                </c:pt>
                <c:pt idx="442">
                  <c:v>42702</c:v>
                </c:pt>
                <c:pt idx="443">
                  <c:v>42703</c:v>
                </c:pt>
                <c:pt idx="444">
                  <c:v>42704</c:v>
                </c:pt>
                <c:pt idx="445">
                  <c:v>42705</c:v>
                </c:pt>
                <c:pt idx="446">
                  <c:v>42706</c:v>
                </c:pt>
                <c:pt idx="447">
                  <c:v>42709</c:v>
                </c:pt>
                <c:pt idx="448">
                  <c:v>42710</c:v>
                </c:pt>
                <c:pt idx="449">
                  <c:v>42711</c:v>
                </c:pt>
                <c:pt idx="450">
                  <c:v>42712</c:v>
                </c:pt>
                <c:pt idx="451">
                  <c:v>42713</c:v>
                </c:pt>
                <c:pt idx="452">
                  <c:v>42716</c:v>
                </c:pt>
                <c:pt idx="453">
                  <c:v>42717</c:v>
                </c:pt>
                <c:pt idx="454">
                  <c:v>42718</c:v>
                </c:pt>
                <c:pt idx="455">
                  <c:v>42719</c:v>
                </c:pt>
                <c:pt idx="456">
                  <c:v>42720</c:v>
                </c:pt>
                <c:pt idx="457">
                  <c:v>42723</c:v>
                </c:pt>
                <c:pt idx="458">
                  <c:v>42724</c:v>
                </c:pt>
                <c:pt idx="459">
                  <c:v>42725</c:v>
                </c:pt>
                <c:pt idx="460">
                  <c:v>42726</c:v>
                </c:pt>
                <c:pt idx="461">
                  <c:v>42727</c:v>
                </c:pt>
                <c:pt idx="462">
                  <c:v>42731</c:v>
                </c:pt>
                <c:pt idx="463">
                  <c:v>42732</c:v>
                </c:pt>
                <c:pt idx="464">
                  <c:v>42733</c:v>
                </c:pt>
                <c:pt idx="465">
                  <c:v>42734</c:v>
                </c:pt>
                <c:pt idx="466">
                  <c:v>42738</c:v>
                </c:pt>
                <c:pt idx="467">
                  <c:v>42739</c:v>
                </c:pt>
                <c:pt idx="468">
                  <c:v>42740</c:v>
                </c:pt>
                <c:pt idx="469">
                  <c:v>42741</c:v>
                </c:pt>
                <c:pt idx="470">
                  <c:v>42744</c:v>
                </c:pt>
                <c:pt idx="471">
                  <c:v>42745</c:v>
                </c:pt>
                <c:pt idx="472">
                  <c:v>42746</c:v>
                </c:pt>
                <c:pt idx="473">
                  <c:v>42747</c:v>
                </c:pt>
                <c:pt idx="474">
                  <c:v>42748</c:v>
                </c:pt>
                <c:pt idx="475">
                  <c:v>42752</c:v>
                </c:pt>
                <c:pt idx="476">
                  <c:v>42753</c:v>
                </c:pt>
                <c:pt idx="477">
                  <c:v>42754</c:v>
                </c:pt>
                <c:pt idx="478">
                  <c:v>42755</c:v>
                </c:pt>
                <c:pt idx="479">
                  <c:v>42758</c:v>
                </c:pt>
                <c:pt idx="480">
                  <c:v>42759</c:v>
                </c:pt>
                <c:pt idx="481">
                  <c:v>42760</c:v>
                </c:pt>
                <c:pt idx="482">
                  <c:v>42761</c:v>
                </c:pt>
                <c:pt idx="483">
                  <c:v>42762</c:v>
                </c:pt>
                <c:pt idx="484">
                  <c:v>42765</c:v>
                </c:pt>
                <c:pt idx="485">
                  <c:v>42766</c:v>
                </c:pt>
                <c:pt idx="486">
                  <c:v>42767</c:v>
                </c:pt>
                <c:pt idx="487">
                  <c:v>42768</c:v>
                </c:pt>
                <c:pt idx="488">
                  <c:v>42769</c:v>
                </c:pt>
                <c:pt idx="489">
                  <c:v>42772</c:v>
                </c:pt>
                <c:pt idx="490">
                  <c:v>42773</c:v>
                </c:pt>
                <c:pt idx="491">
                  <c:v>42774</c:v>
                </c:pt>
                <c:pt idx="492">
                  <c:v>42775</c:v>
                </c:pt>
                <c:pt idx="493">
                  <c:v>42776</c:v>
                </c:pt>
                <c:pt idx="494">
                  <c:v>42779</c:v>
                </c:pt>
                <c:pt idx="495">
                  <c:v>42780</c:v>
                </c:pt>
                <c:pt idx="496">
                  <c:v>42781</c:v>
                </c:pt>
                <c:pt idx="497">
                  <c:v>42782</c:v>
                </c:pt>
                <c:pt idx="498">
                  <c:v>42783</c:v>
                </c:pt>
                <c:pt idx="499">
                  <c:v>42787</c:v>
                </c:pt>
                <c:pt idx="500">
                  <c:v>42788</c:v>
                </c:pt>
                <c:pt idx="501">
                  <c:v>42789</c:v>
                </c:pt>
                <c:pt idx="502">
                  <c:v>42790</c:v>
                </c:pt>
                <c:pt idx="503">
                  <c:v>42793</c:v>
                </c:pt>
                <c:pt idx="504">
                  <c:v>42794</c:v>
                </c:pt>
                <c:pt idx="505">
                  <c:v>42795</c:v>
                </c:pt>
                <c:pt idx="506">
                  <c:v>42796</c:v>
                </c:pt>
                <c:pt idx="507">
                  <c:v>42797</c:v>
                </c:pt>
                <c:pt idx="508">
                  <c:v>42800</c:v>
                </c:pt>
                <c:pt idx="509">
                  <c:v>42801</c:v>
                </c:pt>
                <c:pt idx="510">
                  <c:v>42802</c:v>
                </c:pt>
                <c:pt idx="511">
                  <c:v>42803</c:v>
                </c:pt>
                <c:pt idx="512">
                  <c:v>42804</c:v>
                </c:pt>
                <c:pt idx="513">
                  <c:v>42807</c:v>
                </c:pt>
                <c:pt idx="514">
                  <c:v>42808</c:v>
                </c:pt>
                <c:pt idx="515">
                  <c:v>42809</c:v>
                </c:pt>
                <c:pt idx="516">
                  <c:v>42810</c:v>
                </c:pt>
                <c:pt idx="517">
                  <c:v>42811</c:v>
                </c:pt>
                <c:pt idx="518">
                  <c:v>42814</c:v>
                </c:pt>
                <c:pt idx="519">
                  <c:v>42815</c:v>
                </c:pt>
                <c:pt idx="520">
                  <c:v>42816</c:v>
                </c:pt>
                <c:pt idx="521">
                  <c:v>42817</c:v>
                </c:pt>
                <c:pt idx="522">
                  <c:v>42818</c:v>
                </c:pt>
                <c:pt idx="523">
                  <c:v>42821</c:v>
                </c:pt>
                <c:pt idx="524">
                  <c:v>42822</c:v>
                </c:pt>
                <c:pt idx="525">
                  <c:v>42823</c:v>
                </c:pt>
                <c:pt idx="526">
                  <c:v>42824</c:v>
                </c:pt>
                <c:pt idx="527">
                  <c:v>42825</c:v>
                </c:pt>
                <c:pt idx="528">
                  <c:v>42828</c:v>
                </c:pt>
                <c:pt idx="529">
                  <c:v>42829</c:v>
                </c:pt>
                <c:pt idx="530">
                  <c:v>42830</c:v>
                </c:pt>
                <c:pt idx="531">
                  <c:v>42831</c:v>
                </c:pt>
                <c:pt idx="532">
                  <c:v>42832</c:v>
                </c:pt>
                <c:pt idx="533">
                  <c:v>42835</c:v>
                </c:pt>
                <c:pt idx="534">
                  <c:v>42836</c:v>
                </c:pt>
                <c:pt idx="535">
                  <c:v>42837</c:v>
                </c:pt>
                <c:pt idx="536">
                  <c:v>42838</c:v>
                </c:pt>
                <c:pt idx="537">
                  <c:v>42842</c:v>
                </c:pt>
                <c:pt idx="538">
                  <c:v>42843</c:v>
                </c:pt>
                <c:pt idx="539">
                  <c:v>42844</c:v>
                </c:pt>
                <c:pt idx="540">
                  <c:v>42845</c:v>
                </c:pt>
                <c:pt idx="541">
                  <c:v>42846</c:v>
                </c:pt>
                <c:pt idx="542">
                  <c:v>42849</c:v>
                </c:pt>
                <c:pt idx="543">
                  <c:v>42850</c:v>
                </c:pt>
                <c:pt idx="544">
                  <c:v>42851</c:v>
                </c:pt>
                <c:pt idx="545">
                  <c:v>42852</c:v>
                </c:pt>
                <c:pt idx="546">
                  <c:v>42853</c:v>
                </c:pt>
                <c:pt idx="547">
                  <c:v>42856</c:v>
                </c:pt>
                <c:pt idx="548">
                  <c:v>42857</c:v>
                </c:pt>
                <c:pt idx="549">
                  <c:v>42858</c:v>
                </c:pt>
                <c:pt idx="550">
                  <c:v>42859</c:v>
                </c:pt>
                <c:pt idx="551">
                  <c:v>42860</c:v>
                </c:pt>
                <c:pt idx="552">
                  <c:v>42863</c:v>
                </c:pt>
                <c:pt idx="553">
                  <c:v>42864</c:v>
                </c:pt>
                <c:pt idx="554">
                  <c:v>42865</c:v>
                </c:pt>
                <c:pt idx="555">
                  <c:v>42866</c:v>
                </c:pt>
                <c:pt idx="556">
                  <c:v>42867</c:v>
                </c:pt>
                <c:pt idx="557">
                  <c:v>42870</c:v>
                </c:pt>
                <c:pt idx="558">
                  <c:v>42871</c:v>
                </c:pt>
                <c:pt idx="559">
                  <c:v>42872</c:v>
                </c:pt>
                <c:pt idx="560">
                  <c:v>42873</c:v>
                </c:pt>
                <c:pt idx="561">
                  <c:v>42874</c:v>
                </c:pt>
                <c:pt idx="562">
                  <c:v>42877</c:v>
                </c:pt>
                <c:pt idx="563">
                  <c:v>42878</c:v>
                </c:pt>
                <c:pt idx="564">
                  <c:v>42879</c:v>
                </c:pt>
                <c:pt idx="565">
                  <c:v>42880</c:v>
                </c:pt>
                <c:pt idx="566">
                  <c:v>42881</c:v>
                </c:pt>
                <c:pt idx="567">
                  <c:v>42885</c:v>
                </c:pt>
                <c:pt idx="568">
                  <c:v>42886</c:v>
                </c:pt>
                <c:pt idx="569">
                  <c:v>42887</c:v>
                </c:pt>
                <c:pt idx="570">
                  <c:v>42888</c:v>
                </c:pt>
                <c:pt idx="571">
                  <c:v>42891</c:v>
                </c:pt>
                <c:pt idx="572">
                  <c:v>42892</c:v>
                </c:pt>
                <c:pt idx="573">
                  <c:v>42893</c:v>
                </c:pt>
                <c:pt idx="574">
                  <c:v>42894</c:v>
                </c:pt>
                <c:pt idx="575">
                  <c:v>42895</c:v>
                </c:pt>
                <c:pt idx="576">
                  <c:v>42898</c:v>
                </c:pt>
                <c:pt idx="577">
                  <c:v>42899</c:v>
                </c:pt>
                <c:pt idx="578">
                  <c:v>42900</c:v>
                </c:pt>
                <c:pt idx="579">
                  <c:v>42901</c:v>
                </c:pt>
                <c:pt idx="580">
                  <c:v>42902</c:v>
                </c:pt>
                <c:pt idx="581">
                  <c:v>42905</c:v>
                </c:pt>
                <c:pt idx="582">
                  <c:v>42906</c:v>
                </c:pt>
                <c:pt idx="583">
                  <c:v>42907</c:v>
                </c:pt>
                <c:pt idx="584">
                  <c:v>42908</c:v>
                </c:pt>
                <c:pt idx="585">
                  <c:v>42909</c:v>
                </c:pt>
                <c:pt idx="586">
                  <c:v>42912</c:v>
                </c:pt>
                <c:pt idx="587">
                  <c:v>42913</c:v>
                </c:pt>
                <c:pt idx="588">
                  <c:v>42914</c:v>
                </c:pt>
                <c:pt idx="589">
                  <c:v>42915</c:v>
                </c:pt>
                <c:pt idx="590">
                  <c:v>42916</c:v>
                </c:pt>
                <c:pt idx="591">
                  <c:v>42919</c:v>
                </c:pt>
                <c:pt idx="592">
                  <c:v>42921</c:v>
                </c:pt>
                <c:pt idx="593">
                  <c:v>42922</c:v>
                </c:pt>
                <c:pt idx="594">
                  <c:v>42923</c:v>
                </c:pt>
                <c:pt idx="595">
                  <c:v>42926</c:v>
                </c:pt>
                <c:pt idx="596">
                  <c:v>42927</c:v>
                </c:pt>
                <c:pt idx="597">
                  <c:v>42928</c:v>
                </c:pt>
                <c:pt idx="598">
                  <c:v>42929</c:v>
                </c:pt>
                <c:pt idx="599">
                  <c:v>42930</c:v>
                </c:pt>
                <c:pt idx="600">
                  <c:v>42933</c:v>
                </c:pt>
                <c:pt idx="601">
                  <c:v>42934</c:v>
                </c:pt>
                <c:pt idx="602">
                  <c:v>42935</c:v>
                </c:pt>
                <c:pt idx="603">
                  <c:v>42936</c:v>
                </c:pt>
                <c:pt idx="604">
                  <c:v>42937</c:v>
                </c:pt>
                <c:pt idx="605">
                  <c:v>42940</c:v>
                </c:pt>
                <c:pt idx="606">
                  <c:v>42941</c:v>
                </c:pt>
                <c:pt idx="607">
                  <c:v>42942</c:v>
                </c:pt>
                <c:pt idx="608">
                  <c:v>42943</c:v>
                </c:pt>
                <c:pt idx="609">
                  <c:v>42944</c:v>
                </c:pt>
                <c:pt idx="610">
                  <c:v>42947</c:v>
                </c:pt>
                <c:pt idx="611">
                  <c:v>42948</c:v>
                </c:pt>
                <c:pt idx="612">
                  <c:v>42949</c:v>
                </c:pt>
                <c:pt idx="613">
                  <c:v>42950</c:v>
                </c:pt>
                <c:pt idx="614">
                  <c:v>42951</c:v>
                </c:pt>
                <c:pt idx="615">
                  <c:v>42954</c:v>
                </c:pt>
                <c:pt idx="616">
                  <c:v>42955</c:v>
                </c:pt>
                <c:pt idx="617">
                  <c:v>42956</c:v>
                </c:pt>
                <c:pt idx="618">
                  <c:v>42957</c:v>
                </c:pt>
                <c:pt idx="619">
                  <c:v>42958</c:v>
                </c:pt>
                <c:pt idx="620">
                  <c:v>42961</c:v>
                </c:pt>
                <c:pt idx="621">
                  <c:v>42962</c:v>
                </c:pt>
                <c:pt idx="622">
                  <c:v>42963</c:v>
                </c:pt>
                <c:pt idx="623">
                  <c:v>42964</c:v>
                </c:pt>
                <c:pt idx="624">
                  <c:v>42965</c:v>
                </c:pt>
                <c:pt idx="625">
                  <c:v>42968</c:v>
                </c:pt>
                <c:pt idx="626">
                  <c:v>42969</c:v>
                </c:pt>
                <c:pt idx="627">
                  <c:v>42970</c:v>
                </c:pt>
                <c:pt idx="628">
                  <c:v>42971</c:v>
                </c:pt>
                <c:pt idx="629">
                  <c:v>42972</c:v>
                </c:pt>
                <c:pt idx="630">
                  <c:v>42975</c:v>
                </c:pt>
                <c:pt idx="631">
                  <c:v>42976</c:v>
                </c:pt>
                <c:pt idx="632">
                  <c:v>42977</c:v>
                </c:pt>
                <c:pt idx="633">
                  <c:v>42978</c:v>
                </c:pt>
                <c:pt idx="634">
                  <c:v>42979</c:v>
                </c:pt>
                <c:pt idx="635">
                  <c:v>42983</c:v>
                </c:pt>
                <c:pt idx="636">
                  <c:v>42984</c:v>
                </c:pt>
                <c:pt idx="637">
                  <c:v>42985</c:v>
                </c:pt>
                <c:pt idx="638">
                  <c:v>42986</c:v>
                </c:pt>
                <c:pt idx="639">
                  <c:v>42989</c:v>
                </c:pt>
                <c:pt idx="640">
                  <c:v>42990</c:v>
                </c:pt>
                <c:pt idx="641">
                  <c:v>42991</c:v>
                </c:pt>
                <c:pt idx="642">
                  <c:v>42992</c:v>
                </c:pt>
                <c:pt idx="643">
                  <c:v>42993</c:v>
                </c:pt>
                <c:pt idx="644">
                  <c:v>42996</c:v>
                </c:pt>
                <c:pt idx="645">
                  <c:v>42997</c:v>
                </c:pt>
                <c:pt idx="646">
                  <c:v>42998</c:v>
                </c:pt>
                <c:pt idx="647">
                  <c:v>42999</c:v>
                </c:pt>
                <c:pt idx="648">
                  <c:v>43000</c:v>
                </c:pt>
                <c:pt idx="649">
                  <c:v>43003</c:v>
                </c:pt>
                <c:pt idx="650">
                  <c:v>43004</c:v>
                </c:pt>
                <c:pt idx="651">
                  <c:v>43005</c:v>
                </c:pt>
                <c:pt idx="652">
                  <c:v>43006</c:v>
                </c:pt>
                <c:pt idx="653">
                  <c:v>43007</c:v>
                </c:pt>
                <c:pt idx="654">
                  <c:v>43010</c:v>
                </c:pt>
                <c:pt idx="655">
                  <c:v>43011</c:v>
                </c:pt>
                <c:pt idx="656">
                  <c:v>43012</c:v>
                </c:pt>
                <c:pt idx="657">
                  <c:v>43013</c:v>
                </c:pt>
                <c:pt idx="658">
                  <c:v>43014</c:v>
                </c:pt>
                <c:pt idx="659">
                  <c:v>43017</c:v>
                </c:pt>
                <c:pt idx="660">
                  <c:v>43018</c:v>
                </c:pt>
                <c:pt idx="661">
                  <c:v>43019</c:v>
                </c:pt>
                <c:pt idx="662">
                  <c:v>43020</c:v>
                </c:pt>
                <c:pt idx="663">
                  <c:v>43021</c:v>
                </c:pt>
                <c:pt idx="664">
                  <c:v>43024</c:v>
                </c:pt>
                <c:pt idx="665">
                  <c:v>43025</c:v>
                </c:pt>
                <c:pt idx="666">
                  <c:v>43026</c:v>
                </c:pt>
                <c:pt idx="667">
                  <c:v>43027</c:v>
                </c:pt>
                <c:pt idx="668">
                  <c:v>43028</c:v>
                </c:pt>
                <c:pt idx="669">
                  <c:v>43031</c:v>
                </c:pt>
                <c:pt idx="670">
                  <c:v>43032</c:v>
                </c:pt>
                <c:pt idx="671">
                  <c:v>43033</c:v>
                </c:pt>
                <c:pt idx="672">
                  <c:v>43034</c:v>
                </c:pt>
                <c:pt idx="673">
                  <c:v>43035</c:v>
                </c:pt>
                <c:pt idx="674">
                  <c:v>43038</c:v>
                </c:pt>
                <c:pt idx="675">
                  <c:v>43039</c:v>
                </c:pt>
                <c:pt idx="676">
                  <c:v>43040</c:v>
                </c:pt>
                <c:pt idx="677">
                  <c:v>43041</c:v>
                </c:pt>
                <c:pt idx="678">
                  <c:v>43042</c:v>
                </c:pt>
                <c:pt idx="679">
                  <c:v>43045</c:v>
                </c:pt>
                <c:pt idx="680">
                  <c:v>43046</c:v>
                </c:pt>
                <c:pt idx="681">
                  <c:v>43047</c:v>
                </c:pt>
                <c:pt idx="682">
                  <c:v>43048</c:v>
                </c:pt>
                <c:pt idx="683">
                  <c:v>43049</c:v>
                </c:pt>
                <c:pt idx="684">
                  <c:v>43052</c:v>
                </c:pt>
                <c:pt idx="685">
                  <c:v>43053</c:v>
                </c:pt>
                <c:pt idx="686">
                  <c:v>43054</c:v>
                </c:pt>
                <c:pt idx="687">
                  <c:v>43055</c:v>
                </c:pt>
                <c:pt idx="688">
                  <c:v>43056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43063</c:v>
                </c:pt>
                <c:pt idx="693">
                  <c:v>43066</c:v>
                </c:pt>
                <c:pt idx="694">
                  <c:v>43067</c:v>
                </c:pt>
                <c:pt idx="695">
                  <c:v>43068</c:v>
                </c:pt>
                <c:pt idx="696">
                  <c:v>43069</c:v>
                </c:pt>
                <c:pt idx="697">
                  <c:v>43070</c:v>
                </c:pt>
                <c:pt idx="698">
                  <c:v>43073</c:v>
                </c:pt>
                <c:pt idx="699">
                  <c:v>43074</c:v>
                </c:pt>
                <c:pt idx="700">
                  <c:v>43075</c:v>
                </c:pt>
                <c:pt idx="701">
                  <c:v>43076</c:v>
                </c:pt>
                <c:pt idx="702">
                  <c:v>43077</c:v>
                </c:pt>
                <c:pt idx="703">
                  <c:v>43080</c:v>
                </c:pt>
                <c:pt idx="704">
                  <c:v>43081</c:v>
                </c:pt>
                <c:pt idx="705">
                  <c:v>43082</c:v>
                </c:pt>
                <c:pt idx="706">
                  <c:v>43083</c:v>
                </c:pt>
                <c:pt idx="707">
                  <c:v>43084</c:v>
                </c:pt>
                <c:pt idx="708">
                  <c:v>43087</c:v>
                </c:pt>
                <c:pt idx="709">
                  <c:v>43088</c:v>
                </c:pt>
                <c:pt idx="710">
                  <c:v>43089</c:v>
                </c:pt>
                <c:pt idx="711">
                  <c:v>43090</c:v>
                </c:pt>
                <c:pt idx="712">
                  <c:v>43091</c:v>
                </c:pt>
                <c:pt idx="713">
                  <c:v>43095</c:v>
                </c:pt>
                <c:pt idx="714">
                  <c:v>43096</c:v>
                </c:pt>
                <c:pt idx="715">
                  <c:v>43097</c:v>
                </c:pt>
                <c:pt idx="716">
                  <c:v>43098</c:v>
                </c:pt>
                <c:pt idx="717">
                  <c:v>43102</c:v>
                </c:pt>
                <c:pt idx="718">
                  <c:v>43103</c:v>
                </c:pt>
                <c:pt idx="719">
                  <c:v>43104</c:v>
                </c:pt>
                <c:pt idx="720">
                  <c:v>43105</c:v>
                </c:pt>
                <c:pt idx="721">
                  <c:v>43108</c:v>
                </c:pt>
                <c:pt idx="722">
                  <c:v>43109</c:v>
                </c:pt>
                <c:pt idx="723">
                  <c:v>43110</c:v>
                </c:pt>
                <c:pt idx="724">
                  <c:v>43111</c:v>
                </c:pt>
                <c:pt idx="725">
                  <c:v>43112</c:v>
                </c:pt>
                <c:pt idx="726">
                  <c:v>43116</c:v>
                </c:pt>
                <c:pt idx="727">
                  <c:v>43117</c:v>
                </c:pt>
                <c:pt idx="728">
                  <c:v>43118</c:v>
                </c:pt>
                <c:pt idx="729">
                  <c:v>43119</c:v>
                </c:pt>
                <c:pt idx="730">
                  <c:v>43122</c:v>
                </c:pt>
                <c:pt idx="731">
                  <c:v>43123</c:v>
                </c:pt>
                <c:pt idx="732">
                  <c:v>43124</c:v>
                </c:pt>
                <c:pt idx="733">
                  <c:v>43125</c:v>
                </c:pt>
                <c:pt idx="734">
                  <c:v>43126</c:v>
                </c:pt>
                <c:pt idx="735">
                  <c:v>43129</c:v>
                </c:pt>
                <c:pt idx="736">
                  <c:v>43130</c:v>
                </c:pt>
                <c:pt idx="737">
                  <c:v>43131</c:v>
                </c:pt>
                <c:pt idx="738">
                  <c:v>43132</c:v>
                </c:pt>
                <c:pt idx="739">
                  <c:v>43133</c:v>
                </c:pt>
                <c:pt idx="740">
                  <c:v>43136</c:v>
                </c:pt>
                <c:pt idx="741">
                  <c:v>43137</c:v>
                </c:pt>
                <c:pt idx="742">
                  <c:v>43138</c:v>
                </c:pt>
                <c:pt idx="743">
                  <c:v>43139</c:v>
                </c:pt>
                <c:pt idx="744">
                  <c:v>43140</c:v>
                </c:pt>
                <c:pt idx="745">
                  <c:v>43143</c:v>
                </c:pt>
                <c:pt idx="746">
                  <c:v>43144</c:v>
                </c:pt>
                <c:pt idx="747">
                  <c:v>43145</c:v>
                </c:pt>
                <c:pt idx="748">
                  <c:v>43146</c:v>
                </c:pt>
                <c:pt idx="749">
                  <c:v>43147</c:v>
                </c:pt>
                <c:pt idx="750">
                  <c:v>43151</c:v>
                </c:pt>
                <c:pt idx="751">
                  <c:v>43152</c:v>
                </c:pt>
                <c:pt idx="752">
                  <c:v>43153</c:v>
                </c:pt>
                <c:pt idx="753">
                  <c:v>43154</c:v>
                </c:pt>
                <c:pt idx="754">
                  <c:v>43157</c:v>
                </c:pt>
                <c:pt idx="755">
                  <c:v>43158</c:v>
                </c:pt>
                <c:pt idx="756">
                  <c:v>43159</c:v>
                </c:pt>
                <c:pt idx="757">
                  <c:v>43160</c:v>
                </c:pt>
                <c:pt idx="758">
                  <c:v>43161</c:v>
                </c:pt>
                <c:pt idx="759">
                  <c:v>43164</c:v>
                </c:pt>
                <c:pt idx="760">
                  <c:v>43165</c:v>
                </c:pt>
                <c:pt idx="761">
                  <c:v>43166</c:v>
                </c:pt>
                <c:pt idx="762">
                  <c:v>43167</c:v>
                </c:pt>
                <c:pt idx="763">
                  <c:v>43168</c:v>
                </c:pt>
                <c:pt idx="764">
                  <c:v>43171</c:v>
                </c:pt>
                <c:pt idx="765">
                  <c:v>43172</c:v>
                </c:pt>
                <c:pt idx="766">
                  <c:v>43173</c:v>
                </c:pt>
                <c:pt idx="767">
                  <c:v>43174</c:v>
                </c:pt>
                <c:pt idx="768">
                  <c:v>43175</c:v>
                </c:pt>
                <c:pt idx="769">
                  <c:v>43178</c:v>
                </c:pt>
                <c:pt idx="770">
                  <c:v>43179</c:v>
                </c:pt>
                <c:pt idx="771">
                  <c:v>43180</c:v>
                </c:pt>
                <c:pt idx="772">
                  <c:v>43181</c:v>
                </c:pt>
                <c:pt idx="773">
                  <c:v>43182</c:v>
                </c:pt>
                <c:pt idx="774">
                  <c:v>43185</c:v>
                </c:pt>
                <c:pt idx="775">
                  <c:v>43186</c:v>
                </c:pt>
                <c:pt idx="776">
                  <c:v>43187</c:v>
                </c:pt>
                <c:pt idx="777">
                  <c:v>43188</c:v>
                </c:pt>
                <c:pt idx="778">
                  <c:v>43192</c:v>
                </c:pt>
                <c:pt idx="779">
                  <c:v>43193</c:v>
                </c:pt>
                <c:pt idx="780">
                  <c:v>43194</c:v>
                </c:pt>
                <c:pt idx="781">
                  <c:v>43195</c:v>
                </c:pt>
                <c:pt idx="782">
                  <c:v>43196</c:v>
                </c:pt>
                <c:pt idx="783">
                  <c:v>43199</c:v>
                </c:pt>
                <c:pt idx="784">
                  <c:v>43200</c:v>
                </c:pt>
                <c:pt idx="785">
                  <c:v>43201</c:v>
                </c:pt>
                <c:pt idx="786">
                  <c:v>43202</c:v>
                </c:pt>
                <c:pt idx="787">
                  <c:v>43203</c:v>
                </c:pt>
                <c:pt idx="788">
                  <c:v>43206</c:v>
                </c:pt>
                <c:pt idx="789">
                  <c:v>43207</c:v>
                </c:pt>
                <c:pt idx="790">
                  <c:v>43208</c:v>
                </c:pt>
                <c:pt idx="791">
                  <c:v>43209</c:v>
                </c:pt>
                <c:pt idx="792">
                  <c:v>43210</c:v>
                </c:pt>
                <c:pt idx="793">
                  <c:v>43213</c:v>
                </c:pt>
                <c:pt idx="794">
                  <c:v>43214</c:v>
                </c:pt>
                <c:pt idx="795">
                  <c:v>43215</c:v>
                </c:pt>
                <c:pt idx="796">
                  <c:v>43216</c:v>
                </c:pt>
                <c:pt idx="797">
                  <c:v>43217</c:v>
                </c:pt>
                <c:pt idx="798">
                  <c:v>43220</c:v>
                </c:pt>
                <c:pt idx="799">
                  <c:v>43221</c:v>
                </c:pt>
                <c:pt idx="800">
                  <c:v>43222</c:v>
                </c:pt>
                <c:pt idx="801">
                  <c:v>43223</c:v>
                </c:pt>
                <c:pt idx="802">
                  <c:v>43224</c:v>
                </c:pt>
                <c:pt idx="803">
                  <c:v>43227</c:v>
                </c:pt>
                <c:pt idx="804">
                  <c:v>43228</c:v>
                </c:pt>
                <c:pt idx="805">
                  <c:v>43229</c:v>
                </c:pt>
                <c:pt idx="806">
                  <c:v>43230</c:v>
                </c:pt>
                <c:pt idx="807">
                  <c:v>43231</c:v>
                </c:pt>
                <c:pt idx="808">
                  <c:v>43234</c:v>
                </c:pt>
                <c:pt idx="809">
                  <c:v>43235</c:v>
                </c:pt>
                <c:pt idx="810">
                  <c:v>43236</c:v>
                </c:pt>
                <c:pt idx="811">
                  <c:v>43237</c:v>
                </c:pt>
                <c:pt idx="812">
                  <c:v>43238</c:v>
                </c:pt>
                <c:pt idx="813">
                  <c:v>43241</c:v>
                </c:pt>
                <c:pt idx="814">
                  <c:v>43242</c:v>
                </c:pt>
                <c:pt idx="815">
                  <c:v>43243</c:v>
                </c:pt>
                <c:pt idx="816">
                  <c:v>43244</c:v>
                </c:pt>
                <c:pt idx="817">
                  <c:v>43245</c:v>
                </c:pt>
                <c:pt idx="818">
                  <c:v>43249</c:v>
                </c:pt>
                <c:pt idx="819">
                  <c:v>43250</c:v>
                </c:pt>
                <c:pt idx="820">
                  <c:v>43251</c:v>
                </c:pt>
                <c:pt idx="821">
                  <c:v>43252</c:v>
                </c:pt>
                <c:pt idx="822">
                  <c:v>43255</c:v>
                </c:pt>
                <c:pt idx="823">
                  <c:v>43256</c:v>
                </c:pt>
                <c:pt idx="824">
                  <c:v>43257</c:v>
                </c:pt>
                <c:pt idx="825">
                  <c:v>43258</c:v>
                </c:pt>
                <c:pt idx="826">
                  <c:v>43259</c:v>
                </c:pt>
                <c:pt idx="827">
                  <c:v>43262</c:v>
                </c:pt>
                <c:pt idx="828">
                  <c:v>43263</c:v>
                </c:pt>
                <c:pt idx="829">
                  <c:v>43264</c:v>
                </c:pt>
                <c:pt idx="830">
                  <c:v>43265</c:v>
                </c:pt>
                <c:pt idx="831">
                  <c:v>43266</c:v>
                </c:pt>
                <c:pt idx="832">
                  <c:v>43269</c:v>
                </c:pt>
                <c:pt idx="833">
                  <c:v>43270</c:v>
                </c:pt>
                <c:pt idx="834">
                  <c:v>43271</c:v>
                </c:pt>
                <c:pt idx="835">
                  <c:v>43272</c:v>
                </c:pt>
                <c:pt idx="836">
                  <c:v>43273</c:v>
                </c:pt>
                <c:pt idx="837">
                  <c:v>43276</c:v>
                </c:pt>
                <c:pt idx="838">
                  <c:v>43277</c:v>
                </c:pt>
                <c:pt idx="839">
                  <c:v>43278</c:v>
                </c:pt>
                <c:pt idx="840">
                  <c:v>43279</c:v>
                </c:pt>
                <c:pt idx="841">
                  <c:v>43280</c:v>
                </c:pt>
                <c:pt idx="842">
                  <c:v>43283</c:v>
                </c:pt>
                <c:pt idx="843">
                  <c:v>43284</c:v>
                </c:pt>
                <c:pt idx="844">
                  <c:v>43286</c:v>
                </c:pt>
                <c:pt idx="845">
                  <c:v>43287</c:v>
                </c:pt>
                <c:pt idx="846">
                  <c:v>43290</c:v>
                </c:pt>
                <c:pt idx="847">
                  <c:v>43291</c:v>
                </c:pt>
                <c:pt idx="848">
                  <c:v>43292</c:v>
                </c:pt>
                <c:pt idx="849">
                  <c:v>43293</c:v>
                </c:pt>
                <c:pt idx="850">
                  <c:v>43294</c:v>
                </c:pt>
                <c:pt idx="851">
                  <c:v>43297</c:v>
                </c:pt>
                <c:pt idx="852">
                  <c:v>43298</c:v>
                </c:pt>
                <c:pt idx="853">
                  <c:v>43299</c:v>
                </c:pt>
                <c:pt idx="854">
                  <c:v>43300</c:v>
                </c:pt>
                <c:pt idx="855">
                  <c:v>43301</c:v>
                </c:pt>
                <c:pt idx="856">
                  <c:v>43304</c:v>
                </c:pt>
                <c:pt idx="857">
                  <c:v>43305</c:v>
                </c:pt>
                <c:pt idx="858">
                  <c:v>43306</c:v>
                </c:pt>
                <c:pt idx="859">
                  <c:v>43307</c:v>
                </c:pt>
                <c:pt idx="860">
                  <c:v>43308</c:v>
                </c:pt>
                <c:pt idx="861">
                  <c:v>43311</c:v>
                </c:pt>
                <c:pt idx="862">
                  <c:v>43312</c:v>
                </c:pt>
                <c:pt idx="863">
                  <c:v>43313</c:v>
                </c:pt>
                <c:pt idx="864">
                  <c:v>43314</c:v>
                </c:pt>
                <c:pt idx="865">
                  <c:v>43315</c:v>
                </c:pt>
                <c:pt idx="866">
                  <c:v>43318</c:v>
                </c:pt>
                <c:pt idx="867">
                  <c:v>43319</c:v>
                </c:pt>
                <c:pt idx="868">
                  <c:v>43320</c:v>
                </c:pt>
                <c:pt idx="869">
                  <c:v>43321</c:v>
                </c:pt>
                <c:pt idx="870">
                  <c:v>43322</c:v>
                </c:pt>
                <c:pt idx="871">
                  <c:v>43325</c:v>
                </c:pt>
                <c:pt idx="872">
                  <c:v>43326</c:v>
                </c:pt>
                <c:pt idx="873">
                  <c:v>43327</c:v>
                </c:pt>
                <c:pt idx="874">
                  <c:v>43328</c:v>
                </c:pt>
                <c:pt idx="875">
                  <c:v>43329</c:v>
                </c:pt>
                <c:pt idx="876">
                  <c:v>43332</c:v>
                </c:pt>
                <c:pt idx="877">
                  <c:v>43333</c:v>
                </c:pt>
                <c:pt idx="878">
                  <c:v>43334</c:v>
                </c:pt>
                <c:pt idx="879">
                  <c:v>43335</c:v>
                </c:pt>
                <c:pt idx="880">
                  <c:v>43336</c:v>
                </c:pt>
                <c:pt idx="881">
                  <c:v>43339</c:v>
                </c:pt>
                <c:pt idx="882">
                  <c:v>43340</c:v>
                </c:pt>
                <c:pt idx="883">
                  <c:v>43341</c:v>
                </c:pt>
                <c:pt idx="884">
                  <c:v>43342</c:v>
                </c:pt>
                <c:pt idx="885">
                  <c:v>43343</c:v>
                </c:pt>
                <c:pt idx="886">
                  <c:v>43347</c:v>
                </c:pt>
                <c:pt idx="887">
                  <c:v>43348</c:v>
                </c:pt>
                <c:pt idx="888">
                  <c:v>43349</c:v>
                </c:pt>
                <c:pt idx="889">
                  <c:v>43350</c:v>
                </c:pt>
                <c:pt idx="890">
                  <c:v>43353</c:v>
                </c:pt>
                <c:pt idx="891">
                  <c:v>43354</c:v>
                </c:pt>
                <c:pt idx="892">
                  <c:v>43355</c:v>
                </c:pt>
                <c:pt idx="893">
                  <c:v>43356</c:v>
                </c:pt>
                <c:pt idx="894">
                  <c:v>43357</c:v>
                </c:pt>
                <c:pt idx="895">
                  <c:v>43360</c:v>
                </c:pt>
                <c:pt idx="896">
                  <c:v>43361</c:v>
                </c:pt>
                <c:pt idx="897">
                  <c:v>43362</c:v>
                </c:pt>
                <c:pt idx="898">
                  <c:v>43363</c:v>
                </c:pt>
                <c:pt idx="899">
                  <c:v>43364</c:v>
                </c:pt>
                <c:pt idx="900">
                  <c:v>43367</c:v>
                </c:pt>
                <c:pt idx="901">
                  <c:v>43368</c:v>
                </c:pt>
                <c:pt idx="902">
                  <c:v>43369</c:v>
                </c:pt>
                <c:pt idx="903">
                  <c:v>43370</c:v>
                </c:pt>
                <c:pt idx="904">
                  <c:v>43371</c:v>
                </c:pt>
                <c:pt idx="905">
                  <c:v>43374</c:v>
                </c:pt>
                <c:pt idx="906">
                  <c:v>43375</c:v>
                </c:pt>
                <c:pt idx="907">
                  <c:v>43376</c:v>
                </c:pt>
                <c:pt idx="908">
                  <c:v>43377</c:v>
                </c:pt>
                <c:pt idx="909">
                  <c:v>43378</c:v>
                </c:pt>
                <c:pt idx="910">
                  <c:v>43381</c:v>
                </c:pt>
                <c:pt idx="911">
                  <c:v>43382</c:v>
                </c:pt>
                <c:pt idx="912">
                  <c:v>43383</c:v>
                </c:pt>
                <c:pt idx="913">
                  <c:v>43384</c:v>
                </c:pt>
                <c:pt idx="914">
                  <c:v>43385</c:v>
                </c:pt>
                <c:pt idx="915">
                  <c:v>43388</c:v>
                </c:pt>
                <c:pt idx="916">
                  <c:v>43389</c:v>
                </c:pt>
                <c:pt idx="917">
                  <c:v>43390</c:v>
                </c:pt>
                <c:pt idx="918">
                  <c:v>43391</c:v>
                </c:pt>
                <c:pt idx="919">
                  <c:v>43392</c:v>
                </c:pt>
                <c:pt idx="920">
                  <c:v>43395</c:v>
                </c:pt>
                <c:pt idx="921">
                  <c:v>43396</c:v>
                </c:pt>
                <c:pt idx="922">
                  <c:v>43397</c:v>
                </c:pt>
                <c:pt idx="923">
                  <c:v>43398</c:v>
                </c:pt>
                <c:pt idx="924">
                  <c:v>43399</c:v>
                </c:pt>
                <c:pt idx="925">
                  <c:v>43402</c:v>
                </c:pt>
                <c:pt idx="926">
                  <c:v>43403</c:v>
                </c:pt>
                <c:pt idx="927">
                  <c:v>43404</c:v>
                </c:pt>
                <c:pt idx="928">
                  <c:v>43405</c:v>
                </c:pt>
                <c:pt idx="929">
                  <c:v>43406</c:v>
                </c:pt>
                <c:pt idx="930">
                  <c:v>43409</c:v>
                </c:pt>
                <c:pt idx="931">
                  <c:v>43410</c:v>
                </c:pt>
                <c:pt idx="932">
                  <c:v>43411</c:v>
                </c:pt>
                <c:pt idx="933">
                  <c:v>43412</c:v>
                </c:pt>
                <c:pt idx="934">
                  <c:v>43413</c:v>
                </c:pt>
                <c:pt idx="935">
                  <c:v>43416</c:v>
                </c:pt>
                <c:pt idx="936">
                  <c:v>43417</c:v>
                </c:pt>
                <c:pt idx="937">
                  <c:v>43418</c:v>
                </c:pt>
                <c:pt idx="938">
                  <c:v>43419</c:v>
                </c:pt>
                <c:pt idx="939">
                  <c:v>43420</c:v>
                </c:pt>
                <c:pt idx="940">
                  <c:v>43423</c:v>
                </c:pt>
                <c:pt idx="941">
                  <c:v>43424</c:v>
                </c:pt>
                <c:pt idx="942">
                  <c:v>43425</c:v>
                </c:pt>
                <c:pt idx="943">
                  <c:v>43427</c:v>
                </c:pt>
                <c:pt idx="944">
                  <c:v>43430</c:v>
                </c:pt>
                <c:pt idx="945">
                  <c:v>43431</c:v>
                </c:pt>
                <c:pt idx="946">
                  <c:v>43432</c:v>
                </c:pt>
                <c:pt idx="947">
                  <c:v>43433</c:v>
                </c:pt>
                <c:pt idx="948">
                  <c:v>43434</c:v>
                </c:pt>
                <c:pt idx="949">
                  <c:v>43437</c:v>
                </c:pt>
                <c:pt idx="950">
                  <c:v>43438</c:v>
                </c:pt>
                <c:pt idx="951">
                  <c:v>43440</c:v>
                </c:pt>
                <c:pt idx="952">
                  <c:v>43441</c:v>
                </c:pt>
                <c:pt idx="953">
                  <c:v>43444</c:v>
                </c:pt>
                <c:pt idx="954">
                  <c:v>43445</c:v>
                </c:pt>
                <c:pt idx="955">
                  <c:v>43446</c:v>
                </c:pt>
                <c:pt idx="956">
                  <c:v>43447</c:v>
                </c:pt>
                <c:pt idx="957">
                  <c:v>43448</c:v>
                </c:pt>
                <c:pt idx="958">
                  <c:v>43451</c:v>
                </c:pt>
                <c:pt idx="959">
                  <c:v>43452</c:v>
                </c:pt>
                <c:pt idx="960">
                  <c:v>43453</c:v>
                </c:pt>
                <c:pt idx="961">
                  <c:v>43454</c:v>
                </c:pt>
                <c:pt idx="962">
                  <c:v>43455</c:v>
                </c:pt>
                <c:pt idx="963">
                  <c:v>43458</c:v>
                </c:pt>
                <c:pt idx="964">
                  <c:v>43460</c:v>
                </c:pt>
                <c:pt idx="965">
                  <c:v>43461</c:v>
                </c:pt>
                <c:pt idx="966">
                  <c:v>43462</c:v>
                </c:pt>
                <c:pt idx="967">
                  <c:v>43465</c:v>
                </c:pt>
                <c:pt idx="968">
                  <c:v>43467</c:v>
                </c:pt>
                <c:pt idx="969">
                  <c:v>43468</c:v>
                </c:pt>
                <c:pt idx="970">
                  <c:v>43469</c:v>
                </c:pt>
                <c:pt idx="971">
                  <c:v>43472</c:v>
                </c:pt>
                <c:pt idx="972">
                  <c:v>43473</c:v>
                </c:pt>
                <c:pt idx="973">
                  <c:v>43474</c:v>
                </c:pt>
                <c:pt idx="974">
                  <c:v>43475</c:v>
                </c:pt>
                <c:pt idx="975">
                  <c:v>43476</c:v>
                </c:pt>
                <c:pt idx="976">
                  <c:v>43479</c:v>
                </c:pt>
                <c:pt idx="977">
                  <c:v>43480</c:v>
                </c:pt>
                <c:pt idx="978">
                  <c:v>43481</c:v>
                </c:pt>
                <c:pt idx="979">
                  <c:v>43482</c:v>
                </c:pt>
                <c:pt idx="980">
                  <c:v>43483</c:v>
                </c:pt>
                <c:pt idx="981">
                  <c:v>43487</c:v>
                </c:pt>
                <c:pt idx="982">
                  <c:v>43488</c:v>
                </c:pt>
                <c:pt idx="983">
                  <c:v>43489</c:v>
                </c:pt>
                <c:pt idx="984">
                  <c:v>43490</c:v>
                </c:pt>
                <c:pt idx="985">
                  <c:v>43493</c:v>
                </c:pt>
                <c:pt idx="986">
                  <c:v>43494</c:v>
                </c:pt>
                <c:pt idx="987">
                  <c:v>43495</c:v>
                </c:pt>
                <c:pt idx="988">
                  <c:v>43496</c:v>
                </c:pt>
                <c:pt idx="989">
                  <c:v>43497</c:v>
                </c:pt>
                <c:pt idx="990">
                  <c:v>43500</c:v>
                </c:pt>
                <c:pt idx="991">
                  <c:v>43501</c:v>
                </c:pt>
                <c:pt idx="992">
                  <c:v>43502</c:v>
                </c:pt>
                <c:pt idx="993">
                  <c:v>43503</c:v>
                </c:pt>
                <c:pt idx="994">
                  <c:v>43504</c:v>
                </c:pt>
                <c:pt idx="995">
                  <c:v>43507</c:v>
                </c:pt>
                <c:pt idx="996">
                  <c:v>43508</c:v>
                </c:pt>
                <c:pt idx="997">
                  <c:v>43509</c:v>
                </c:pt>
                <c:pt idx="998">
                  <c:v>43510</c:v>
                </c:pt>
                <c:pt idx="999">
                  <c:v>43511</c:v>
                </c:pt>
                <c:pt idx="1000">
                  <c:v>43515</c:v>
                </c:pt>
                <c:pt idx="1001">
                  <c:v>43516</c:v>
                </c:pt>
                <c:pt idx="1002">
                  <c:v>43517</c:v>
                </c:pt>
                <c:pt idx="1003">
                  <c:v>43518</c:v>
                </c:pt>
                <c:pt idx="1004">
                  <c:v>43521</c:v>
                </c:pt>
                <c:pt idx="1005">
                  <c:v>43522</c:v>
                </c:pt>
                <c:pt idx="1006">
                  <c:v>43523</c:v>
                </c:pt>
                <c:pt idx="1007">
                  <c:v>43524</c:v>
                </c:pt>
                <c:pt idx="1008">
                  <c:v>43525</c:v>
                </c:pt>
                <c:pt idx="1009">
                  <c:v>43528</c:v>
                </c:pt>
                <c:pt idx="1010">
                  <c:v>43529</c:v>
                </c:pt>
                <c:pt idx="1011">
                  <c:v>43530</c:v>
                </c:pt>
                <c:pt idx="1012">
                  <c:v>43531</c:v>
                </c:pt>
                <c:pt idx="1013">
                  <c:v>43532</c:v>
                </c:pt>
                <c:pt idx="1014">
                  <c:v>43535</c:v>
                </c:pt>
                <c:pt idx="1015">
                  <c:v>43536</c:v>
                </c:pt>
                <c:pt idx="1016">
                  <c:v>43537</c:v>
                </c:pt>
                <c:pt idx="1017">
                  <c:v>43538</c:v>
                </c:pt>
                <c:pt idx="1018">
                  <c:v>43539</c:v>
                </c:pt>
                <c:pt idx="1019">
                  <c:v>43542</c:v>
                </c:pt>
                <c:pt idx="1020">
                  <c:v>43543</c:v>
                </c:pt>
                <c:pt idx="1021">
                  <c:v>43544</c:v>
                </c:pt>
                <c:pt idx="1022">
                  <c:v>43545</c:v>
                </c:pt>
                <c:pt idx="1023">
                  <c:v>43546</c:v>
                </c:pt>
                <c:pt idx="1024">
                  <c:v>43549</c:v>
                </c:pt>
                <c:pt idx="1025">
                  <c:v>43550</c:v>
                </c:pt>
                <c:pt idx="1026">
                  <c:v>43551</c:v>
                </c:pt>
                <c:pt idx="1027">
                  <c:v>43552</c:v>
                </c:pt>
                <c:pt idx="1028">
                  <c:v>43553</c:v>
                </c:pt>
                <c:pt idx="1029">
                  <c:v>43556</c:v>
                </c:pt>
                <c:pt idx="1030">
                  <c:v>43557</c:v>
                </c:pt>
                <c:pt idx="1031">
                  <c:v>43558</c:v>
                </c:pt>
                <c:pt idx="1032">
                  <c:v>43559</c:v>
                </c:pt>
                <c:pt idx="1033">
                  <c:v>43560</c:v>
                </c:pt>
                <c:pt idx="1034">
                  <c:v>43563</c:v>
                </c:pt>
                <c:pt idx="1035">
                  <c:v>43564</c:v>
                </c:pt>
                <c:pt idx="1036">
                  <c:v>43565</c:v>
                </c:pt>
                <c:pt idx="1037">
                  <c:v>43566</c:v>
                </c:pt>
                <c:pt idx="1038">
                  <c:v>43567</c:v>
                </c:pt>
                <c:pt idx="1039">
                  <c:v>43570</c:v>
                </c:pt>
                <c:pt idx="1040">
                  <c:v>43571</c:v>
                </c:pt>
                <c:pt idx="1041">
                  <c:v>43572</c:v>
                </c:pt>
                <c:pt idx="1042">
                  <c:v>43573</c:v>
                </c:pt>
                <c:pt idx="1043">
                  <c:v>43577</c:v>
                </c:pt>
                <c:pt idx="1044">
                  <c:v>43578</c:v>
                </c:pt>
                <c:pt idx="1045">
                  <c:v>43579</c:v>
                </c:pt>
                <c:pt idx="1046">
                  <c:v>43580</c:v>
                </c:pt>
                <c:pt idx="1047">
                  <c:v>43581</c:v>
                </c:pt>
                <c:pt idx="1048">
                  <c:v>43584</c:v>
                </c:pt>
                <c:pt idx="1049">
                  <c:v>43585</c:v>
                </c:pt>
                <c:pt idx="1050">
                  <c:v>43586</c:v>
                </c:pt>
                <c:pt idx="1051">
                  <c:v>43587</c:v>
                </c:pt>
                <c:pt idx="1052">
                  <c:v>43588</c:v>
                </c:pt>
                <c:pt idx="1053">
                  <c:v>43591</c:v>
                </c:pt>
                <c:pt idx="1054">
                  <c:v>43592</c:v>
                </c:pt>
                <c:pt idx="1055">
                  <c:v>43593</c:v>
                </c:pt>
                <c:pt idx="1056">
                  <c:v>43594</c:v>
                </c:pt>
                <c:pt idx="1057">
                  <c:v>43595</c:v>
                </c:pt>
                <c:pt idx="1058">
                  <c:v>43598</c:v>
                </c:pt>
                <c:pt idx="1059">
                  <c:v>43599</c:v>
                </c:pt>
                <c:pt idx="1060">
                  <c:v>43600</c:v>
                </c:pt>
                <c:pt idx="1061">
                  <c:v>43601</c:v>
                </c:pt>
                <c:pt idx="1062">
                  <c:v>43602</c:v>
                </c:pt>
                <c:pt idx="1063">
                  <c:v>43605</c:v>
                </c:pt>
                <c:pt idx="1064">
                  <c:v>43606</c:v>
                </c:pt>
                <c:pt idx="1065">
                  <c:v>43607</c:v>
                </c:pt>
                <c:pt idx="1066">
                  <c:v>43608</c:v>
                </c:pt>
                <c:pt idx="1067">
                  <c:v>43609</c:v>
                </c:pt>
                <c:pt idx="1068">
                  <c:v>43613</c:v>
                </c:pt>
                <c:pt idx="1069">
                  <c:v>43614</c:v>
                </c:pt>
                <c:pt idx="1070">
                  <c:v>43615</c:v>
                </c:pt>
                <c:pt idx="1071">
                  <c:v>43616</c:v>
                </c:pt>
                <c:pt idx="1072">
                  <c:v>43619</c:v>
                </c:pt>
                <c:pt idx="1073">
                  <c:v>43620</c:v>
                </c:pt>
                <c:pt idx="1074">
                  <c:v>43621</c:v>
                </c:pt>
                <c:pt idx="1075">
                  <c:v>43622</c:v>
                </c:pt>
                <c:pt idx="1076">
                  <c:v>43623</c:v>
                </c:pt>
                <c:pt idx="1077">
                  <c:v>43626</c:v>
                </c:pt>
                <c:pt idx="1078">
                  <c:v>43627</c:v>
                </c:pt>
                <c:pt idx="1079">
                  <c:v>43628</c:v>
                </c:pt>
                <c:pt idx="1080">
                  <c:v>43629</c:v>
                </c:pt>
                <c:pt idx="1081">
                  <c:v>43630</c:v>
                </c:pt>
                <c:pt idx="1082">
                  <c:v>43633</c:v>
                </c:pt>
                <c:pt idx="1083">
                  <c:v>43634</c:v>
                </c:pt>
                <c:pt idx="1084">
                  <c:v>43635</c:v>
                </c:pt>
                <c:pt idx="1085">
                  <c:v>43636</c:v>
                </c:pt>
                <c:pt idx="1086">
                  <c:v>43637</c:v>
                </c:pt>
                <c:pt idx="1087">
                  <c:v>43640</c:v>
                </c:pt>
                <c:pt idx="1088">
                  <c:v>43641</c:v>
                </c:pt>
                <c:pt idx="1089">
                  <c:v>43642</c:v>
                </c:pt>
                <c:pt idx="1090">
                  <c:v>43643</c:v>
                </c:pt>
                <c:pt idx="1091">
                  <c:v>43644</c:v>
                </c:pt>
                <c:pt idx="1092">
                  <c:v>43647</c:v>
                </c:pt>
                <c:pt idx="1093">
                  <c:v>43648</c:v>
                </c:pt>
                <c:pt idx="1094">
                  <c:v>43649</c:v>
                </c:pt>
                <c:pt idx="1095">
                  <c:v>43651</c:v>
                </c:pt>
                <c:pt idx="1096">
                  <c:v>43654</c:v>
                </c:pt>
                <c:pt idx="1097">
                  <c:v>43655</c:v>
                </c:pt>
                <c:pt idx="1098">
                  <c:v>43656</c:v>
                </c:pt>
                <c:pt idx="1099">
                  <c:v>43657</c:v>
                </c:pt>
                <c:pt idx="1100">
                  <c:v>43658</c:v>
                </c:pt>
                <c:pt idx="1101">
                  <c:v>43661</c:v>
                </c:pt>
                <c:pt idx="1102">
                  <c:v>43662</c:v>
                </c:pt>
                <c:pt idx="1103">
                  <c:v>43663</c:v>
                </c:pt>
                <c:pt idx="1104">
                  <c:v>43664</c:v>
                </c:pt>
                <c:pt idx="1105">
                  <c:v>43665</c:v>
                </c:pt>
                <c:pt idx="1106">
                  <c:v>43668</c:v>
                </c:pt>
                <c:pt idx="1107">
                  <c:v>43669</c:v>
                </c:pt>
                <c:pt idx="1108">
                  <c:v>43670</c:v>
                </c:pt>
                <c:pt idx="1109">
                  <c:v>43671</c:v>
                </c:pt>
                <c:pt idx="1110">
                  <c:v>43672</c:v>
                </c:pt>
                <c:pt idx="1111">
                  <c:v>43675</c:v>
                </c:pt>
                <c:pt idx="1112">
                  <c:v>43676</c:v>
                </c:pt>
                <c:pt idx="1113">
                  <c:v>43677</c:v>
                </c:pt>
                <c:pt idx="1114">
                  <c:v>43678</c:v>
                </c:pt>
                <c:pt idx="1115">
                  <c:v>43679</c:v>
                </c:pt>
                <c:pt idx="1116">
                  <c:v>43682</c:v>
                </c:pt>
                <c:pt idx="1117">
                  <c:v>43683</c:v>
                </c:pt>
                <c:pt idx="1118">
                  <c:v>43684</c:v>
                </c:pt>
                <c:pt idx="1119">
                  <c:v>43685</c:v>
                </c:pt>
                <c:pt idx="1120">
                  <c:v>43686</c:v>
                </c:pt>
                <c:pt idx="1121">
                  <c:v>43689</c:v>
                </c:pt>
                <c:pt idx="1122">
                  <c:v>43690</c:v>
                </c:pt>
                <c:pt idx="1123">
                  <c:v>43691</c:v>
                </c:pt>
                <c:pt idx="1124">
                  <c:v>43692</c:v>
                </c:pt>
                <c:pt idx="1125">
                  <c:v>43693</c:v>
                </c:pt>
                <c:pt idx="1126">
                  <c:v>43696</c:v>
                </c:pt>
                <c:pt idx="1127">
                  <c:v>43697</c:v>
                </c:pt>
                <c:pt idx="1128">
                  <c:v>43698</c:v>
                </c:pt>
                <c:pt idx="1129">
                  <c:v>43699</c:v>
                </c:pt>
                <c:pt idx="1130">
                  <c:v>43700</c:v>
                </c:pt>
                <c:pt idx="1131">
                  <c:v>43703</c:v>
                </c:pt>
                <c:pt idx="1132">
                  <c:v>43704</c:v>
                </c:pt>
                <c:pt idx="1133">
                  <c:v>43705</c:v>
                </c:pt>
                <c:pt idx="1134">
                  <c:v>43706</c:v>
                </c:pt>
                <c:pt idx="1135">
                  <c:v>43707</c:v>
                </c:pt>
                <c:pt idx="1136">
                  <c:v>43711</c:v>
                </c:pt>
                <c:pt idx="1137">
                  <c:v>43712</c:v>
                </c:pt>
                <c:pt idx="1138">
                  <c:v>43713</c:v>
                </c:pt>
                <c:pt idx="1139">
                  <c:v>43714</c:v>
                </c:pt>
                <c:pt idx="1140">
                  <c:v>43717</c:v>
                </c:pt>
                <c:pt idx="1141">
                  <c:v>43718</c:v>
                </c:pt>
                <c:pt idx="1142">
                  <c:v>43719</c:v>
                </c:pt>
                <c:pt idx="1143">
                  <c:v>43720</c:v>
                </c:pt>
                <c:pt idx="1144">
                  <c:v>43721</c:v>
                </c:pt>
                <c:pt idx="1145">
                  <c:v>43724</c:v>
                </c:pt>
                <c:pt idx="1146">
                  <c:v>43725</c:v>
                </c:pt>
                <c:pt idx="1147">
                  <c:v>43726</c:v>
                </c:pt>
                <c:pt idx="1148">
                  <c:v>43727</c:v>
                </c:pt>
                <c:pt idx="1149">
                  <c:v>43728</c:v>
                </c:pt>
                <c:pt idx="1150">
                  <c:v>43731</c:v>
                </c:pt>
                <c:pt idx="1151">
                  <c:v>43732</c:v>
                </c:pt>
                <c:pt idx="1152">
                  <c:v>43733</c:v>
                </c:pt>
                <c:pt idx="1153">
                  <c:v>43734</c:v>
                </c:pt>
                <c:pt idx="1154">
                  <c:v>43735</c:v>
                </c:pt>
                <c:pt idx="1155">
                  <c:v>43738</c:v>
                </c:pt>
                <c:pt idx="1156">
                  <c:v>43739</c:v>
                </c:pt>
                <c:pt idx="1157">
                  <c:v>43740</c:v>
                </c:pt>
                <c:pt idx="1158">
                  <c:v>43741</c:v>
                </c:pt>
                <c:pt idx="1159">
                  <c:v>43742</c:v>
                </c:pt>
                <c:pt idx="1160">
                  <c:v>43745</c:v>
                </c:pt>
                <c:pt idx="1161">
                  <c:v>43746</c:v>
                </c:pt>
                <c:pt idx="1162">
                  <c:v>43747</c:v>
                </c:pt>
                <c:pt idx="1163">
                  <c:v>43748</c:v>
                </c:pt>
                <c:pt idx="1164">
                  <c:v>43749</c:v>
                </c:pt>
                <c:pt idx="1165">
                  <c:v>43752</c:v>
                </c:pt>
                <c:pt idx="1166">
                  <c:v>43753</c:v>
                </c:pt>
                <c:pt idx="1167">
                  <c:v>43754</c:v>
                </c:pt>
                <c:pt idx="1168">
                  <c:v>43755</c:v>
                </c:pt>
                <c:pt idx="1169">
                  <c:v>43756</c:v>
                </c:pt>
                <c:pt idx="1170">
                  <c:v>43759</c:v>
                </c:pt>
                <c:pt idx="1171">
                  <c:v>43760</c:v>
                </c:pt>
                <c:pt idx="1172">
                  <c:v>43761</c:v>
                </c:pt>
                <c:pt idx="1173">
                  <c:v>43762</c:v>
                </c:pt>
                <c:pt idx="1174">
                  <c:v>43763</c:v>
                </c:pt>
                <c:pt idx="1175">
                  <c:v>43766</c:v>
                </c:pt>
                <c:pt idx="1176">
                  <c:v>43767</c:v>
                </c:pt>
                <c:pt idx="1177">
                  <c:v>43768</c:v>
                </c:pt>
                <c:pt idx="1178">
                  <c:v>43769</c:v>
                </c:pt>
                <c:pt idx="1179">
                  <c:v>43770</c:v>
                </c:pt>
                <c:pt idx="1180">
                  <c:v>43773</c:v>
                </c:pt>
                <c:pt idx="1181">
                  <c:v>43774</c:v>
                </c:pt>
                <c:pt idx="1182">
                  <c:v>43775</c:v>
                </c:pt>
                <c:pt idx="1183">
                  <c:v>43776</c:v>
                </c:pt>
                <c:pt idx="1184">
                  <c:v>43777</c:v>
                </c:pt>
                <c:pt idx="1185">
                  <c:v>43780</c:v>
                </c:pt>
                <c:pt idx="1186">
                  <c:v>43781</c:v>
                </c:pt>
                <c:pt idx="1187">
                  <c:v>43782</c:v>
                </c:pt>
                <c:pt idx="1188">
                  <c:v>43783</c:v>
                </c:pt>
                <c:pt idx="1189">
                  <c:v>43784</c:v>
                </c:pt>
                <c:pt idx="1190">
                  <c:v>43787</c:v>
                </c:pt>
                <c:pt idx="1191">
                  <c:v>43788</c:v>
                </c:pt>
                <c:pt idx="1192">
                  <c:v>43789</c:v>
                </c:pt>
                <c:pt idx="1193">
                  <c:v>43790</c:v>
                </c:pt>
                <c:pt idx="1194">
                  <c:v>43791</c:v>
                </c:pt>
                <c:pt idx="1195">
                  <c:v>43794</c:v>
                </c:pt>
                <c:pt idx="1196">
                  <c:v>43795</c:v>
                </c:pt>
                <c:pt idx="1197">
                  <c:v>43796</c:v>
                </c:pt>
                <c:pt idx="1198">
                  <c:v>43798</c:v>
                </c:pt>
                <c:pt idx="1199">
                  <c:v>43801</c:v>
                </c:pt>
                <c:pt idx="1200">
                  <c:v>43802</c:v>
                </c:pt>
                <c:pt idx="1201">
                  <c:v>43803</c:v>
                </c:pt>
                <c:pt idx="1202">
                  <c:v>43804</c:v>
                </c:pt>
                <c:pt idx="1203">
                  <c:v>43805</c:v>
                </c:pt>
                <c:pt idx="1204">
                  <c:v>43808</c:v>
                </c:pt>
                <c:pt idx="1205">
                  <c:v>43809</c:v>
                </c:pt>
                <c:pt idx="1206">
                  <c:v>43810</c:v>
                </c:pt>
                <c:pt idx="1207">
                  <c:v>43811</c:v>
                </c:pt>
                <c:pt idx="1208">
                  <c:v>43812</c:v>
                </c:pt>
                <c:pt idx="1209">
                  <c:v>43815</c:v>
                </c:pt>
                <c:pt idx="1210">
                  <c:v>43816</c:v>
                </c:pt>
                <c:pt idx="1211">
                  <c:v>43817</c:v>
                </c:pt>
                <c:pt idx="1212">
                  <c:v>43818</c:v>
                </c:pt>
                <c:pt idx="1213">
                  <c:v>43819</c:v>
                </c:pt>
                <c:pt idx="1214">
                  <c:v>43822</c:v>
                </c:pt>
                <c:pt idx="1215">
                  <c:v>43823</c:v>
                </c:pt>
                <c:pt idx="1216">
                  <c:v>43825</c:v>
                </c:pt>
                <c:pt idx="1217">
                  <c:v>43826</c:v>
                </c:pt>
                <c:pt idx="1218">
                  <c:v>43829</c:v>
                </c:pt>
                <c:pt idx="1219">
                  <c:v>43830</c:v>
                </c:pt>
                <c:pt idx="1220">
                  <c:v>43832</c:v>
                </c:pt>
                <c:pt idx="1221">
                  <c:v>43833</c:v>
                </c:pt>
                <c:pt idx="1222">
                  <c:v>43836</c:v>
                </c:pt>
                <c:pt idx="1223">
                  <c:v>43837</c:v>
                </c:pt>
                <c:pt idx="1224">
                  <c:v>43838</c:v>
                </c:pt>
                <c:pt idx="1225">
                  <c:v>43839</c:v>
                </c:pt>
                <c:pt idx="1226">
                  <c:v>43840</c:v>
                </c:pt>
                <c:pt idx="1227">
                  <c:v>43843</c:v>
                </c:pt>
                <c:pt idx="1228">
                  <c:v>43844</c:v>
                </c:pt>
                <c:pt idx="1229">
                  <c:v>43845</c:v>
                </c:pt>
                <c:pt idx="1230">
                  <c:v>43846</c:v>
                </c:pt>
                <c:pt idx="1231">
                  <c:v>43847</c:v>
                </c:pt>
                <c:pt idx="1232">
                  <c:v>43851</c:v>
                </c:pt>
                <c:pt idx="1233">
                  <c:v>43852</c:v>
                </c:pt>
                <c:pt idx="1234">
                  <c:v>43853</c:v>
                </c:pt>
                <c:pt idx="1235">
                  <c:v>43854</c:v>
                </c:pt>
                <c:pt idx="1236">
                  <c:v>43857</c:v>
                </c:pt>
                <c:pt idx="1237">
                  <c:v>43858</c:v>
                </c:pt>
                <c:pt idx="1238">
                  <c:v>43859</c:v>
                </c:pt>
                <c:pt idx="1239">
                  <c:v>43860</c:v>
                </c:pt>
                <c:pt idx="1240">
                  <c:v>43861</c:v>
                </c:pt>
                <c:pt idx="1241">
                  <c:v>43864</c:v>
                </c:pt>
                <c:pt idx="1242">
                  <c:v>43865</c:v>
                </c:pt>
                <c:pt idx="1243">
                  <c:v>43866</c:v>
                </c:pt>
                <c:pt idx="1244">
                  <c:v>43867</c:v>
                </c:pt>
                <c:pt idx="1245">
                  <c:v>43868</c:v>
                </c:pt>
                <c:pt idx="1246">
                  <c:v>43871</c:v>
                </c:pt>
                <c:pt idx="1247">
                  <c:v>43872</c:v>
                </c:pt>
                <c:pt idx="1248">
                  <c:v>43873</c:v>
                </c:pt>
                <c:pt idx="1249">
                  <c:v>43874</c:v>
                </c:pt>
                <c:pt idx="1250">
                  <c:v>43875</c:v>
                </c:pt>
                <c:pt idx="1251">
                  <c:v>43879</c:v>
                </c:pt>
                <c:pt idx="1252">
                  <c:v>43880</c:v>
                </c:pt>
                <c:pt idx="1253">
                  <c:v>43881</c:v>
                </c:pt>
                <c:pt idx="1254">
                  <c:v>43882</c:v>
                </c:pt>
                <c:pt idx="1255">
                  <c:v>43885</c:v>
                </c:pt>
                <c:pt idx="1256">
                  <c:v>43886</c:v>
                </c:pt>
                <c:pt idx="1257">
                  <c:v>43887</c:v>
                </c:pt>
                <c:pt idx="1258">
                  <c:v>43888</c:v>
                </c:pt>
                <c:pt idx="1259">
                  <c:v>43889</c:v>
                </c:pt>
                <c:pt idx="1260">
                  <c:v>43892</c:v>
                </c:pt>
                <c:pt idx="1261">
                  <c:v>43893</c:v>
                </c:pt>
                <c:pt idx="1262">
                  <c:v>43894</c:v>
                </c:pt>
                <c:pt idx="1263">
                  <c:v>43895</c:v>
                </c:pt>
                <c:pt idx="1264">
                  <c:v>43896</c:v>
                </c:pt>
                <c:pt idx="1265">
                  <c:v>43899</c:v>
                </c:pt>
                <c:pt idx="1266">
                  <c:v>43900</c:v>
                </c:pt>
                <c:pt idx="1267">
                  <c:v>43901</c:v>
                </c:pt>
                <c:pt idx="1268">
                  <c:v>43902</c:v>
                </c:pt>
                <c:pt idx="1269">
                  <c:v>43903</c:v>
                </c:pt>
                <c:pt idx="1270">
                  <c:v>43906</c:v>
                </c:pt>
                <c:pt idx="1271">
                  <c:v>43907</c:v>
                </c:pt>
                <c:pt idx="1272">
                  <c:v>43908</c:v>
                </c:pt>
                <c:pt idx="1273">
                  <c:v>43909</c:v>
                </c:pt>
                <c:pt idx="1274">
                  <c:v>43910</c:v>
                </c:pt>
                <c:pt idx="1275">
                  <c:v>43913</c:v>
                </c:pt>
                <c:pt idx="1276">
                  <c:v>43914</c:v>
                </c:pt>
                <c:pt idx="1277">
                  <c:v>43915</c:v>
                </c:pt>
                <c:pt idx="1278">
                  <c:v>43916</c:v>
                </c:pt>
                <c:pt idx="1279">
                  <c:v>43917</c:v>
                </c:pt>
                <c:pt idx="1280">
                  <c:v>43920</c:v>
                </c:pt>
                <c:pt idx="1281">
                  <c:v>43921</c:v>
                </c:pt>
                <c:pt idx="1282">
                  <c:v>43922</c:v>
                </c:pt>
                <c:pt idx="1283">
                  <c:v>43923</c:v>
                </c:pt>
                <c:pt idx="1284">
                  <c:v>43924</c:v>
                </c:pt>
                <c:pt idx="1285">
                  <c:v>43927</c:v>
                </c:pt>
                <c:pt idx="1286">
                  <c:v>43928</c:v>
                </c:pt>
                <c:pt idx="1287">
                  <c:v>43929</c:v>
                </c:pt>
                <c:pt idx="1288">
                  <c:v>43930</c:v>
                </c:pt>
                <c:pt idx="1289">
                  <c:v>43934</c:v>
                </c:pt>
                <c:pt idx="1290">
                  <c:v>43935</c:v>
                </c:pt>
                <c:pt idx="1291">
                  <c:v>43936</c:v>
                </c:pt>
                <c:pt idx="1292">
                  <c:v>43937</c:v>
                </c:pt>
                <c:pt idx="1293">
                  <c:v>43938</c:v>
                </c:pt>
                <c:pt idx="1294">
                  <c:v>43941</c:v>
                </c:pt>
                <c:pt idx="1295">
                  <c:v>43942</c:v>
                </c:pt>
                <c:pt idx="1296">
                  <c:v>43943</c:v>
                </c:pt>
                <c:pt idx="1297">
                  <c:v>43944</c:v>
                </c:pt>
                <c:pt idx="1298">
                  <c:v>43945</c:v>
                </c:pt>
                <c:pt idx="1299">
                  <c:v>43948</c:v>
                </c:pt>
                <c:pt idx="1300">
                  <c:v>43949</c:v>
                </c:pt>
                <c:pt idx="1301">
                  <c:v>43950</c:v>
                </c:pt>
                <c:pt idx="1302">
                  <c:v>43951</c:v>
                </c:pt>
                <c:pt idx="1303">
                  <c:v>43952</c:v>
                </c:pt>
                <c:pt idx="1304">
                  <c:v>43955</c:v>
                </c:pt>
                <c:pt idx="1305">
                  <c:v>43956</c:v>
                </c:pt>
                <c:pt idx="1306">
                  <c:v>43957</c:v>
                </c:pt>
                <c:pt idx="1307">
                  <c:v>43958</c:v>
                </c:pt>
                <c:pt idx="1308">
                  <c:v>43959</c:v>
                </c:pt>
                <c:pt idx="1309">
                  <c:v>43962</c:v>
                </c:pt>
                <c:pt idx="1310">
                  <c:v>43963</c:v>
                </c:pt>
                <c:pt idx="1311">
                  <c:v>43964</c:v>
                </c:pt>
                <c:pt idx="1312">
                  <c:v>43965</c:v>
                </c:pt>
                <c:pt idx="1313">
                  <c:v>43966</c:v>
                </c:pt>
                <c:pt idx="1314">
                  <c:v>43969</c:v>
                </c:pt>
                <c:pt idx="1315">
                  <c:v>43970</c:v>
                </c:pt>
                <c:pt idx="1316">
                  <c:v>43971</c:v>
                </c:pt>
                <c:pt idx="1317">
                  <c:v>43972</c:v>
                </c:pt>
                <c:pt idx="1318">
                  <c:v>43973</c:v>
                </c:pt>
                <c:pt idx="1319">
                  <c:v>43977</c:v>
                </c:pt>
                <c:pt idx="1320">
                  <c:v>43978</c:v>
                </c:pt>
                <c:pt idx="1321">
                  <c:v>43979</c:v>
                </c:pt>
                <c:pt idx="1322">
                  <c:v>43980</c:v>
                </c:pt>
                <c:pt idx="1323">
                  <c:v>43983</c:v>
                </c:pt>
                <c:pt idx="1324">
                  <c:v>43984</c:v>
                </c:pt>
                <c:pt idx="1325">
                  <c:v>43985</c:v>
                </c:pt>
                <c:pt idx="1326">
                  <c:v>43986</c:v>
                </c:pt>
                <c:pt idx="1327">
                  <c:v>43987</c:v>
                </c:pt>
                <c:pt idx="1328">
                  <c:v>43990</c:v>
                </c:pt>
                <c:pt idx="1329">
                  <c:v>43991</c:v>
                </c:pt>
                <c:pt idx="1330">
                  <c:v>43992</c:v>
                </c:pt>
                <c:pt idx="1331">
                  <c:v>43993</c:v>
                </c:pt>
                <c:pt idx="1332">
                  <c:v>43994</c:v>
                </c:pt>
                <c:pt idx="1333">
                  <c:v>43997</c:v>
                </c:pt>
                <c:pt idx="1334">
                  <c:v>43998</c:v>
                </c:pt>
                <c:pt idx="1335">
                  <c:v>43999</c:v>
                </c:pt>
                <c:pt idx="1336">
                  <c:v>44000</c:v>
                </c:pt>
                <c:pt idx="1337">
                  <c:v>44001</c:v>
                </c:pt>
                <c:pt idx="1338">
                  <c:v>44004</c:v>
                </c:pt>
                <c:pt idx="1339">
                  <c:v>44005</c:v>
                </c:pt>
                <c:pt idx="1340">
                  <c:v>44006</c:v>
                </c:pt>
                <c:pt idx="1341">
                  <c:v>44007</c:v>
                </c:pt>
                <c:pt idx="1342">
                  <c:v>44008</c:v>
                </c:pt>
                <c:pt idx="1343">
                  <c:v>44011</c:v>
                </c:pt>
                <c:pt idx="1344">
                  <c:v>44012</c:v>
                </c:pt>
                <c:pt idx="1345">
                  <c:v>44013</c:v>
                </c:pt>
                <c:pt idx="1346">
                  <c:v>44014</c:v>
                </c:pt>
                <c:pt idx="1347">
                  <c:v>44018</c:v>
                </c:pt>
                <c:pt idx="1348">
                  <c:v>44019</c:v>
                </c:pt>
                <c:pt idx="1349">
                  <c:v>44020</c:v>
                </c:pt>
                <c:pt idx="1350">
                  <c:v>44021</c:v>
                </c:pt>
                <c:pt idx="1351">
                  <c:v>44022</c:v>
                </c:pt>
                <c:pt idx="1352">
                  <c:v>44025</c:v>
                </c:pt>
                <c:pt idx="1353">
                  <c:v>44026</c:v>
                </c:pt>
                <c:pt idx="1354">
                  <c:v>44027</c:v>
                </c:pt>
                <c:pt idx="1355">
                  <c:v>44028</c:v>
                </c:pt>
                <c:pt idx="1356">
                  <c:v>44029</c:v>
                </c:pt>
                <c:pt idx="1357">
                  <c:v>44032</c:v>
                </c:pt>
                <c:pt idx="1358">
                  <c:v>44033</c:v>
                </c:pt>
                <c:pt idx="1359">
                  <c:v>44034</c:v>
                </c:pt>
                <c:pt idx="1360">
                  <c:v>44035</c:v>
                </c:pt>
                <c:pt idx="1361">
                  <c:v>44036</c:v>
                </c:pt>
                <c:pt idx="1362">
                  <c:v>44039</c:v>
                </c:pt>
                <c:pt idx="1363">
                  <c:v>44040</c:v>
                </c:pt>
                <c:pt idx="1364">
                  <c:v>44041</c:v>
                </c:pt>
                <c:pt idx="1365">
                  <c:v>44042</c:v>
                </c:pt>
                <c:pt idx="1366">
                  <c:v>44043</c:v>
                </c:pt>
                <c:pt idx="1367">
                  <c:v>44046</c:v>
                </c:pt>
                <c:pt idx="1368">
                  <c:v>44047</c:v>
                </c:pt>
                <c:pt idx="1369">
                  <c:v>44048</c:v>
                </c:pt>
                <c:pt idx="1370">
                  <c:v>44049</c:v>
                </c:pt>
                <c:pt idx="1371">
                  <c:v>44050</c:v>
                </c:pt>
                <c:pt idx="1372">
                  <c:v>44053</c:v>
                </c:pt>
                <c:pt idx="1373">
                  <c:v>44054</c:v>
                </c:pt>
                <c:pt idx="1374">
                  <c:v>44055</c:v>
                </c:pt>
                <c:pt idx="1375">
                  <c:v>44056</c:v>
                </c:pt>
                <c:pt idx="1376">
                  <c:v>44057</c:v>
                </c:pt>
                <c:pt idx="1377">
                  <c:v>44060</c:v>
                </c:pt>
                <c:pt idx="1378">
                  <c:v>44061</c:v>
                </c:pt>
                <c:pt idx="1379">
                  <c:v>44062</c:v>
                </c:pt>
                <c:pt idx="1380">
                  <c:v>44063</c:v>
                </c:pt>
                <c:pt idx="1381">
                  <c:v>44064</c:v>
                </c:pt>
                <c:pt idx="1382">
                  <c:v>44067</c:v>
                </c:pt>
                <c:pt idx="1383">
                  <c:v>44068</c:v>
                </c:pt>
                <c:pt idx="1384">
                  <c:v>44069</c:v>
                </c:pt>
                <c:pt idx="1385">
                  <c:v>44070</c:v>
                </c:pt>
                <c:pt idx="1386">
                  <c:v>44071</c:v>
                </c:pt>
                <c:pt idx="1387">
                  <c:v>44074</c:v>
                </c:pt>
                <c:pt idx="1388">
                  <c:v>44075</c:v>
                </c:pt>
                <c:pt idx="1389">
                  <c:v>44076</c:v>
                </c:pt>
                <c:pt idx="1390">
                  <c:v>44077</c:v>
                </c:pt>
                <c:pt idx="1391">
                  <c:v>44078</c:v>
                </c:pt>
                <c:pt idx="1392">
                  <c:v>44082</c:v>
                </c:pt>
                <c:pt idx="1393">
                  <c:v>44083</c:v>
                </c:pt>
                <c:pt idx="1394">
                  <c:v>44084</c:v>
                </c:pt>
                <c:pt idx="1395">
                  <c:v>44085</c:v>
                </c:pt>
                <c:pt idx="1396">
                  <c:v>44088</c:v>
                </c:pt>
                <c:pt idx="1397">
                  <c:v>44089</c:v>
                </c:pt>
                <c:pt idx="1398">
                  <c:v>44090</c:v>
                </c:pt>
                <c:pt idx="1399">
                  <c:v>44091</c:v>
                </c:pt>
                <c:pt idx="1400">
                  <c:v>44092</c:v>
                </c:pt>
                <c:pt idx="1401">
                  <c:v>44095</c:v>
                </c:pt>
                <c:pt idx="1402">
                  <c:v>44096</c:v>
                </c:pt>
                <c:pt idx="1403">
                  <c:v>44097</c:v>
                </c:pt>
                <c:pt idx="1404">
                  <c:v>44098</c:v>
                </c:pt>
                <c:pt idx="1405">
                  <c:v>44099</c:v>
                </c:pt>
                <c:pt idx="1406">
                  <c:v>44102</c:v>
                </c:pt>
                <c:pt idx="1407">
                  <c:v>44103</c:v>
                </c:pt>
                <c:pt idx="1408">
                  <c:v>44104</c:v>
                </c:pt>
                <c:pt idx="1409">
                  <c:v>44105</c:v>
                </c:pt>
                <c:pt idx="1410">
                  <c:v>44106</c:v>
                </c:pt>
                <c:pt idx="1411">
                  <c:v>44109</c:v>
                </c:pt>
                <c:pt idx="1412">
                  <c:v>44110</c:v>
                </c:pt>
                <c:pt idx="1413">
                  <c:v>44111</c:v>
                </c:pt>
                <c:pt idx="1414">
                  <c:v>44112</c:v>
                </c:pt>
                <c:pt idx="1415">
                  <c:v>44113</c:v>
                </c:pt>
                <c:pt idx="1416">
                  <c:v>44116</c:v>
                </c:pt>
                <c:pt idx="1417">
                  <c:v>44117</c:v>
                </c:pt>
                <c:pt idx="1418">
                  <c:v>44118</c:v>
                </c:pt>
                <c:pt idx="1419">
                  <c:v>44119</c:v>
                </c:pt>
                <c:pt idx="1420">
                  <c:v>44120</c:v>
                </c:pt>
                <c:pt idx="1421">
                  <c:v>44123</c:v>
                </c:pt>
                <c:pt idx="1422">
                  <c:v>44124</c:v>
                </c:pt>
                <c:pt idx="1423">
                  <c:v>44125</c:v>
                </c:pt>
                <c:pt idx="1424">
                  <c:v>44126</c:v>
                </c:pt>
                <c:pt idx="1425">
                  <c:v>44127</c:v>
                </c:pt>
                <c:pt idx="1426">
                  <c:v>44130</c:v>
                </c:pt>
                <c:pt idx="1427">
                  <c:v>44131</c:v>
                </c:pt>
                <c:pt idx="1428">
                  <c:v>44132</c:v>
                </c:pt>
                <c:pt idx="1429">
                  <c:v>44133</c:v>
                </c:pt>
                <c:pt idx="1430">
                  <c:v>44134</c:v>
                </c:pt>
                <c:pt idx="1431">
                  <c:v>44137</c:v>
                </c:pt>
                <c:pt idx="1432">
                  <c:v>44138</c:v>
                </c:pt>
                <c:pt idx="1433">
                  <c:v>44139</c:v>
                </c:pt>
                <c:pt idx="1434">
                  <c:v>44140</c:v>
                </c:pt>
                <c:pt idx="1435">
                  <c:v>44141</c:v>
                </c:pt>
                <c:pt idx="1436">
                  <c:v>44144</c:v>
                </c:pt>
                <c:pt idx="1437">
                  <c:v>44145</c:v>
                </c:pt>
                <c:pt idx="1438">
                  <c:v>44146</c:v>
                </c:pt>
                <c:pt idx="1439">
                  <c:v>44147</c:v>
                </c:pt>
                <c:pt idx="1440">
                  <c:v>44148</c:v>
                </c:pt>
                <c:pt idx="1441">
                  <c:v>44151</c:v>
                </c:pt>
                <c:pt idx="1442">
                  <c:v>44152</c:v>
                </c:pt>
                <c:pt idx="1443">
                  <c:v>44153</c:v>
                </c:pt>
                <c:pt idx="1444">
                  <c:v>44154</c:v>
                </c:pt>
                <c:pt idx="1445">
                  <c:v>44155</c:v>
                </c:pt>
                <c:pt idx="1446">
                  <c:v>44158</c:v>
                </c:pt>
                <c:pt idx="1447">
                  <c:v>44159</c:v>
                </c:pt>
                <c:pt idx="1448">
                  <c:v>44160</c:v>
                </c:pt>
                <c:pt idx="1449">
                  <c:v>44162</c:v>
                </c:pt>
                <c:pt idx="1450">
                  <c:v>44165</c:v>
                </c:pt>
                <c:pt idx="1451">
                  <c:v>44166</c:v>
                </c:pt>
                <c:pt idx="1452">
                  <c:v>44167</c:v>
                </c:pt>
                <c:pt idx="1453">
                  <c:v>44168</c:v>
                </c:pt>
                <c:pt idx="1454">
                  <c:v>44169</c:v>
                </c:pt>
                <c:pt idx="1455">
                  <c:v>44172</c:v>
                </c:pt>
                <c:pt idx="1456">
                  <c:v>44173</c:v>
                </c:pt>
                <c:pt idx="1457">
                  <c:v>44174</c:v>
                </c:pt>
                <c:pt idx="1458">
                  <c:v>44175</c:v>
                </c:pt>
                <c:pt idx="1459">
                  <c:v>44176</c:v>
                </c:pt>
                <c:pt idx="1460">
                  <c:v>44179</c:v>
                </c:pt>
                <c:pt idx="1461">
                  <c:v>44180</c:v>
                </c:pt>
                <c:pt idx="1462">
                  <c:v>44181</c:v>
                </c:pt>
                <c:pt idx="1463">
                  <c:v>44182</c:v>
                </c:pt>
                <c:pt idx="1464">
                  <c:v>44183</c:v>
                </c:pt>
                <c:pt idx="1465">
                  <c:v>44186</c:v>
                </c:pt>
                <c:pt idx="1466">
                  <c:v>44187</c:v>
                </c:pt>
                <c:pt idx="1467">
                  <c:v>44188</c:v>
                </c:pt>
                <c:pt idx="1468">
                  <c:v>44189</c:v>
                </c:pt>
                <c:pt idx="1469">
                  <c:v>44193</c:v>
                </c:pt>
                <c:pt idx="1470">
                  <c:v>44194</c:v>
                </c:pt>
                <c:pt idx="1471">
                  <c:v>44195</c:v>
                </c:pt>
                <c:pt idx="1472">
                  <c:v>44196</c:v>
                </c:pt>
                <c:pt idx="1473">
                  <c:v>44200</c:v>
                </c:pt>
                <c:pt idx="1474">
                  <c:v>44201</c:v>
                </c:pt>
                <c:pt idx="1475">
                  <c:v>44202</c:v>
                </c:pt>
                <c:pt idx="1476">
                  <c:v>44203</c:v>
                </c:pt>
                <c:pt idx="1477">
                  <c:v>44204</c:v>
                </c:pt>
                <c:pt idx="1478">
                  <c:v>44207</c:v>
                </c:pt>
                <c:pt idx="1479">
                  <c:v>44208</c:v>
                </c:pt>
                <c:pt idx="1480">
                  <c:v>44209</c:v>
                </c:pt>
                <c:pt idx="1481">
                  <c:v>44210</c:v>
                </c:pt>
                <c:pt idx="1482">
                  <c:v>44211</c:v>
                </c:pt>
                <c:pt idx="1483">
                  <c:v>44215</c:v>
                </c:pt>
                <c:pt idx="1484">
                  <c:v>44216</c:v>
                </c:pt>
                <c:pt idx="1485">
                  <c:v>44217</c:v>
                </c:pt>
                <c:pt idx="1486">
                  <c:v>44218</c:v>
                </c:pt>
                <c:pt idx="1487">
                  <c:v>44221</c:v>
                </c:pt>
                <c:pt idx="1488">
                  <c:v>44222</c:v>
                </c:pt>
                <c:pt idx="1489">
                  <c:v>44223</c:v>
                </c:pt>
                <c:pt idx="1490">
                  <c:v>44224</c:v>
                </c:pt>
                <c:pt idx="1491">
                  <c:v>44225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44235</c:v>
                </c:pt>
                <c:pt idx="1498">
                  <c:v>44236</c:v>
                </c:pt>
                <c:pt idx="1499">
                  <c:v>44237</c:v>
                </c:pt>
                <c:pt idx="1500">
                  <c:v>44238</c:v>
                </c:pt>
                <c:pt idx="1501">
                  <c:v>44239</c:v>
                </c:pt>
                <c:pt idx="1502">
                  <c:v>44243</c:v>
                </c:pt>
                <c:pt idx="1503">
                  <c:v>44244</c:v>
                </c:pt>
                <c:pt idx="1504">
                  <c:v>44245</c:v>
                </c:pt>
                <c:pt idx="1505">
                  <c:v>44246</c:v>
                </c:pt>
                <c:pt idx="1506">
                  <c:v>44249</c:v>
                </c:pt>
                <c:pt idx="1507">
                  <c:v>44250</c:v>
                </c:pt>
                <c:pt idx="1508">
                  <c:v>44251</c:v>
                </c:pt>
                <c:pt idx="1509">
                  <c:v>44252</c:v>
                </c:pt>
                <c:pt idx="1510">
                  <c:v>44253</c:v>
                </c:pt>
                <c:pt idx="1511">
                  <c:v>44256</c:v>
                </c:pt>
                <c:pt idx="1512">
                  <c:v>44257</c:v>
                </c:pt>
                <c:pt idx="1513">
                  <c:v>44258</c:v>
                </c:pt>
                <c:pt idx="1514">
                  <c:v>44259</c:v>
                </c:pt>
                <c:pt idx="1515">
                  <c:v>44260</c:v>
                </c:pt>
                <c:pt idx="1516">
                  <c:v>44263</c:v>
                </c:pt>
                <c:pt idx="1517">
                  <c:v>44264</c:v>
                </c:pt>
                <c:pt idx="1518">
                  <c:v>44265</c:v>
                </c:pt>
                <c:pt idx="1519">
                  <c:v>44266</c:v>
                </c:pt>
                <c:pt idx="1520">
                  <c:v>44267</c:v>
                </c:pt>
                <c:pt idx="1521">
                  <c:v>44270</c:v>
                </c:pt>
                <c:pt idx="1522">
                  <c:v>44271</c:v>
                </c:pt>
                <c:pt idx="1523">
                  <c:v>44272</c:v>
                </c:pt>
                <c:pt idx="1524">
                  <c:v>44273</c:v>
                </c:pt>
                <c:pt idx="1525">
                  <c:v>44274</c:v>
                </c:pt>
                <c:pt idx="1526">
                  <c:v>44277</c:v>
                </c:pt>
                <c:pt idx="1527">
                  <c:v>44278</c:v>
                </c:pt>
                <c:pt idx="1528">
                  <c:v>44279</c:v>
                </c:pt>
                <c:pt idx="1529">
                  <c:v>44280</c:v>
                </c:pt>
                <c:pt idx="1530">
                  <c:v>44281</c:v>
                </c:pt>
                <c:pt idx="1531">
                  <c:v>44284</c:v>
                </c:pt>
                <c:pt idx="1532">
                  <c:v>44285</c:v>
                </c:pt>
                <c:pt idx="1533">
                  <c:v>44286</c:v>
                </c:pt>
                <c:pt idx="1534">
                  <c:v>44287</c:v>
                </c:pt>
                <c:pt idx="1535">
                  <c:v>44291</c:v>
                </c:pt>
                <c:pt idx="1536">
                  <c:v>44292</c:v>
                </c:pt>
                <c:pt idx="1537">
                  <c:v>44293</c:v>
                </c:pt>
                <c:pt idx="1538">
                  <c:v>44294</c:v>
                </c:pt>
                <c:pt idx="1539">
                  <c:v>44295</c:v>
                </c:pt>
                <c:pt idx="1540">
                  <c:v>44298</c:v>
                </c:pt>
                <c:pt idx="1541">
                  <c:v>44299</c:v>
                </c:pt>
                <c:pt idx="1542">
                  <c:v>44300</c:v>
                </c:pt>
                <c:pt idx="1543">
                  <c:v>44301</c:v>
                </c:pt>
                <c:pt idx="1544">
                  <c:v>44302</c:v>
                </c:pt>
                <c:pt idx="1545">
                  <c:v>44305</c:v>
                </c:pt>
                <c:pt idx="1546">
                  <c:v>44306</c:v>
                </c:pt>
                <c:pt idx="1547">
                  <c:v>44307</c:v>
                </c:pt>
                <c:pt idx="1548">
                  <c:v>44308</c:v>
                </c:pt>
                <c:pt idx="1549">
                  <c:v>44309</c:v>
                </c:pt>
                <c:pt idx="1550">
                  <c:v>44312</c:v>
                </c:pt>
                <c:pt idx="1551">
                  <c:v>44313</c:v>
                </c:pt>
                <c:pt idx="1552">
                  <c:v>44314</c:v>
                </c:pt>
                <c:pt idx="1553">
                  <c:v>44315</c:v>
                </c:pt>
                <c:pt idx="1554">
                  <c:v>44316</c:v>
                </c:pt>
                <c:pt idx="1555">
                  <c:v>44319</c:v>
                </c:pt>
                <c:pt idx="1556">
                  <c:v>44320</c:v>
                </c:pt>
                <c:pt idx="1557">
                  <c:v>44321</c:v>
                </c:pt>
                <c:pt idx="1558">
                  <c:v>44322</c:v>
                </c:pt>
                <c:pt idx="1559">
                  <c:v>44323</c:v>
                </c:pt>
                <c:pt idx="1560">
                  <c:v>44326</c:v>
                </c:pt>
                <c:pt idx="1561">
                  <c:v>44327</c:v>
                </c:pt>
                <c:pt idx="1562">
                  <c:v>44328</c:v>
                </c:pt>
                <c:pt idx="1563">
                  <c:v>44329</c:v>
                </c:pt>
                <c:pt idx="1564">
                  <c:v>44330</c:v>
                </c:pt>
                <c:pt idx="1565">
                  <c:v>44333</c:v>
                </c:pt>
                <c:pt idx="1566">
                  <c:v>44334</c:v>
                </c:pt>
                <c:pt idx="1567">
                  <c:v>44335</c:v>
                </c:pt>
                <c:pt idx="1568">
                  <c:v>44336</c:v>
                </c:pt>
                <c:pt idx="1569">
                  <c:v>44337</c:v>
                </c:pt>
                <c:pt idx="1570">
                  <c:v>44340</c:v>
                </c:pt>
                <c:pt idx="1571">
                  <c:v>44341</c:v>
                </c:pt>
                <c:pt idx="1572">
                  <c:v>44342</c:v>
                </c:pt>
                <c:pt idx="1573">
                  <c:v>44343</c:v>
                </c:pt>
                <c:pt idx="1574">
                  <c:v>44344</c:v>
                </c:pt>
                <c:pt idx="1575">
                  <c:v>44348</c:v>
                </c:pt>
                <c:pt idx="1576">
                  <c:v>44349</c:v>
                </c:pt>
                <c:pt idx="1577">
                  <c:v>44350</c:v>
                </c:pt>
                <c:pt idx="1578">
                  <c:v>44351</c:v>
                </c:pt>
                <c:pt idx="1579">
                  <c:v>44354</c:v>
                </c:pt>
                <c:pt idx="1580">
                  <c:v>44355</c:v>
                </c:pt>
                <c:pt idx="1581">
                  <c:v>44356</c:v>
                </c:pt>
                <c:pt idx="1582">
                  <c:v>44357</c:v>
                </c:pt>
                <c:pt idx="1583">
                  <c:v>44358</c:v>
                </c:pt>
                <c:pt idx="1584">
                  <c:v>44361</c:v>
                </c:pt>
                <c:pt idx="1585">
                  <c:v>44362</c:v>
                </c:pt>
                <c:pt idx="1586">
                  <c:v>44363</c:v>
                </c:pt>
                <c:pt idx="1587">
                  <c:v>44364</c:v>
                </c:pt>
                <c:pt idx="1588">
                  <c:v>44365</c:v>
                </c:pt>
                <c:pt idx="1589">
                  <c:v>44368</c:v>
                </c:pt>
                <c:pt idx="1590">
                  <c:v>44369</c:v>
                </c:pt>
                <c:pt idx="1591">
                  <c:v>44370</c:v>
                </c:pt>
                <c:pt idx="1592">
                  <c:v>44371</c:v>
                </c:pt>
                <c:pt idx="1593">
                  <c:v>44372</c:v>
                </c:pt>
                <c:pt idx="1594">
                  <c:v>44375</c:v>
                </c:pt>
                <c:pt idx="1595">
                  <c:v>44376</c:v>
                </c:pt>
                <c:pt idx="1596">
                  <c:v>44377</c:v>
                </c:pt>
                <c:pt idx="1597">
                  <c:v>44378</c:v>
                </c:pt>
                <c:pt idx="1598">
                  <c:v>44379</c:v>
                </c:pt>
                <c:pt idx="1599">
                  <c:v>44383</c:v>
                </c:pt>
                <c:pt idx="1600">
                  <c:v>44384</c:v>
                </c:pt>
                <c:pt idx="1601">
                  <c:v>44385</c:v>
                </c:pt>
                <c:pt idx="1602">
                  <c:v>44386</c:v>
                </c:pt>
                <c:pt idx="1603">
                  <c:v>44389</c:v>
                </c:pt>
                <c:pt idx="1604">
                  <c:v>44390</c:v>
                </c:pt>
                <c:pt idx="1605">
                  <c:v>44391</c:v>
                </c:pt>
                <c:pt idx="1606">
                  <c:v>44392</c:v>
                </c:pt>
                <c:pt idx="1607">
                  <c:v>44393</c:v>
                </c:pt>
                <c:pt idx="1608">
                  <c:v>44396</c:v>
                </c:pt>
                <c:pt idx="1609">
                  <c:v>44397</c:v>
                </c:pt>
                <c:pt idx="1610">
                  <c:v>44398</c:v>
                </c:pt>
                <c:pt idx="1611">
                  <c:v>44399</c:v>
                </c:pt>
                <c:pt idx="1612">
                  <c:v>44400</c:v>
                </c:pt>
                <c:pt idx="1613">
                  <c:v>44403</c:v>
                </c:pt>
                <c:pt idx="1614">
                  <c:v>44404</c:v>
                </c:pt>
                <c:pt idx="1615">
                  <c:v>44405</c:v>
                </c:pt>
                <c:pt idx="1616">
                  <c:v>44406</c:v>
                </c:pt>
                <c:pt idx="1617">
                  <c:v>44407</c:v>
                </c:pt>
                <c:pt idx="1618">
                  <c:v>44410</c:v>
                </c:pt>
                <c:pt idx="1619">
                  <c:v>44411</c:v>
                </c:pt>
                <c:pt idx="1620">
                  <c:v>44412</c:v>
                </c:pt>
                <c:pt idx="1621">
                  <c:v>44413</c:v>
                </c:pt>
                <c:pt idx="1622">
                  <c:v>44414</c:v>
                </c:pt>
                <c:pt idx="1623">
                  <c:v>44417</c:v>
                </c:pt>
                <c:pt idx="1624">
                  <c:v>44418</c:v>
                </c:pt>
                <c:pt idx="1625">
                  <c:v>44419</c:v>
                </c:pt>
                <c:pt idx="1626">
                  <c:v>44420</c:v>
                </c:pt>
                <c:pt idx="1627">
                  <c:v>44421</c:v>
                </c:pt>
                <c:pt idx="1628">
                  <c:v>44424</c:v>
                </c:pt>
                <c:pt idx="1629">
                  <c:v>44425</c:v>
                </c:pt>
                <c:pt idx="1630">
                  <c:v>44426</c:v>
                </c:pt>
                <c:pt idx="1631">
                  <c:v>44427</c:v>
                </c:pt>
                <c:pt idx="1632">
                  <c:v>44428</c:v>
                </c:pt>
                <c:pt idx="1633">
                  <c:v>44431</c:v>
                </c:pt>
                <c:pt idx="1634">
                  <c:v>44432</c:v>
                </c:pt>
                <c:pt idx="1635">
                  <c:v>44433</c:v>
                </c:pt>
                <c:pt idx="1636">
                  <c:v>44434</c:v>
                </c:pt>
                <c:pt idx="1637">
                  <c:v>44435</c:v>
                </c:pt>
                <c:pt idx="1638">
                  <c:v>44438</c:v>
                </c:pt>
                <c:pt idx="1639">
                  <c:v>44439</c:v>
                </c:pt>
                <c:pt idx="1640">
                  <c:v>44440</c:v>
                </c:pt>
                <c:pt idx="1641">
                  <c:v>44441</c:v>
                </c:pt>
                <c:pt idx="1642">
                  <c:v>44442</c:v>
                </c:pt>
                <c:pt idx="1643">
                  <c:v>44446</c:v>
                </c:pt>
                <c:pt idx="1644">
                  <c:v>44447</c:v>
                </c:pt>
                <c:pt idx="1645">
                  <c:v>44448</c:v>
                </c:pt>
                <c:pt idx="1646">
                  <c:v>44449</c:v>
                </c:pt>
                <c:pt idx="1647">
                  <c:v>44452</c:v>
                </c:pt>
                <c:pt idx="1648">
                  <c:v>44453</c:v>
                </c:pt>
                <c:pt idx="1649">
                  <c:v>44454</c:v>
                </c:pt>
                <c:pt idx="1650">
                  <c:v>44455</c:v>
                </c:pt>
                <c:pt idx="1651">
                  <c:v>44456</c:v>
                </c:pt>
                <c:pt idx="1652">
                  <c:v>44459</c:v>
                </c:pt>
                <c:pt idx="1653">
                  <c:v>44460</c:v>
                </c:pt>
                <c:pt idx="1654">
                  <c:v>44461</c:v>
                </c:pt>
                <c:pt idx="1655">
                  <c:v>44462</c:v>
                </c:pt>
                <c:pt idx="1656">
                  <c:v>44463</c:v>
                </c:pt>
                <c:pt idx="1657">
                  <c:v>44466</c:v>
                </c:pt>
                <c:pt idx="1658">
                  <c:v>44467</c:v>
                </c:pt>
                <c:pt idx="1659">
                  <c:v>44468</c:v>
                </c:pt>
                <c:pt idx="1660">
                  <c:v>44469</c:v>
                </c:pt>
                <c:pt idx="1661">
                  <c:v>44470</c:v>
                </c:pt>
                <c:pt idx="1662">
                  <c:v>44473</c:v>
                </c:pt>
                <c:pt idx="1663">
                  <c:v>44474</c:v>
                </c:pt>
                <c:pt idx="1664">
                  <c:v>44475</c:v>
                </c:pt>
                <c:pt idx="1665">
                  <c:v>44476</c:v>
                </c:pt>
                <c:pt idx="1666">
                  <c:v>44477</c:v>
                </c:pt>
                <c:pt idx="1667">
                  <c:v>44480</c:v>
                </c:pt>
                <c:pt idx="1668">
                  <c:v>44481</c:v>
                </c:pt>
                <c:pt idx="1669">
                  <c:v>44482</c:v>
                </c:pt>
                <c:pt idx="1670">
                  <c:v>44483</c:v>
                </c:pt>
                <c:pt idx="1671">
                  <c:v>44484</c:v>
                </c:pt>
                <c:pt idx="1672">
                  <c:v>44487</c:v>
                </c:pt>
                <c:pt idx="1673">
                  <c:v>44488</c:v>
                </c:pt>
                <c:pt idx="1674">
                  <c:v>44489</c:v>
                </c:pt>
                <c:pt idx="1675">
                  <c:v>44490</c:v>
                </c:pt>
                <c:pt idx="1676">
                  <c:v>44491</c:v>
                </c:pt>
                <c:pt idx="1677">
                  <c:v>44494</c:v>
                </c:pt>
                <c:pt idx="1678">
                  <c:v>44495</c:v>
                </c:pt>
                <c:pt idx="1679">
                  <c:v>44496</c:v>
                </c:pt>
                <c:pt idx="1680">
                  <c:v>44497</c:v>
                </c:pt>
                <c:pt idx="1681">
                  <c:v>44498</c:v>
                </c:pt>
                <c:pt idx="1682">
                  <c:v>44501</c:v>
                </c:pt>
                <c:pt idx="1683">
                  <c:v>44502</c:v>
                </c:pt>
                <c:pt idx="1684">
                  <c:v>44503</c:v>
                </c:pt>
                <c:pt idx="1685">
                  <c:v>44504</c:v>
                </c:pt>
                <c:pt idx="1686">
                  <c:v>44505</c:v>
                </c:pt>
                <c:pt idx="1687">
                  <c:v>44508</c:v>
                </c:pt>
                <c:pt idx="1688">
                  <c:v>44509</c:v>
                </c:pt>
                <c:pt idx="1689">
                  <c:v>44510</c:v>
                </c:pt>
                <c:pt idx="1690">
                  <c:v>44511</c:v>
                </c:pt>
                <c:pt idx="1691">
                  <c:v>44512</c:v>
                </c:pt>
                <c:pt idx="1692">
                  <c:v>44515</c:v>
                </c:pt>
                <c:pt idx="1693">
                  <c:v>44516</c:v>
                </c:pt>
                <c:pt idx="1694">
                  <c:v>44517</c:v>
                </c:pt>
                <c:pt idx="1695">
                  <c:v>44518</c:v>
                </c:pt>
                <c:pt idx="1696">
                  <c:v>44519</c:v>
                </c:pt>
                <c:pt idx="1697">
                  <c:v>44522</c:v>
                </c:pt>
                <c:pt idx="1698">
                  <c:v>44523</c:v>
                </c:pt>
                <c:pt idx="1699">
                  <c:v>44524</c:v>
                </c:pt>
                <c:pt idx="1700">
                  <c:v>44526</c:v>
                </c:pt>
                <c:pt idx="1701">
                  <c:v>44529</c:v>
                </c:pt>
                <c:pt idx="1702">
                  <c:v>44530</c:v>
                </c:pt>
                <c:pt idx="1703">
                  <c:v>44531</c:v>
                </c:pt>
                <c:pt idx="1704">
                  <c:v>44532</c:v>
                </c:pt>
                <c:pt idx="1705">
                  <c:v>44533</c:v>
                </c:pt>
                <c:pt idx="1706">
                  <c:v>44536</c:v>
                </c:pt>
                <c:pt idx="1707">
                  <c:v>44537</c:v>
                </c:pt>
                <c:pt idx="1708">
                  <c:v>44538</c:v>
                </c:pt>
                <c:pt idx="1709">
                  <c:v>44539</c:v>
                </c:pt>
                <c:pt idx="1710">
                  <c:v>44540</c:v>
                </c:pt>
                <c:pt idx="1711">
                  <c:v>44543</c:v>
                </c:pt>
                <c:pt idx="1712">
                  <c:v>44544</c:v>
                </c:pt>
                <c:pt idx="1713">
                  <c:v>44545</c:v>
                </c:pt>
                <c:pt idx="1714">
                  <c:v>44546</c:v>
                </c:pt>
                <c:pt idx="1715">
                  <c:v>44547</c:v>
                </c:pt>
                <c:pt idx="1716">
                  <c:v>44550</c:v>
                </c:pt>
                <c:pt idx="1717">
                  <c:v>44551</c:v>
                </c:pt>
                <c:pt idx="1718">
                  <c:v>44552</c:v>
                </c:pt>
                <c:pt idx="1719">
                  <c:v>44553</c:v>
                </c:pt>
                <c:pt idx="1720">
                  <c:v>44557</c:v>
                </c:pt>
                <c:pt idx="1721">
                  <c:v>44558</c:v>
                </c:pt>
                <c:pt idx="1722">
                  <c:v>44559</c:v>
                </c:pt>
                <c:pt idx="1723">
                  <c:v>44560</c:v>
                </c:pt>
                <c:pt idx="1724">
                  <c:v>44561</c:v>
                </c:pt>
                <c:pt idx="1725">
                  <c:v>44564</c:v>
                </c:pt>
                <c:pt idx="1726">
                  <c:v>44565</c:v>
                </c:pt>
                <c:pt idx="1727">
                  <c:v>44566</c:v>
                </c:pt>
                <c:pt idx="1728">
                  <c:v>44567</c:v>
                </c:pt>
                <c:pt idx="1729">
                  <c:v>44568</c:v>
                </c:pt>
                <c:pt idx="1730">
                  <c:v>44571</c:v>
                </c:pt>
                <c:pt idx="1731">
                  <c:v>44572</c:v>
                </c:pt>
                <c:pt idx="1732">
                  <c:v>44573</c:v>
                </c:pt>
                <c:pt idx="1733">
                  <c:v>44574</c:v>
                </c:pt>
                <c:pt idx="1734">
                  <c:v>44575</c:v>
                </c:pt>
                <c:pt idx="1735">
                  <c:v>44579</c:v>
                </c:pt>
                <c:pt idx="1736">
                  <c:v>44580</c:v>
                </c:pt>
                <c:pt idx="1737">
                  <c:v>44581</c:v>
                </c:pt>
                <c:pt idx="1738">
                  <c:v>44582</c:v>
                </c:pt>
                <c:pt idx="1739">
                  <c:v>44585</c:v>
                </c:pt>
                <c:pt idx="1740">
                  <c:v>44586</c:v>
                </c:pt>
                <c:pt idx="1741">
                  <c:v>44587</c:v>
                </c:pt>
                <c:pt idx="1742">
                  <c:v>44588</c:v>
                </c:pt>
                <c:pt idx="1743">
                  <c:v>44589</c:v>
                </c:pt>
                <c:pt idx="1744">
                  <c:v>44592</c:v>
                </c:pt>
                <c:pt idx="1745">
                  <c:v>44593</c:v>
                </c:pt>
                <c:pt idx="1746">
                  <c:v>44594</c:v>
                </c:pt>
                <c:pt idx="1747">
                  <c:v>44595</c:v>
                </c:pt>
                <c:pt idx="1748">
                  <c:v>44596</c:v>
                </c:pt>
                <c:pt idx="1749">
                  <c:v>44599</c:v>
                </c:pt>
                <c:pt idx="1750">
                  <c:v>44600</c:v>
                </c:pt>
                <c:pt idx="1751">
                  <c:v>44601</c:v>
                </c:pt>
                <c:pt idx="1752">
                  <c:v>44602</c:v>
                </c:pt>
                <c:pt idx="1753">
                  <c:v>44603</c:v>
                </c:pt>
                <c:pt idx="1754">
                  <c:v>44606</c:v>
                </c:pt>
                <c:pt idx="1755">
                  <c:v>44607</c:v>
                </c:pt>
                <c:pt idx="1756">
                  <c:v>44608</c:v>
                </c:pt>
                <c:pt idx="1757">
                  <c:v>44609</c:v>
                </c:pt>
                <c:pt idx="1758">
                  <c:v>44610</c:v>
                </c:pt>
                <c:pt idx="1759">
                  <c:v>44614</c:v>
                </c:pt>
                <c:pt idx="1760">
                  <c:v>44615</c:v>
                </c:pt>
                <c:pt idx="1761">
                  <c:v>44616</c:v>
                </c:pt>
                <c:pt idx="1762">
                  <c:v>44617</c:v>
                </c:pt>
                <c:pt idx="1763">
                  <c:v>44620</c:v>
                </c:pt>
                <c:pt idx="1764">
                  <c:v>44621</c:v>
                </c:pt>
                <c:pt idx="1765">
                  <c:v>44622</c:v>
                </c:pt>
                <c:pt idx="1766">
                  <c:v>44623</c:v>
                </c:pt>
                <c:pt idx="1767">
                  <c:v>44624</c:v>
                </c:pt>
                <c:pt idx="1768">
                  <c:v>44627</c:v>
                </c:pt>
                <c:pt idx="1769">
                  <c:v>44628</c:v>
                </c:pt>
                <c:pt idx="1770">
                  <c:v>44629</c:v>
                </c:pt>
                <c:pt idx="1771">
                  <c:v>44630</c:v>
                </c:pt>
                <c:pt idx="1772">
                  <c:v>44631</c:v>
                </c:pt>
                <c:pt idx="1773">
                  <c:v>44634</c:v>
                </c:pt>
                <c:pt idx="1774">
                  <c:v>44635</c:v>
                </c:pt>
                <c:pt idx="1775">
                  <c:v>44636</c:v>
                </c:pt>
                <c:pt idx="1776">
                  <c:v>44637</c:v>
                </c:pt>
                <c:pt idx="1777">
                  <c:v>44638</c:v>
                </c:pt>
                <c:pt idx="1778">
                  <c:v>44641</c:v>
                </c:pt>
                <c:pt idx="1779">
                  <c:v>44642</c:v>
                </c:pt>
                <c:pt idx="1780">
                  <c:v>44643</c:v>
                </c:pt>
                <c:pt idx="1781">
                  <c:v>44644</c:v>
                </c:pt>
                <c:pt idx="1782">
                  <c:v>44645</c:v>
                </c:pt>
                <c:pt idx="1783">
                  <c:v>44648</c:v>
                </c:pt>
                <c:pt idx="1784">
                  <c:v>44649</c:v>
                </c:pt>
                <c:pt idx="1785">
                  <c:v>44650</c:v>
                </c:pt>
                <c:pt idx="1786">
                  <c:v>44651</c:v>
                </c:pt>
                <c:pt idx="1787">
                  <c:v>44652</c:v>
                </c:pt>
                <c:pt idx="1788">
                  <c:v>44655</c:v>
                </c:pt>
                <c:pt idx="1789">
                  <c:v>44656</c:v>
                </c:pt>
                <c:pt idx="1790">
                  <c:v>44657</c:v>
                </c:pt>
                <c:pt idx="1791">
                  <c:v>44658</c:v>
                </c:pt>
                <c:pt idx="1792">
                  <c:v>44659</c:v>
                </c:pt>
                <c:pt idx="1793">
                  <c:v>44662</c:v>
                </c:pt>
                <c:pt idx="1794">
                  <c:v>44663</c:v>
                </c:pt>
                <c:pt idx="1795">
                  <c:v>44664</c:v>
                </c:pt>
                <c:pt idx="1796">
                  <c:v>44665</c:v>
                </c:pt>
                <c:pt idx="1797">
                  <c:v>44669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44844</c:v>
                </c:pt>
                <c:pt idx="1919">
                  <c:v>44845</c:v>
                </c:pt>
                <c:pt idx="1920">
                  <c:v>44846</c:v>
                </c:pt>
                <c:pt idx="1921">
                  <c:v>44847</c:v>
                </c:pt>
                <c:pt idx="1922">
                  <c:v>44848</c:v>
                </c:pt>
                <c:pt idx="1923">
                  <c:v>44851</c:v>
                </c:pt>
                <c:pt idx="1924">
                  <c:v>44852</c:v>
                </c:pt>
                <c:pt idx="1925">
                  <c:v>44853</c:v>
                </c:pt>
                <c:pt idx="1926">
                  <c:v>44854</c:v>
                </c:pt>
                <c:pt idx="1927">
                  <c:v>44855</c:v>
                </c:pt>
                <c:pt idx="1928">
                  <c:v>44858</c:v>
                </c:pt>
                <c:pt idx="1929">
                  <c:v>44859</c:v>
                </c:pt>
                <c:pt idx="1930">
                  <c:v>44860</c:v>
                </c:pt>
                <c:pt idx="1931">
                  <c:v>44861</c:v>
                </c:pt>
                <c:pt idx="1932">
                  <c:v>44862</c:v>
                </c:pt>
                <c:pt idx="1933">
                  <c:v>44865</c:v>
                </c:pt>
                <c:pt idx="1934">
                  <c:v>44866</c:v>
                </c:pt>
                <c:pt idx="1935">
                  <c:v>44867</c:v>
                </c:pt>
                <c:pt idx="1936">
                  <c:v>44868</c:v>
                </c:pt>
                <c:pt idx="1937">
                  <c:v>44869</c:v>
                </c:pt>
                <c:pt idx="1938">
                  <c:v>44872</c:v>
                </c:pt>
                <c:pt idx="1939">
                  <c:v>44873</c:v>
                </c:pt>
                <c:pt idx="1940">
                  <c:v>44874</c:v>
                </c:pt>
                <c:pt idx="1941">
                  <c:v>44875</c:v>
                </c:pt>
                <c:pt idx="1942">
                  <c:v>44876</c:v>
                </c:pt>
                <c:pt idx="1943">
                  <c:v>44879</c:v>
                </c:pt>
                <c:pt idx="1944">
                  <c:v>44880</c:v>
                </c:pt>
                <c:pt idx="1945">
                  <c:v>44881</c:v>
                </c:pt>
                <c:pt idx="1946">
                  <c:v>44882</c:v>
                </c:pt>
                <c:pt idx="1947">
                  <c:v>44883</c:v>
                </c:pt>
                <c:pt idx="1948">
                  <c:v>44886</c:v>
                </c:pt>
                <c:pt idx="1949">
                  <c:v>44887</c:v>
                </c:pt>
                <c:pt idx="1950">
                  <c:v>44888</c:v>
                </c:pt>
                <c:pt idx="1951">
                  <c:v>44890</c:v>
                </c:pt>
                <c:pt idx="1952">
                  <c:v>44893</c:v>
                </c:pt>
                <c:pt idx="1953">
                  <c:v>44894</c:v>
                </c:pt>
                <c:pt idx="1954">
                  <c:v>44895</c:v>
                </c:pt>
                <c:pt idx="1955">
                  <c:v>44896</c:v>
                </c:pt>
                <c:pt idx="1956">
                  <c:v>44897</c:v>
                </c:pt>
                <c:pt idx="1957">
                  <c:v>44900</c:v>
                </c:pt>
                <c:pt idx="1958">
                  <c:v>44901</c:v>
                </c:pt>
                <c:pt idx="1959">
                  <c:v>44902</c:v>
                </c:pt>
                <c:pt idx="1960">
                  <c:v>44903</c:v>
                </c:pt>
                <c:pt idx="1961">
                  <c:v>44904</c:v>
                </c:pt>
                <c:pt idx="1962">
                  <c:v>44907</c:v>
                </c:pt>
                <c:pt idx="1963">
                  <c:v>44908</c:v>
                </c:pt>
                <c:pt idx="1964">
                  <c:v>44909</c:v>
                </c:pt>
                <c:pt idx="1965">
                  <c:v>44910</c:v>
                </c:pt>
                <c:pt idx="1966">
                  <c:v>44911</c:v>
                </c:pt>
                <c:pt idx="1967">
                  <c:v>44914</c:v>
                </c:pt>
                <c:pt idx="1968">
                  <c:v>44915</c:v>
                </c:pt>
                <c:pt idx="1969">
                  <c:v>44916</c:v>
                </c:pt>
                <c:pt idx="1970">
                  <c:v>44917</c:v>
                </c:pt>
                <c:pt idx="1971">
                  <c:v>44918</c:v>
                </c:pt>
                <c:pt idx="1972">
                  <c:v>44922</c:v>
                </c:pt>
                <c:pt idx="1973">
                  <c:v>44923</c:v>
                </c:pt>
                <c:pt idx="1974">
                  <c:v>44924</c:v>
                </c:pt>
                <c:pt idx="1975">
                  <c:v>44925</c:v>
                </c:pt>
                <c:pt idx="1976">
                  <c:v>44929</c:v>
                </c:pt>
                <c:pt idx="1977">
                  <c:v>44930</c:v>
                </c:pt>
                <c:pt idx="1978">
                  <c:v>44931</c:v>
                </c:pt>
                <c:pt idx="1979">
                  <c:v>44932</c:v>
                </c:pt>
                <c:pt idx="1980">
                  <c:v>44935</c:v>
                </c:pt>
                <c:pt idx="1981">
                  <c:v>44936</c:v>
                </c:pt>
                <c:pt idx="1982">
                  <c:v>44937</c:v>
                </c:pt>
                <c:pt idx="1983">
                  <c:v>44938</c:v>
                </c:pt>
                <c:pt idx="1984">
                  <c:v>44939</c:v>
                </c:pt>
                <c:pt idx="1985">
                  <c:v>44943</c:v>
                </c:pt>
                <c:pt idx="1986">
                  <c:v>44944</c:v>
                </c:pt>
                <c:pt idx="1987">
                  <c:v>44945</c:v>
                </c:pt>
                <c:pt idx="1988">
                  <c:v>44946</c:v>
                </c:pt>
                <c:pt idx="1989">
                  <c:v>44949</c:v>
                </c:pt>
                <c:pt idx="1990">
                  <c:v>44950</c:v>
                </c:pt>
                <c:pt idx="1991">
                  <c:v>44951</c:v>
                </c:pt>
                <c:pt idx="1992">
                  <c:v>44952</c:v>
                </c:pt>
                <c:pt idx="1993">
                  <c:v>44953</c:v>
                </c:pt>
                <c:pt idx="1994">
                  <c:v>44956</c:v>
                </c:pt>
                <c:pt idx="1995">
                  <c:v>44957</c:v>
                </c:pt>
                <c:pt idx="1996">
                  <c:v>44958</c:v>
                </c:pt>
                <c:pt idx="1997">
                  <c:v>44959</c:v>
                </c:pt>
                <c:pt idx="1998">
                  <c:v>44960</c:v>
                </c:pt>
                <c:pt idx="1999">
                  <c:v>44963</c:v>
                </c:pt>
                <c:pt idx="2000">
                  <c:v>44964</c:v>
                </c:pt>
                <c:pt idx="2001">
                  <c:v>44965</c:v>
                </c:pt>
                <c:pt idx="2002">
                  <c:v>44966</c:v>
                </c:pt>
                <c:pt idx="2003">
                  <c:v>44967</c:v>
                </c:pt>
                <c:pt idx="2004">
                  <c:v>44970</c:v>
                </c:pt>
                <c:pt idx="2005">
                  <c:v>44971</c:v>
                </c:pt>
                <c:pt idx="2006">
                  <c:v>44972</c:v>
                </c:pt>
                <c:pt idx="2007">
                  <c:v>44973</c:v>
                </c:pt>
                <c:pt idx="2008">
                  <c:v>44974</c:v>
                </c:pt>
                <c:pt idx="2009">
                  <c:v>44978</c:v>
                </c:pt>
                <c:pt idx="2010">
                  <c:v>44979</c:v>
                </c:pt>
                <c:pt idx="2011">
                  <c:v>44980</c:v>
                </c:pt>
                <c:pt idx="2012">
                  <c:v>44981</c:v>
                </c:pt>
                <c:pt idx="2013">
                  <c:v>44984</c:v>
                </c:pt>
                <c:pt idx="2014">
                  <c:v>44985</c:v>
                </c:pt>
                <c:pt idx="2015">
                  <c:v>44986</c:v>
                </c:pt>
                <c:pt idx="2016">
                  <c:v>44987</c:v>
                </c:pt>
                <c:pt idx="2017">
                  <c:v>44988</c:v>
                </c:pt>
                <c:pt idx="2018">
                  <c:v>44991</c:v>
                </c:pt>
                <c:pt idx="2019">
                  <c:v>44992</c:v>
                </c:pt>
                <c:pt idx="2020">
                  <c:v>44993</c:v>
                </c:pt>
                <c:pt idx="2021">
                  <c:v>44994</c:v>
                </c:pt>
                <c:pt idx="2022">
                  <c:v>44995</c:v>
                </c:pt>
                <c:pt idx="2023">
                  <c:v>44998</c:v>
                </c:pt>
                <c:pt idx="2024">
                  <c:v>44999</c:v>
                </c:pt>
                <c:pt idx="2025">
                  <c:v>45000</c:v>
                </c:pt>
                <c:pt idx="2026">
                  <c:v>45001</c:v>
                </c:pt>
                <c:pt idx="2027">
                  <c:v>45002</c:v>
                </c:pt>
                <c:pt idx="2028">
                  <c:v>45005</c:v>
                </c:pt>
                <c:pt idx="2029">
                  <c:v>45006</c:v>
                </c:pt>
                <c:pt idx="2030">
                  <c:v>45007</c:v>
                </c:pt>
                <c:pt idx="2031">
                  <c:v>45008</c:v>
                </c:pt>
                <c:pt idx="2032">
                  <c:v>45009</c:v>
                </c:pt>
                <c:pt idx="2033">
                  <c:v>45012</c:v>
                </c:pt>
                <c:pt idx="2034">
                  <c:v>45013</c:v>
                </c:pt>
                <c:pt idx="2035">
                  <c:v>45014</c:v>
                </c:pt>
                <c:pt idx="2036">
                  <c:v>45015</c:v>
                </c:pt>
                <c:pt idx="2037">
                  <c:v>45016</c:v>
                </c:pt>
                <c:pt idx="2038">
                  <c:v>45019</c:v>
                </c:pt>
                <c:pt idx="2039">
                  <c:v>45020</c:v>
                </c:pt>
                <c:pt idx="2040">
                  <c:v>45021</c:v>
                </c:pt>
                <c:pt idx="2041">
                  <c:v>45022</c:v>
                </c:pt>
                <c:pt idx="2042">
                  <c:v>45026</c:v>
                </c:pt>
                <c:pt idx="2043">
                  <c:v>45027</c:v>
                </c:pt>
                <c:pt idx="2044">
                  <c:v>45028</c:v>
                </c:pt>
                <c:pt idx="2045">
                  <c:v>45029</c:v>
                </c:pt>
                <c:pt idx="2046">
                  <c:v>45030</c:v>
                </c:pt>
                <c:pt idx="2047">
                  <c:v>45033</c:v>
                </c:pt>
                <c:pt idx="2048">
                  <c:v>45034</c:v>
                </c:pt>
                <c:pt idx="2049">
                  <c:v>45035</c:v>
                </c:pt>
                <c:pt idx="2050">
                  <c:v>45036</c:v>
                </c:pt>
                <c:pt idx="2051">
                  <c:v>45037</c:v>
                </c:pt>
                <c:pt idx="2052">
                  <c:v>45040</c:v>
                </c:pt>
                <c:pt idx="2053">
                  <c:v>45041</c:v>
                </c:pt>
                <c:pt idx="2054">
                  <c:v>45042</c:v>
                </c:pt>
                <c:pt idx="2055">
                  <c:v>45043</c:v>
                </c:pt>
                <c:pt idx="2056">
                  <c:v>45044</c:v>
                </c:pt>
                <c:pt idx="2057">
                  <c:v>45047</c:v>
                </c:pt>
                <c:pt idx="2058">
                  <c:v>45048</c:v>
                </c:pt>
                <c:pt idx="2059">
                  <c:v>45049</c:v>
                </c:pt>
                <c:pt idx="2060">
                  <c:v>45050</c:v>
                </c:pt>
                <c:pt idx="2061">
                  <c:v>45051</c:v>
                </c:pt>
                <c:pt idx="2062">
                  <c:v>45054</c:v>
                </c:pt>
                <c:pt idx="2063">
                  <c:v>45055</c:v>
                </c:pt>
                <c:pt idx="2064">
                  <c:v>45056</c:v>
                </c:pt>
                <c:pt idx="2065">
                  <c:v>45057</c:v>
                </c:pt>
                <c:pt idx="2066">
                  <c:v>45058</c:v>
                </c:pt>
                <c:pt idx="2067">
                  <c:v>45061</c:v>
                </c:pt>
                <c:pt idx="2068">
                  <c:v>45062</c:v>
                </c:pt>
                <c:pt idx="2069">
                  <c:v>45063</c:v>
                </c:pt>
                <c:pt idx="2070">
                  <c:v>45064</c:v>
                </c:pt>
                <c:pt idx="2071">
                  <c:v>45065</c:v>
                </c:pt>
                <c:pt idx="2072">
                  <c:v>45068</c:v>
                </c:pt>
                <c:pt idx="2073">
                  <c:v>45069</c:v>
                </c:pt>
                <c:pt idx="2074">
                  <c:v>45070</c:v>
                </c:pt>
                <c:pt idx="2075">
                  <c:v>45071</c:v>
                </c:pt>
                <c:pt idx="2076">
                  <c:v>45072</c:v>
                </c:pt>
                <c:pt idx="2077">
                  <c:v>45076</c:v>
                </c:pt>
                <c:pt idx="2078">
                  <c:v>45077</c:v>
                </c:pt>
                <c:pt idx="2079">
                  <c:v>45078</c:v>
                </c:pt>
                <c:pt idx="2080">
                  <c:v>45079</c:v>
                </c:pt>
                <c:pt idx="2081">
                  <c:v>45082</c:v>
                </c:pt>
                <c:pt idx="2082">
                  <c:v>45083</c:v>
                </c:pt>
                <c:pt idx="2083">
                  <c:v>45084</c:v>
                </c:pt>
                <c:pt idx="2084">
                  <c:v>45085</c:v>
                </c:pt>
                <c:pt idx="2085">
                  <c:v>45086</c:v>
                </c:pt>
                <c:pt idx="2086">
                  <c:v>45089</c:v>
                </c:pt>
                <c:pt idx="2087">
                  <c:v>45090</c:v>
                </c:pt>
                <c:pt idx="2088">
                  <c:v>45091</c:v>
                </c:pt>
                <c:pt idx="2089">
                  <c:v>45092</c:v>
                </c:pt>
                <c:pt idx="2090">
                  <c:v>45093</c:v>
                </c:pt>
                <c:pt idx="2091">
                  <c:v>45097</c:v>
                </c:pt>
                <c:pt idx="2092">
                  <c:v>45098</c:v>
                </c:pt>
                <c:pt idx="2093">
                  <c:v>45099</c:v>
                </c:pt>
                <c:pt idx="2094">
                  <c:v>45100</c:v>
                </c:pt>
                <c:pt idx="2095">
                  <c:v>45103</c:v>
                </c:pt>
                <c:pt idx="2096">
                  <c:v>45104</c:v>
                </c:pt>
                <c:pt idx="2097">
                  <c:v>45105</c:v>
                </c:pt>
                <c:pt idx="2098">
                  <c:v>45106</c:v>
                </c:pt>
                <c:pt idx="2099">
                  <c:v>45107</c:v>
                </c:pt>
                <c:pt idx="2100">
                  <c:v>45110</c:v>
                </c:pt>
                <c:pt idx="2101">
                  <c:v>45112</c:v>
                </c:pt>
                <c:pt idx="2102">
                  <c:v>45113</c:v>
                </c:pt>
                <c:pt idx="2103">
                  <c:v>45114</c:v>
                </c:pt>
                <c:pt idx="2104">
                  <c:v>45117</c:v>
                </c:pt>
                <c:pt idx="2105">
                  <c:v>45118</c:v>
                </c:pt>
                <c:pt idx="2106">
                  <c:v>45119</c:v>
                </c:pt>
                <c:pt idx="2107">
                  <c:v>45120</c:v>
                </c:pt>
                <c:pt idx="2108">
                  <c:v>45121</c:v>
                </c:pt>
                <c:pt idx="2109">
                  <c:v>45124</c:v>
                </c:pt>
                <c:pt idx="2110">
                  <c:v>45125</c:v>
                </c:pt>
                <c:pt idx="2111">
                  <c:v>45126</c:v>
                </c:pt>
                <c:pt idx="2112">
                  <c:v>45127</c:v>
                </c:pt>
                <c:pt idx="2113">
                  <c:v>45128</c:v>
                </c:pt>
                <c:pt idx="2114">
                  <c:v>45131</c:v>
                </c:pt>
                <c:pt idx="2115">
                  <c:v>45132</c:v>
                </c:pt>
                <c:pt idx="2116">
                  <c:v>45133</c:v>
                </c:pt>
                <c:pt idx="2117">
                  <c:v>45134</c:v>
                </c:pt>
                <c:pt idx="2118">
                  <c:v>45135</c:v>
                </c:pt>
                <c:pt idx="2119">
                  <c:v>45138</c:v>
                </c:pt>
                <c:pt idx="2120">
                  <c:v>45139</c:v>
                </c:pt>
                <c:pt idx="2121">
                  <c:v>45140</c:v>
                </c:pt>
                <c:pt idx="2122">
                  <c:v>45141</c:v>
                </c:pt>
                <c:pt idx="2123">
                  <c:v>45142</c:v>
                </c:pt>
                <c:pt idx="2124">
                  <c:v>45145</c:v>
                </c:pt>
                <c:pt idx="2125">
                  <c:v>45146</c:v>
                </c:pt>
                <c:pt idx="2126">
                  <c:v>45147</c:v>
                </c:pt>
                <c:pt idx="2127">
                  <c:v>45148</c:v>
                </c:pt>
                <c:pt idx="2128">
                  <c:v>45149</c:v>
                </c:pt>
                <c:pt idx="2129">
                  <c:v>45152</c:v>
                </c:pt>
                <c:pt idx="2130">
                  <c:v>45153</c:v>
                </c:pt>
                <c:pt idx="2131">
                  <c:v>45154</c:v>
                </c:pt>
                <c:pt idx="2132">
                  <c:v>45155</c:v>
                </c:pt>
                <c:pt idx="2133">
                  <c:v>45156</c:v>
                </c:pt>
                <c:pt idx="2134">
                  <c:v>45159</c:v>
                </c:pt>
                <c:pt idx="2135">
                  <c:v>45160</c:v>
                </c:pt>
                <c:pt idx="2136">
                  <c:v>45161</c:v>
                </c:pt>
                <c:pt idx="2137">
                  <c:v>45162</c:v>
                </c:pt>
                <c:pt idx="2138">
                  <c:v>45163</c:v>
                </c:pt>
                <c:pt idx="2139">
                  <c:v>45166</c:v>
                </c:pt>
                <c:pt idx="2140">
                  <c:v>45167</c:v>
                </c:pt>
                <c:pt idx="2141">
                  <c:v>45168</c:v>
                </c:pt>
                <c:pt idx="2142">
                  <c:v>45169</c:v>
                </c:pt>
                <c:pt idx="2143">
                  <c:v>45170</c:v>
                </c:pt>
                <c:pt idx="2144">
                  <c:v>45174</c:v>
                </c:pt>
                <c:pt idx="2145">
                  <c:v>45175</c:v>
                </c:pt>
                <c:pt idx="2146">
                  <c:v>45176</c:v>
                </c:pt>
                <c:pt idx="2147">
                  <c:v>45177</c:v>
                </c:pt>
                <c:pt idx="2148">
                  <c:v>45180</c:v>
                </c:pt>
                <c:pt idx="2149">
                  <c:v>45181</c:v>
                </c:pt>
                <c:pt idx="2150">
                  <c:v>45182</c:v>
                </c:pt>
                <c:pt idx="2151">
                  <c:v>45183</c:v>
                </c:pt>
                <c:pt idx="2152">
                  <c:v>45184</c:v>
                </c:pt>
                <c:pt idx="2153">
                  <c:v>45187</c:v>
                </c:pt>
                <c:pt idx="2154">
                  <c:v>45188</c:v>
                </c:pt>
                <c:pt idx="2155">
                  <c:v>45189</c:v>
                </c:pt>
                <c:pt idx="2156">
                  <c:v>45190</c:v>
                </c:pt>
                <c:pt idx="2157">
                  <c:v>45191</c:v>
                </c:pt>
                <c:pt idx="2158">
                  <c:v>45194</c:v>
                </c:pt>
                <c:pt idx="2159">
                  <c:v>45195</c:v>
                </c:pt>
                <c:pt idx="2160">
                  <c:v>45196</c:v>
                </c:pt>
                <c:pt idx="2161">
                  <c:v>45197</c:v>
                </c:pt>
                <c:pt idx="2162">
                  <c:v>45198</c:v>
                </c:pt>
                <c:pt idx="2163">
                  <c:v>45201</c:v>
                </c:pt>
                <c:pt idx="2164">
                  <c:v>45202</c:v>
                </c:pt>
                <c:pt idx="2165">
                  <c:v>45203</c:v>
                </c:pt>
                <c:pt idx="2166">
                  <c:v>45204</c:v>
                </c:pt>
                <c:pt idx="2167">
                  <c:v>45205</c:v>
                </c:pt>
                <c:pt idx="2168">
                  <c:v>45208</c:v>
                </c:pt>
                <c:pt idx="2169">
                  <c:v>45209</c:v>
                </c:pt>
                <c:pt idx="2170">
                  <c:v>45210</c:v>
                </c:pt>
                <c:pt idx="2171">
                  <c:v>45211</c:v>
                </c:pt>
                <c:pt idx="2172">
                  <c:v>45212</c:v>
                </c:pt>
                <c:pt idx="2173">
                  <c:v>45215</c:v>
                </c:pt>
                <c:pt idx="2174">
                  <c:v>45216</c:v>
                </c:pt>
                <c:pt idx="2175">
                  <c:v>45217</c:v>
                </c:pt>
                <c:pt idx="2176">
                  <c:v>45218</c:v>
                </c:pt>
                <c:pt idx="2177">
                  <c:v>45219</c:v>
                </c:pt>
                <c:pt idx="2178">
                  <c:v>45222</c:v>
                </c:pt>
                <c:pt idx="2179">
                  <c:v>45223</c:v>
                </c:pt>
                <c:pt idx="2180">
                  <c:v>45224</c:v>
                </c:pt>
                <c:pt idx="2181">
                  <c:v>45225</c:v>
                </c:pt>
                <c:pt idx="2182">
                  <c:v>45226</c:v>
                </c:pt>
                <c:pt idx="2183">
                  <c:v>45229</c:v>
                </c:pt>
                <c:pt idx="2184">
                  <c:v>45230</c:v>
                </c:pt>
                <c:pt idx="2185">
                  <c:v>45231</c:v>
                </c:pt>
                <c:pt idx="2186">
                  <c:v>45232</c:v>
                </c:pt>
                <c:pt idx="2187">
                  <c:v>45233</c:v>
                </c:pt>
                <c:pt idx="2188">
                  <c:v>45236</c:v>
                </c:pt>
                <c:pt idx="2189">
                  <c:v>45237</c:v>
                </c:pt>
                <c:pt idx="2190">
                  <c:v>45238</c:v>
                </c:pt>
                <c:pt idx="2191">
                  <c:v>45239</c:v>
                </c:pt>
                <c:pt idx="2192">
                  <c:v>45240</c:v>
                </c:pt>
                <c:pt idx="2193">
                  <c:v>45243</c:v>
                </c:pt>
                <c:pt idx="2194">
                  <c:v>45244</c:v>
                </c:pt>
                <c:pt idx="2195">
                  <c:v>45245</c:v>
                </c:pt>
                <c:pt idx="2196">
                  <c:v>45246</c:v>
                </c:pt>
                <c:pt idx="2197">
                  <c:v>45247</c:v>
                </c:pt>
                <c:pt idx="2198">
                  <c:v>45250</c:v>
                </c:pt>
                <c:pt idx="2199">
                  <c:v>45251</c:v>
                </c:pt>
                <c:pt idx="2200">
                  <c:v>45252</c:v>
                </c:pt>
                <c:pt idx="2201">
                  <c:v>45254</c:v>
                </c:pt>
                <c:pt idx="2202">
                  <c:v>45257</c:v>
                </c:pt>
                <c:pt idx="2203">
                  <c:v>45258</c:v>
                </c:pt>
                <c:pt idx="2204">
                  <c:v>45259</c:v>
                </c:pt>
                <c:pt idx="2205">
                  <c:v>45260</c:v>
                </c:pt>
                <c:pt idx="2206">
                  <c:v>45261</c:v>
                </c:pt>
                <c:pt idx="2207">
                  <c:v>45264</c:v>
                </c:pt>
                <c:pt idx="2208">
                  <c:v>45265</c:v>
                </c:pt>
                <c:pt idx="2209">
                  <c:v>45266</c:v>
                </c:pt>
                <c:pt idx="2210">
                  <c:v>45267</c:v>
                </c:pt>
                <c:pt idx="2211">
                  <c:v>45268</c:v>
                </c:pt>
                <c:pt idx="2212">
                  <c:v>45271</c:v>
                </c:pt>
                <c:pt idx="2213">
                  <c:v>45272</c:v>
                </c:pt>
                <c:pt idx="2214">
                  <c:v>45273</c:v>
                </c:pt>
                <c:pt idx="2215">
                  <c:v>45274</c:v>
                </c:pt>
                <c:pt idx="2216">
                  <c:v>45275</c:v>
                </c:pt>
                <c:pt idx="2217">
                  <c:v>45278</c:v>
                </c:pt>
                <c:pt idx="2218">
                  <c:v>45279</c:v>
                </c:pt>
                <c:pt idx="2219">
                  <c:v>45280</c:v>
                </c:pt>
                <c:pt idx="2220">
                  <c:v>45281</c:v>
                </c:pt>
                <c:pt idx="2221">
                  <c:v>45282</c:v>
                </c:pt>
                <c:pt idx="2222">
                  <c:v>45286</c:v>
                </c:pt>
                <c:pt idx="2223">
                  <c:v>45287</c:v>
                </c:pt>
                <c:pt idx="2224">
                  <c:v>45288</c:v>
                </c:pt>
                <c:pt idx="2225">
                  <c:v>45289</c:v>
                </c:pt>
                <c:pt idx="2226">
                  <c:v>45293</c:v>
                </c:pt>
                <c:pt idx="2227">
                  <c:v>45294</c:v>
                </c:pt>
                <c:pt idx="2228">
                  <c:v>45295</c:v>
                </c:pt>
                <c:pt idx="2229">
                  <c:v>45296</c:v>
                </c:pt>
                <c:pt idx="2230">
                  <c:v>45299</c:v>
                </c:pt>
                <c:pt idx="2231">
                  <c:v>45300</c:v>
                </c:pt>
                <c:pt idx="2232">
                  <c:v>45301</c:v>
                </c:pt>
                <c:pt idx="2233">
                  <c:v>45302</c:v>
                </c:pt>
                <c:pt idx="2234">
                  <c:v>45303</c:v>
                </c:pt>
                <c:pt idx="2235">
                  <c:v>45307</c:v>
                </c:pt>
                <c:pt idx="2236">
                  <c:v>45308</c:v>
                </c:pt>
                <c:pt idx="2237">
                  <c:v>45309</c:v>
                </c:pt>
                <c:pt idx="2238">
                  <c:v>45310</c:v>
                </c:pt>
                <c:pt idx="2239">
                  <c:v>45313</c:v>
                </c:pt>
                <c:pt idx="2240">
                  <c:v>45314</c:v>
                </c:pt>
                <c:pt idx="2241">
                  <c:v>45315</c:v>
                </c:pt>
                <c:pt idx="2242">
                  <c:v>45316</c:v>
                </c:pt>
                <c:pt idx="2243">
                  <c:v>45317</c:v>
                </c:pt>
                <c:pt idx="2244">
                  <c:v>45320</c:v>
                </c:pt>
                <c:pt idx="2245">
                  <c:v>45321</c:v>
                </c:pt>
                <c:pt idx="2246">
                  <c:v>45322</c:v>
                </c:pt>
                <c:pt idx="2247">
                  <c:v>45323</c:v>
                </c:pt>
                <c:pt idx="2248">
                  <c:v>45324</c:v>
                </c:pt>
                <c:pt idx="2249">
                  <c:v>45327</c:v>
                </c:pt>
                <c:pt idx="2250">
                  <c:v>45328</c:v>
                </c:pt>
                <c:pt idx="2251">
                  <c:v>45329</c:v>
                </c:pt>
                <c:pt idx="2252">
                  <c:v>45330</c:v>
                </c:pt>
                <c:pt idx="2253">
                  <c:v>45331</c:v>
                </c:pt>
                <c:pt idx="2254">
                  <c:v>45334</c:v>
                </c:pt>
                <c:pt idx="2255">
                  <c:v>45335</c:v>
                </c:pt>
                <c:pt idx="2256">
                  <c:v>45336</c:v>
                </c:pt>
                <c:pt idx="2257">
                  <c:v>45337</c:v>
                </c:pt>
                <c:pt idx="2258">
                  <c:v>45338</c:v>
                </c:pt>
                <c:pt idx="2259">
                  <c:v>45342</c:v>
                </c:pt>
                <c:pt idx="2260">
                  <c:v>45343</c:v>
                </c:pt>
                <c:pt idx="2261">
                  <c:v>45344</c:v>
                </c:pt>
                <c:pt idx="2262">
                  <c:v>45345</c:v>
                </c:pt>
                <c:pt idx="2263">
                  <c:v>45348</c:v>
                </c:pt>
                <c:pt idx="2264">
                  <c:v>45349</c:v>
                </c:pt>
                <c:pt idx="2265">
                  <c:v>45350</c:v>
                </c:pt>
                <c:pt idx="2266">
                  <c:v>45351</c:v>
                </c:pt>
                <c:pt idx="2267">
                  <c:v>45352</c:v>
                </c:pt>
                <c:pt idx="2268">
                  <c:v>45355</c:v>
                </c:pt>
                <c:pt idx="2269">
                  <c:v>45356</c:v>
                </c:pt>
                <c:pt idx="2270">
                  <c:v>45357</c:v>
                </c:pt>
                <c:pt idx="2271">
                  <c:v>45358</c:v>
                </c:pt>
                <c:pt idx="2272">
                  <c:v>45359</c:v>
                </c:pt>
                <c:pt idx="2273">
                  <c:v>45362</c:v>
                </c:pt>
                <c:pt idx="2274">
                  <c:v>45363</c:v>
                </c:pt>
                <c:pt idx="2275">
                  <c:v>45364</c:v>
                </c:pt>
                <c:pt idx="2276">
                  <c:v>45365</c:v>
                </c:pt>
                <c:pt idx="2277">
                  <c:v>45366</c:v>
                </c:pt>
                <c:pt idx="2278">
                  <c:v>45369</c:v>
                </c:pt>
                <c:pt idx="2279">
                  <c:v>45370</c:v>
                </c:pt>
                <c:pt idx="2280">
                  <c:v>45371</c:v>
                </c:pt>
                <c:pt idx="2281">
                  <c:v>45372</c:v>
                </c:pt>
                <c:pt idx="2282">
                  <c:v>45373</c:v>
                </c:pt>
                <c:pt idx="2283">
                  <c:v>45376</c:v>
                </c:pt>
                <c:pt idx="2284">
                  <c:v>45377</c:v>
                </c:pt>
                <c:pt idx="2285">
                  <c:v>45378</c:v>
                </c:pt>
                <c:pt idx="2286">
                  <c:v>45379</c:v>
                </c:pt>
                <c:pt idx="2287">
                  <c:v>45383</c:v>
                </c:pt>
                <c:pt idx="2288">
                  <c:v>45384</c:v>
                </c:pt>
                <c:pt idx="2289">
                  <c:v>45385</c:v>
                </c:pt>
                <c:pt idx="2290">
                  <c:v>45386</c:v>
                </c:pt>
                <c:pt idx="2291">
                  <c:v>45387</c:v>
                </c:pt>
                <c:pt idx="2292">
                  <c:v>45390</c:v>
                </c:pt>
                <c:pt idx="2293">
                  <c:v>45391</c:v>
                </c:pt>
                <c:pt idx="2294">
                  <c:v>45392</c:v>
                </c:pt>
                <c:pt idx="2295">
                  <c:v>45393</c:v>
                </c:pt>
                <c:pt idx="2296">
                  <c:v>45394</c:v>
                </c:pt>
                <c:pt idx="2297">
                  <c:v>45397</c:v>
                </c:pt>
                <c:pt idx="2298">
                  <c:v>45398</c:v>
                </c:pt>
                <c:pt idx="2299">
                  <c:v>45399</c:v>
                </c:pt>
                <c:pt idx="2300">
                  <c:v>45400</c:v>
                </c:pt>
                <c:pt idx="2301">
                  <c:v>45401</c:v>
                </c:pt>
                <c:pt idx="2302">
                  <c:v>45404</c:v>
                </c:pt>
                <c:pt idx="2303">
                  <c:v>45405</c:v>
                </c:pt>
                <c:pt idx="2304">
                  <c:v>45406</c:v>
                </c:pt>
                <c:pt idx="2305">
                  <c:v>45407</c:v>
                </c:pt>
                <c:pt idx="2306">
                  <c:v>45408</c:v>
                </c:pt>
                <c:pt idx="2307">
                  <c:v>45411</c:v>
                </c:pt>
                <c:pt idx="2308">
                  <c:v>45412</c:v>
                </c:pt>
                <c:pt idx="2309">
                  <c:v>45413</c:v>
                </c:pt>
                <c:pt idx="2310">
                  <c:v>45414</c:v>
                </c:pt>
                <c:pt idx="2311">
                  <c:v>45415</c:v>
                </c:pt>
                <c:pt idx="2312">
                  <c:v>45418</c:v>
                </c:pt>
                <c:pt idx="2313">
                  <c:v>45419</c:v>
                </c:pt>
                <c:pt idx="2314">
                  <c:v>45420</c:v>
                </c:pt>
                <c:pt idx="2315">
                  <c:v>45421</c:v>
                </c:pt>
                <c:pt idx="2316">
                  <c:v>45422</c:v>
                </c:pt>
                <c:pt idx="2317">
                  <c:v>45425</c:v>
                </c:pt>
                <c:pt idx="2318">
                  <c:v>45426</c:v>
                </c:pt>
                <c:pt idx="2319">
                  <c:v>45427</c:v>
                </c:pt>
                <c:pt idx="2320">
                  <c:v>45428</c:v>
                </c:pt>
                <c:pt idx="2321">
                  <c:v>45429</c:v>
                </c:pt>
                <c:pt idx="2322">
                  <c:v>45432</c:v>
                </c:pt>
                <c:pt idx="2323">
                  <c:v>45433</c:v>
                </c:pt>
                <c:pt idx="2324">
                  <c:v>45434</c:v>
                </c:pt>
                <c:pt idx="2325">
                  <c:v>45435</c:v>
                </c:pt>
                <c:pt idx="2326">
                  <c:v>45436</c:v>
                </c:pt>
                <c:pt idx="2327">
                  <c:v>45440</c:v>
                </c:pt>
                <c:pt idx="2328">
                  <c:v>45441</c:v>
                </c:pt>
                <c:pt idx="2329">
                  <c:v>45442</c:v>
                </c:pt>
                <c:pt idx="2330">
                  <c:v>45443</c:v>
                </c:pt>
                <c:pt idx="2331">
                  <c:v>45446</c:v>
                </c:pt>
                <c:pt idx="2332">
                  <c:v>45447</c:v>
                </c:pt>
                <c:pt idx="2333">
                  <c:v>45448</c:v>
                </c:pt>
                <c:pt idx="2334">
                  <c:v>45449</c:v>
                </c:pt>
                <c:pt idx="2335">
                  <c:v>45450</c:v>
                </c:pt>
                <c:pt idx="2336">
                  <c:v>45453</c:v>
                </c:pt>
                <c:pt idx="2337">
                  <c:v>45454</c:v>
                </c:pt>
                <c:pt idx="2338">
                  <c:v>45455</c:v>
                </c:pt>
                <c:pt idx="2339">
                  <c:v>45456</c:v>
                </c:pt>
                <c:pt idx="2340">
                  <c:v>45457</c:v>
                </c:pt>
                <c:pt idx="2341">
                  <c:v>45460</c:v>
                </c:pt>
                <c:pt idx="2342">
                  <c:v>45461</c:v>
                </c:pt>
                <c:pt idx="2343">
                  <c:v>45463</c:v>
                </c:pt>
                <c:pt idx="2344">
                  <c:v>45464</c:v>
                </c:pt>
                <c:pt idx="2345">
                  <c:v>45467</c:v>
                </c:pt>
                <c:pt idx="2346">
                  <c:v>45468</c:v>
                </c:pt>
                <c:pt idx="2347">
                  <c:v>45469</c:v>
                </c:pt>
                <c:pt idx="2348">
                  <c:v>45470</c:v>
                </c:pt>
                <c:pt idx="2349">
                  <c:v>45471</c:v>
                </c:pt>
                <c:pt idx="2350">
                  <c:v>45474</c:v>
                </c:pt>
                <c:pt idx="2351">
                  <c:v>45475</c:v>
                </c:pt>
                <c:pt idx="2352">
                  <c:v>45476</c:v>
                </c:pt>
                <c:pt idx="2353">
                  <c:v>45478</c:v>
                </c:pt>
                <c:pt idx="2354">
                  <c:v>45481</c:v>
                </c:pt>
                <c:pt idx="2355">
                  <c:v>45482</c:v>
                </c:pt>
                <c:pt idx="2356">
                  <c:v>45483</c:v>
                </c:pt>
                <c:pt idx="2357">
                  <c:v>45484</c:v>
                </c:pt>
                <c:pt idx="2358">
                  <c:v>45485</c:v>
                </c:pt>
                <c:pt idx="2359">
                  <c:v>45488</c:v>
                </c:pt>
                <c:pt idx="2360">
                  <c:v>45489</c:v>
                </c:pt>
                <c:pt idx="2361">
                  <c:v>45490</c:v>
                </c:pt>
                <c:pt idx="2362">
                  <c:v>45491</c:v>
                </c:pt>
                <c:pt idx="2363">
                  <c:v>45492</c:v>
                </c:pt>
                <c:pt idx="2364">
                  <c:v>45495</c:v>
                </c:pt>
                <c:pt idx="2365">
                  <c:v>45496</c:v>
                </c:pt>
                <c:pt idx="2366">
                  <c:v>45497</c:v>
                </c:pt>
                <c:pt idx="2367">
                  <c:v>45498</c:v>
                </c:pt>
                <c:pt idx="2368">
                  <c:v>45499</c:v>
                </c:pt>
                <c:pt idx="2369">
                  <c:v>45502</c:v>
                </c:pt>
                <c:pt idx="2370">
                  <c:v>45503</c:v>
                </c:pt>
                <c:pt idx="2371">
                  <c:v>45504</c:v>
                </c:pt>
                <c:pt idx="2372">
                  <c:v>45505</c:v>
                </c:pt>
                <c:pt idx="2373">
                  <c:v>45506</c:v>
                </c:pt>
                <c:pt idx="2374">
                  <c:v>45509</c:v>
                </c:pt>
                <c:pt idx="2375">
                  <c:v>45510</c:v>
                </c:pt>
                <c:pt idx="2376">
                  <c:v>45511</c:v>
                </c:pt>
                <c:pt idx="2377">
                  <c:v>45512</c:v>
                </c:pt>
                <c:pt idx="2378">
                  <c:v>45513</c:v>
                </c:pt>
                <c:pt idx="2379">
                  <c:v>45516</c:v>
                </c:pt>
                <c:pt idx="2380">
                  <c:v>45517</c:v>
                </c:pt>
                <c:pt idx="2381">
                  <c:v>45518</c:v>
                </c:pt>
                <c:pt idx="2382">
                  <c:v>45519</c:v>
                </c:pt>
                <c:pt idx="2383">
                  <c:v>45520</c:v>
                </c:pt>
                <c:pt idx="2384">
                  <c:v>45523</c:v>
                </c:pt>
                <c:pt idx="2385">
                  <c:v>45524</c:v>
                </c:pt>
                <c:pt idx="2386">
                  <c:v>45525</c:v>
                </c:pt>
                <c:pt idx="2387">
                  <c:v>45526</c:v>
                </c:pt>
                <c:pt idx="2388">
                  <c:v>45527</c:v>
                </c:pt>
                <c:pt idx="2389">
                  <c:v>45530</c:v>
                </c:pt>
                <c:pt idx="2390">
                  <c:v>45531</c:v>
                </c:pt>
                <c:pt idx="2391">
                  <c:v>45532</c:v>
                </c:pt>
                <c:pt idx="2392">
                  <c:v>45533</c:v>
                </c:pt>
                <c:pt idx="2393">
                  <c:v>45534</c:v>
                </c:pt>
                <c:pt idx="2394">
                  <c:v>45538</c:v>
                </c:pt>
                <c:pt idx="2395">
                  <c:v>45539</c:v>
                </c:pt>
                <c:pt idx="2396">
                  <c:v>45540</c:v>
                </c:pt>
                <c:pt idx="2397">
                  <c:v>45541</c:v>
                </c:pt>
                <c:pt idx="2398">
                  <c:v>45544</c:v>
                </c:pt>
                <c:pt idx="2399">
                  <c:v>45545</c:v>
                </c:pt>
                <c:pt idx="2400">
                  <c:v>45546</c:v>
                </c:pt>
                <c:pt idx="2401">
                  <c:v>45547</c:v>
                </c:pt>
                <c:pt idx="2402">
                  <c:v>45548</c:v>
                </c:pt>
                <c:pt idx="2403">
                  <c:v>45551</c:v>
                </c:pt>
                <c:pt idx="2404">
                  <c:v>45552</c:v>
                </c:pt>
                <c:pt idx="2405">
                  <c:v>45553</c:v>
                </c:pt>
                <c:pt idx="2406">
                  <c:v>45554</c:v>
                </c:pt>
                <c:pt idx="2407">
                  <c:v>45555</c:v>
                </c:pt>
                <c:pt idx="2408">
                  <c:v>45558</c:v>
                </c:pt>
                <c:pt idx="2409">
                  <c:v>45559</c:v>
                </c:pt>
                <c:pt idx="2410">
                  <c:v>45560</c:v>
                </c:pt>
                <c:pt idx="2411">
                  <c:v>45561</c:v>
                </c:pt>
                <c:pt idx="2412">
                  <c:v>45562</c:v>
                </c:pt>
                <c:pt idx="2413">
                  <c:v>45565</c:v>
                </c:pt>
                <c:pt idx="2414">
                  <c:v>45566</c:v>
                </c:pt>
                <c:pt idx="2415">
                  <c:v>45567</c:v>
                </c:pt>
                <c:pt idx="2416">
                  <c:v>45568</c:v>
                </c:pt>
                <c:pt idx="2417">
                  <c:v>45569</c:v>
                </c:pt>
                <c:pt idx="2418">
                  <c:v>45572</c:v>
                </c:pt>
                <c:pt idx="2419">
                  <c:v>45573</c:v>
                </c:pt>
                <c:pt idx="2420">
                  <c:v>45574</c:v>
                </c:pt>
                <c:pt idx="2421">
                  <c:v>45575</c:v>
                </c:pt>
                <c:pt idx="2422">
                  <c:v>45576</c:v>
                </c:pt>
                <c:pt idx="2423">
                  <c:v>45579</c:v>
                </c:pt>
                <c:pt idx="2424">
                  <c:v>45580</c:v>
                </c:pt>
                <c:pt idx="2425">
                  <c:v>45581</c:v>
                </c:pt>
                <c:pt idx="2426">
                  <c:v>45582</c:v>
                </c:pt>
                <c:pt idx="2427">
                  <c:v>45583</c:v>
                </c:pt>
                <c:pt idx="2428">
                  <c:v>45586</c:v>
                </c:pt>
                <c:pt idx="2429">
                  <c:v>45587</c:v>
                </c:pt>
                <c:pt idx="2430">
                  <c:v>45588</c:v>
                </c:pt>
                <c:pt idx="2431">
                  <c:v>45589</c:v>
                </c:pt>
                <c:pt idx="2432">
                  <c:v>45590</c:v>
                </c:pt>
                <c:pt idx="2433">
                  <c:v>45593</c:v>
                </c:pt>
                <c:pt idx="2434">
                  <c:v>45594</c:v>
                </c:pt>
                <c:pt idx="2435">
                  <c:v>45595</c:v>
                </c:pt>
                <c:pt idx="2436">
                  <c:v>45596</c:v>
                </c:pt>
                <c:pt idx="2437">
                  <c:v>45597</c:v>
                </c:pt>
                <c:pt idx="2438">
                  <c:v>45600</c:v>
                </c:pt>
                <c:pt idx="2439">
                  <c:v>45601</c:v>
                </c:pt>
                <c:pt idx="2440">
                  <c:v>45602</c:v>
                </c:pt>
                <c:pt idx="2441">
                  <c:v>45603</c:v>
                </c:pt>
                <c:pt idx="2442">
                  <c:v>45604</c:v>
                </c:pt>
                <c:pt idx="2443">
                  <c:v>45607</c:v>
                </c:pt>
                <c:pt idx="2444">
                  <c:v>45608</c:v>
                </c:pt>
                <c:pt idx="2445">
                  <c:v>45609</c:v>
                </c:pt>
                <c:pt idx="2446">
                  <c:v>45610</c:v>
                </c:pt>
                <c:pt idx="2447">
                  <c:v>45611</c:v>
                </c:pt>
                <c:pt idx="2448">
                  <c:v>45614</c:v>
                </c:pt>
                <c:pt idx="2449">
                  <c:v>45615</c:v>
                </c:pt>
                <c:pt idx="2450">
                  <c:v>45616</c:v>
                </c:pt>
                <c:pt idx="2451">
                  <c:v>45617</c:v>
                </c:pt>
                <c:pt idx="2452">
                  <c:v>45618</c:v>
                </c:pt>
                <c:pt idx="2453">
                  <c:v>45621</c:v>
                </c:pt>
                <c:pt idx="2454">
                  <c:v>45622</c:v>
                </c:pt>
                <c:pt idx="2455">
                  <c:v>45623</c:v>
                </c:pt>
                <c:pt idx="2456">
                  <c:v>45625</c:v>
                </c:pt>
                <c:pt idx="2457">
                  <c:v>45628</c:v>
                </c:pt>
                <c:pt idx="2458">
                  <c:v>45629</c:v>
                </c:pt>
                <c:pt idx="2459">
                  <c:v>45630</c:v>
                </c:pt>
                <c:pt idx="2460">
                  <c:v>45631</c:v>
                </c:pt>
                <c:pt idx="2461">
                  <c:v>45632</c:v>
                </c:pt>
                <c:pt idx="2462">
                  <c:v>45635</c:v>
                </c:pt>
                <c:pt idx="2463">
                  <c:v>45636</c:v>
                </c:pt>
                <c:pt idx="2464">
                  <c:v>45637</c:v>
                </c:pt>
                <c:pt idx="2465">
                  <c:v>45638</c:v>
                </c:pt>
                <c:pt idx="2466">
                  <c:v>45639</c:v>
                </c:pt>
                <c:pt idx="2467">
                  <c:v>45642</c:v>
                </c:pt>
                <c:pt idx="2468">
                  <c:v>45643</c:v>
                </c:pt>
                <c:pt idx="2469">
                  <c:v>45644</c:v>
                </c:pt>
                <c:pt idx="2470">
                  <c:v>45645</c:v>
                </c:pt>
                <c:pt idx="2471">
                  <c:v>45646</c:v>
                </c:pt>
                <c:pt idx="2472">
                  <c:v>45649</c:v>
                </c:pt>
                <c:pt idx="2473">
                  <c:v>45650</c:v>
                </c:pt>
                <c:pt idx="2474">
                  <c:v>45652</c:v>
                </c:pt>
                <c:pt idx="2475">
                  <c:v>45653</c:v>
                </c:pt>
                <c:pt idx="2476">
                  <c:v>45656</c:v>
                </c:pt>
                <c:pt idx="2477">
                  <c:v>45657</c:v>
                </c:pt>
                <c:pt idx="2478">
                  <c:v>45659</c:v>
                </c:pt>
                <c:pt idx="2479">
                  <c:v>45660</c:v>
                </c:pt>
                <c:pt idx="2480">
                  <c:v>45663</c:v>
                </c:pt>
                <c:pt idx="2481">
                  <c:v>45664</c:v>
                </c:pt>
                <c:pt idx="2482">
                  <c:v>45665</c:v>
                </c:pt>
                <c:pt idx="2483">
                  <c:v>45667</c:v>
                </c:pt>
                <c:pt idx="2484">
                  <c:v>45670</c:v>
                </c:pt>
                <c:pt idx="2485">
                  <c:v>45671</c:v>
                </c:pt>
                <c:pt idx="2486">
                  <c:v>45672</c:v>
                </c:pt>
                <c:pt idx="2487">
                  <c:v>45673</c:v>
                </c:pt>
                <c:pt idx="2488">
                  <c:v>45674</c:v>
                </c:pt>
                <c:pt idx="2489">
                  <c:v>45678</c:v>
                </c:pt>
                <c:pt idx="2490">
                  <c:v>45679</c:v>
                </c:pt>
                <c:pt idx="2491">
                  <c:v>45680</c:v>
                </c:pt>
                <c:pt idx="2492">
                  <c:v>45681</c:v>
                </c:pt>
                <c:pt idx="2493">
                  <c:v>45684</c:v>
                </c:pt>
                <c:pt idx="2494">
                  <c:v>45685</c:v>
                </c:pt>
                <c:pt idx="2495">
                  <c:v>45686</c:v>
                </c:pt>
                <c:pt idx="2496">
                  <c:v>45687</c:v>
                </c:pt>
                <c:pt idx="2497">
                  <c:v>45688</c:v>
                </c:pt>
                <c:pt idx="2498">
                  <c:v>45691</c:v>
                </c:pt>
                <c:pt idx="2499">
                  <c:v>45692</c:v>
                </c:pt>
                <c:pt idx="2500">
                  <c:v>45693</c:v>
                </c:pt>
                <c:pt idx="2501">
                  <c:v>45694</c:v>
                </c:pt>
                <c:pt idx="2502">
                  <c:v>45695</c:v>
                </c:pt>
                <c:pt idx="2503">
                  <c:v>45698</c:v>
                </c:pt>
                <c:pt idx="2504">
                  <c:v>45699</c:v>
                </c:pt>
                <c:pt idx="2505">
                  <c:v>45700</c:v>
                </c:pt>
                <c:pt idx="2506">
                  <c:v>45701</c:v>
                </c:pt>
                <c:pt idx="2507">
                  <c:v>45702</c:v>
                </c:pt>
                <c:pt idx="2508">
                  <c:v>45706</c:v>
                </c:pt>
                <c:pt idx="2509">
                  <c:v>45707</c:v>
                </c:pt>
                <c:pt idx="2510">
                  <c:v>45708</c:v>
                </c:pt>
                <c:pt idx="2511">
                  <c:v>45709</c:v>
                </c:pt>
                <c:pt idx="2512">
                  <c:v>45712</c:v>
                </c:pt>
                <c:pt idx="2513">
                  <c:v>45713</c:v>
                </c:pt>
                <c:pt idx="2514">
                  <c:v>45714</c:v>
                </c:pt>
                <c:pt idx="2515">
                  <c:v>45715</c:v>
                </c:pt>
                <c:pt idx="2516">
                  <c:v>45716</c:v>
                </c:pt>
              </c:numCache>
            </c:numRef>
          </c:cat>
          <c:val>
            <c:numRef>
              <c:f>'Coca-Cola Stock Price History'!$K$6:$K$2522</c:f>
              <c:numCache>
                <c:formatCode>General</c:formatCode>
                <c:ptCount val="25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0">
                  <c:v>41.010000000000005</c:v>
                </c:pt>
                <c:pt idx="21" formatCode="0.000">
                  <c:v>40.845789473684221</c:v>
                </c:pt>
                <c:pt idx="22" formatCode="0.000">
                  <c:v>40.71736842105264</c:v>
                </c:pt>
                <c:pt idx="23" formatCode="0.000">
                  <c:v>40.614736842105266</c:v>
                </c:pt>
                <c:pt idx="24" formatCode="0.000">
                  <c:v>40.524210526315784</c:v>
                </c:pt>
                <c:pt idx="25" formatCode="0.000">
                  <c:v>40.479999999999997</c:v>
                </c:pt>
                <c:pt idx="26" formatCode="0.000">
                  <c:v>40.468421052631562</c:v>
                </c:pt>
                <c:pt idx="27" formatCode="0.000">
                  <c:v>40.485263157894728</c:v>
                </c:pt>
                <c:pt idx="28" formatCode="0.000">
                  <c:v>40.526842105263142</c:v>
                </c:pt>
                <c:pt idx="29" formatCode="0.000">
                  <c:v>40.552105263157877</c:v>
                </c:pt>
                <c:pt idx="30" formatCode="0.000">
                  <c:v>40.603157894736832</c:v>
                </c:pt>
                <c:pt idx="31" formatCode="0.000">
                  <c:v>40.624736842105257</c:v>
                </c:pt>
                <c:pt idx="32" formatCode="0.000">
                  <c:v>40.624736842105264</c:v>
                </c:pt>
                <c:pt idx="33" formatCode="0.000">
                  <c:v>40.614210526315787</c:v>
                </c:pt>
                <c:pt idx="34" formatCode="0.000">
                  <c:v>40.64473684210526</c:v>
                </c:pt>
                <c:pt idx="35" formatCode="0.000">
                  <c:v>40.626315789473686</c:v>
                </c:pt>
                <c:pt idx="36" formatCode="0.000">
                  <c:v>40.62842105263158</c:v>
                </c:pt>
                <c:pt idx="37" formatCode="0.000">
                  <c:v>40.64473684210526</c:v>
                </c:pt>
                <c:pt idx="38" formatCode="0.000">
                  <c:v>40.69</c:v>
                </c:pt>
                <c:pt idx="39" formatCode="0.000">
                  <c:v>40.721578947368421</c:v>
                </c:pt>
                <c:pt idx="40" formatCode="0.000">
                  <c:v>40.764210526315786</c:v>
                </c:pt>
                <c:pt idx="41" formatCode="0.000">
                  <c:v>40.781052631578945</c:v>
                </c:pt>
                <c:pt idx="42" formatCode="0.000">
                  <c:v>40.792631578947365</c:v>
                </c:pt>
                <c:pt idx="43" formatCode="0.000">
                  <c:v>40.782631578947374</c:v>
                </c:pt>
                <c:pt idx="44" formatCode="0.000">
                  <c:v>40.776315789473685</c:v>
                </c:pt>
                <c:pt idx="45" formatCode="0.000">
                  <c:v>40.762631578947364</c:v>
                </c:pt>
                <c:pt idx="46" formatCode="0.000">
                  <c:v>40.76</c:v>
                </c:pt>
                <c:pt idx="47" formatCode="0.000">
                  <c:v>40.752631578947373</c:v>
                </c:pt>
                <c:pt idx="48" formatCode="0.000">
                  <c:v>40.732105263157884</c:v>
                </c:pt>
                <c:pt idx="49" formatCode="0.000">
                  <c:v>40.722631578947372</c:v>
                </c:pt>
                <c:pt idx="50" formatCode="0.000">
                  <c:v>40.737368421052629</c:v>
                </c:pt>
                <c:pt idx="51" formatCode="0.000">
                  <c:v>40.760000000000005</c:v>
                </c:pt>
                <c:pt idx="52" formatCode="0.000">
                  <c:v>40.775263157894734</c:v>
                </c:pt>
                <c:pt idx="53" formatCode="0.000">
                  <c:v>40.798947368421047</c:v>
                </c:pt>
                <c:pt idx="54" formatCode="0.000">
                  <c:v>40.8621052631579</c:v>
                </c:pt>
                <c:pt idx="55" formatCode="0.000">
                  <c:v>40.907368421052631</c:v>
                </c:pt>
                <c:pt idx="56" formatCode="0.000">
                  <c:v>40.935789473684217</c:v>
                </c:pt>
                <c:pt idx="57" formatCode="0.000">
                  <c:v>40.93578947368421</c:v>
                </c:pt>
                <c:pt idx="58" formatCode="0.000">
                  <c:v>40.956842105263171</c:v>
                </c:pt>
                <c:pt idx="59" formatCode="0.000">
                  <c:v>40.974736842105266</c:v>
                </c:pt>
                <c:pt idx="60" formatCode="0.000">
                  <c:v>40.994736842105276</c:v>
                </c:pt>
                <c:pt idx="61" formatCode="0.000">
                  <c:v>41.006315789473696</c:v>
                </c:pt>
                <c:pt idx="62" formatCode="0.000">
                  <c:v>41.039473684210542</c:v>
                </c:pt>
                <c:pt idx="63" formatCode="0.000">
                  <c:v>41.07</c:v>
                </c:pt>
                <c:pt idx="64" formatCode="0.000">
                  <c:v>41.072631578947366</c:v>
                </c:pt>
                <c:pt idx="65" formatCode="0.000">
                  <c:v>41.07157894736843</c:v>
                </c:pt>
                <c:pt idx="66" formatCode="0.000">
                  <c:v>41.084210526315793</c:v>
                </c:pt>
                <c:pt idx="67" formatCode="0.000">
                  <c:v>41.095263157894742</c:v>
                </c:pt>
                <c:pt idx="68" formatCode="0.000">
                  <c:v>41.089473684210532</c:v>
                </c:pt>
                <c:pt idx="69" formatCode="0.000">
                  <c:v>41.043157894736858</c:v>
                </c:pt>
                <c:pt idx="70" formatCode="0.000">
                  <c:v>41.002105263157894</c:v>
                </c:pt>
                <c:pt idx="71" formatCode="0.000">
                  <c:v>40.976315789473681</c:v>
                </c:pt>
                <c:pt idx="72" formatCode="0.000">
                  <c:v>40.938421052631583</c:v>
                </c:pt>
                <c:pt idx="73" formatCode="0.000">
                  <c:v>40.864736842105266</c:v>
                </c:pt>
                <c:pt idx="74" formatCode="0.000">
                  <c:v>40.782631578947374</c:v>
                </c:pt>
                <c:pt idx="75" formatCode="0.000">
                  <c:v>40.691578947368434</c:v>
                </c:pt>
                <c:pt idx="76" formatCode="0.000">
                  <c:v>40.626842105263165</c:v>
                </c:pt>
                <c:pt idx="77" formatCode="0.000">
                  <c:v>40.570000000000014</c:v>
                </c:pt>
                <c:pt idx="78" formatCode="0.000">
                  <c:v>40.539473684210527</c:v>
                </c:pt>
                <c:pt idx="79" formatCode="0.000">
                  <c:v>40.496842105263163</c:v>
                </c:pt>
                <c:pt idx="80" formatCode="0.000">
                  <c:v>40.470000000000006</c:v>
                </c:pt>
                <c:pt idx="81" formatCode="0.000">
                  <c:v>40.431052631578943</c:v>
                </c:pt>
                <c:pt idx="82" formatCode="0.000">
                  <c:v>40.381052631578946</c:v>
                </c:pt>
                <c:pt idx="83" formatCode="0.000">
                  <c:v>40.331578947368421</c:v>
                </c:pt>
                <c:pt idx="84" formatCode="0.000">
                  <c:v>40.282105263157888</c:v>
                </c:pt>
                <c:pt idx="85" formatCode="0.000">
                  <c:v>40.198421052631574</c:v>
                </c:pt>
                <c:pt idx="86" formatCode="0.000">
                  <c:v>40.112105263157879</c:v>
                </c:pt>
                <c:pt idx="87" formatCode="0.000">
                  <c:v>40.054736842105257</c:v>
                </c:pt>
                <c:pt idx="88" formatCode="0.000">
                  <c:v>40.022631578947369</c:v>
                </c:pt>
                <c:pt idx="89" formatCode="0.000">
                  <c:v>39.983684210526313</c:v>
                </c:pt>
                <c:pt idx="90" formatCode="0.000">
                  <c:v>39.986315789473686</c:v>
                </c:pt>
                <c:pt idx="91" formatCode="0.000">
                  <c:v>39.961578947368423</c:v>
                </c:pt>
                <c:pt idx="92" formatCode="0.000">
                  <c:v>39.95210526315789</c:v>
                </c:pt>
                <c:pt idx="93" formatCode="0.000">
                  <c:v>39.974736842105266</c:v>
                </c:pt>
                <c:pt idx="94" formatCode="0.000">
                  <c:v>40.031052631578937</c:v>
                </c:pt>
                <c:pt idx="95" formatCode="0.000">
                  <c:v>40.088421052631567</c:v>
                </c:pt>
                <c:pt idx="96" formatCode="0.000">
                  <c:v>40.133684210526312</c:v>
                </c:pt>
                <c:pt idx="97" formatCode="0.000">
                  <c:v>40.177368421052627</c:v>
                </c:pt>
                <c:pt idx="98" formatCode="0.000">
                  <c:v>40.222105263157893</c:v>
                </c:pt>
                <c:pt idx="99" formatCode="0.000">
                  <c:v>40.269473684210524</c:v>
                </c:pt>
                <c:pt idx="100" formatCode="0.000">
                  <c:v>40.312105263157896</c:v>
                </c:pt>
                <c:pt idx="101" formatCode="0.000">
                  <c:v>40.349473684210523</c:v>
                </c:pt>
                <c:pt idx="102" formatCode="0.000">
                  <c:v>40.392631578947373</c:v>
                </c:pt>
                <c:pt idx="103" formatCode="0.000">
                  <c:v>40.415789473684214</c:v>
                </c:pt>
                <c:pt idx="104" formatCode="0.000">
                  <c:v>40.475789473684209</c:v>
                </c:pt>
                <c:pt idx="105" formatCode="0.000">
                  <c:v>40.545263157894745</c:v>
                </c:pt>
                <c:pt idx="106" formatCode="0.000">
                  <c:v>40.602631578947367</c:v>
                </c:pt>
                <c:pt idx="107" formatCode="0.000">
                  <c:v>40.658947368421053</c:v>
                </c:pt>
                <c:pt idx="108" formatCode="0.000">
                  <c:v>40.746315789473684</c:v>
                </c:pt>
                <c:pt idx="109" formatCode="0.000">
                  <c:v>40.814210526315783</c:v>
                </c:pt>
                <c:pt idx="110" formatCode="0.000">
                  <c:v>40.918947368421051</c:v>
                </c:pt>
                <c:pt idx="111" formatCode="0.000">
                  <c:v>41.034736842105261</c:v>
                </c:pt>
                <c:pt idx="112" formatCode="0.000">
                  <c:v>41.115263157894738</c:v>
                </c:pt>
                <c:pt idx="113" formatCode="0.000">
                  <c:v>41.173684210526311</c:v>
                </c:pt>
                <c:pt idx="114" formatCode="0.000">
                  <c:v>41.200526315789467</c:v>
                </c:pt>
                <c:pt idx="115" formatCode="0.000">
                  <c:v>41.218947368421048</c:v>
                </c:pt>
                <c:pt idx="116" formatCode="0.000">
                  <c:v>41.207368421052628</c:v>
                </c:pt>
                <c:pt idx="117" formatCode="0.000">
                  <c:v>41.199473684210517</c:v>
                </c:pt>
                <c:pt idx="118" formatCode="0.000">
                  <c:v>41.192631578947363</c:v>
                </c:pt>
                <c:pt idx="119" formatCode="0.000">
                  <c:v>41.201052631578953</c:v>
                </c:pt>
                <c:pt idx="120" formatCode="0.000">
                  <c:v>41.222105263157893</c:v>
                </c:pt>
                <c:pt idx="121" formatCode="0.000">
                  <c:v>41.218947368421048</c:v>
                </c:pt>
                <c:pt idx="122" formatCode="0.000">
                  <c:v>41.224736842105266</c:v>
                </c:pt>
                <c:pt idx="123" formatCode="0.000">
                  <c:v>41.171578947368417</c:v>
                </c:pt>
                <c:pt idx="124" formatCode="0.000">
                  <c:v>41.05736842105263</c:v>
                </c:pt>
                <c:pt idx="125" formatCode="0.000">
                  <c:v>40.920526315789466</c:v>
                </c:pt>
                <c:pt idx="126" formatCode="0.000">
                  <c:v>40.824210526315788</c:v>
                </c:pt>
                <c:pt idx="127" formatCode="0.000">
                  <c:v>40.728947368421053</c:v>
                </c:pt>
                <c:pt idx="128" formatCode="0.000">
                  <c:v>40.618947368421054</c:v>
                </c:pt>
                <c:pt idx="129" formatCode="0.000">
                  <c:v>40.485789473684214</c:v>
                </c:pt>
                <c:pt idx="130" formatCode="0.000">
                  <c:v>40.308421052631587</c:v>
                </c:pt>
                <c:pt idx="131" formatCode="0.000">
                  <c:v>40.149473684210534</c:v>
                </c:pt>
                <c:pt idx="132" formatCode="0.000">
                  <c:v>40.012105263157899</c:v>
                </c:pt>
                <c:pt idx="133" formatCode="0.000">
                  <c:v>39.845789473684214</c:v>
                </c:pt>
                <c:pt idx="134" formatCode="0.000">
                  <c:v>39.71</c:v>
                </c:pt>
                <c:pt idx="135" formatCode="0.000">
                  <c:v>39.554210526315785</c:v>
                </c:pt>
                <c:pt idx="136" formatCode="0.000">
                  <c:v>39.413157894736834</c:v>
                </c:pt>
                <c:pt idx="137" formatCode="0.000">
                  <c:v>39.248947368421042</c:v>
                </c:pt>
                <c:pt idx="138" formatCode="0.000">
                  <c:v>39.077894736842097</c:v>
                </c:pt>
                <c:pt idx="139" formatCode="0.000">
                  <c:v>38.930526315789464</c:v>
                </c:pt>
                <c:pt idx="140" formatCode="0.000">
                  <c:v>38.844736842105256</c:v>
                </c:pt>
                <c:pt idx="141" formatCode="0.000">
                  <c:v>38.783157894736839</c:v>
                </c:pt>
                <c:pt idx="142" formatCode="0.000">
                  <c:v>38.754210526315788</c:v>
                </c:pt>
                <c:pt idx="143" formatCode="0.000">
                  <c:v>38.796842105263153</c:v>
                </c:pt>
                <c:pt idx="144" formatCode="0.000">
                  <c:v>38.838947368421053</c:v>
                </c:pt>
                <c:pt idx="145" formatCode="0.000">
                  <c:v>38.840526315789475</c:v>
                </c:pt>
                <c:pt idx="146" formatCode="0.000">
                  <c:v>38.834210526315793</c:v>
                </c:pt>
                <c:pt idx="147" formatCode="0.000">
                  <c:v>38.843157894736841</c:v>
                </c:pt>
                <c:pt idx="148" formatCode="0.000">
                  <c:v>38.854210526315789</c:v>
                </c:pt>
                <c:pt idx="149" formatCode="0.000">
                  <c:v>38.902105263157893</c:v>
                </c:pt>
                <c:pt idx="150" formatCode="0.000">
                  <c:v>38.966315789473683</c:v>
                </c:pt>
                <c:pt idx="151" formatCode="0.000">
                  <c:v>38.999999999999993</c:v>
                </c:pt>
                <c:pt idx="152" formatCode="0.000">
                  <c:v>39.098421052631572</c:v>
                </c:pt>
                <c:pt idx="153" formatCode="0.000">
                  <c:v>39.209473684210522</c:v>
                </c:pt>
                <c:pt idx="154" formatCode="0.000">
                  <c:v>39.349473684210523</c:v>
                </c:pt>
                <c:pt idx="155" formatCode="0.000">
                  <c:v>39.512631578947364</c:v>
                </c:pt>
                <c:pt idx="156" formatCode="0.000">
                  <c:v>39.715263157894732</c:v>
                </c:pt>
                <c:pt idx="157" formatCode="0.000">
                  <c:v>39.921578947368424</c:v>
                </c:pt>
                <c:pt idx="158" formatCode="0.000">
                  <c:v>40.105789473684212</c:v>
                </c:pt>
                <c:pt idx="159" formatCode="0.000">
                  <c:v>40.237368421052629</c:v>
                </c:pt>
                <c:pt idx="160" formatCode="0.000">
                  <c:v>40.35842105263157</c:v>
                </c:pt>
                <c:pt idx="161" formatCode="0.000">
                  <c:v>40.513157894736835</c:v>
                </c:pt>
                <c:pt idx="162" formatCode="0.000">
                  <c:v>40.662105263157883</c:v>
                </c:pt>
                <c:pt idx="163" formatCode="0.000">
                  <c:v>40.830526315789463</c:v>
                </c:pt>
                <c:pt idx="164" formatCode="0.000">
                  <c:v>41.016315789473673</c:v>
                </c:pt>
                <c:pt idx="165" formatCode="0.000">
                  <c:v>41.176315789473676</c:v>
                </c:pt>
                <c:pt idx="166" formatCode="0.000">
                  <c:v>41.366842105263146</c:v>
                </c:pt>
                <c:pt idx="167" formatCode="0.000">
                  <c:v>41.53842105263157</c:v>
                </c:pt>
                <c:pt idx="168" formatCode="0.000">
                  <c:v>41.692631578947363</c:v>
                </c:pt>
                <c:pt idx="169" formatCode="0.000">
                  <c:v>41.823684210526309</c:v>
                </c:pt>
                <c:pt idx="170" formatCode="0.000">
                  <c:v>41.977894736842103</c:v>
                </c:pt>
                <c:pt idx="171" formatCode="0.000">
                  <c:v>42.104210526315789</c:v>
                </c:pt>
                <c:pt idx="172" formatCode="0.000">
                  <c:v>42.174736842105268</c:v>
                </c:pt>
                <c:pt idx="173" formatCode="0.000">
                  <c:v>42.242105263157903</c:v>
                </c:pt>
                <c:pt idx="174" formatCode="0.000">
                  <c:v>42.275789473684213</c:v>
                </c:pt>
                <c:pt idx="175" formatCode="0.000">
                  <c:v>42.275263157894742</c:v>
                </c:pt>
                <c:pt idx="176" formatCode="0.000">
                  <c:v>42.291578947368428</c:v>
                </c:pt>
                <c:pt idx="177" formatCode="0.000">
                  <c:v>42.289473684210535</c:v>
                </c:pt>
                <c:pt idx="178" formatCode="0.000">
                  <c:v>42.283684210526324</c:v>
                </c:pt>
                <c:pt idx="179" formatCode="0.000">
                  <c:v>42.288421052631577</c:v>
                </c:pt>
                <c:pt idx="180" formatCode="0.000">
                  <c:v>42.294736842105273</c:v>
                </c:pt>
                <c:pt idx="181" formatCode="0.000">
                  <c:v>42.271578947368425</c:v>
                </c:pt>
                <c:pt idx="182" formatCode="0.000">
                  <c:v>42.23947368421053</c:v>
                </c:pt>
                <c:pt idx="183" formatCode="0.000">
                  <c:v>42.222105263157893</c:v>
                </c:pt>
                <c:pt idx="184" formatCode="0.000">
                  <c:v>42.194736842105257</c:v>
                </c:pt>
                <c:pt idx="185" formatCode="0.000">
                  <c:v>42.144210526315788</c:v>
                </c:pt>
                <c:pt idx="186" formatCode="0.000">
                  <c:v>42.161052631578947</c:v>
                </c:pt>
                <c:pt idx="187" formatCode="0.000">
                  <c:v>42.152631578947364</c:v>
                </c:pt>
                <c:pt idx="188" formatCode="0.000">
                  <c:v>42.171052631578945</c:v>
                </c:pt>
                <c:pt idx="189" formatCode="0.000">
                  <c:v>42.204210526315784</c:v>
                </c:pt>
                <c:pt idx="190" formatCode="0.000">
                  <c:v>42.234210526315785</c:v>
                </c:pt>
                <c:pt idx="191" formatCode="0.000">
                  <c:v>42.276315789473685</c:v>
                </c:pt>
                <c:pt idx="192" formatCode="0.000">
                  <c:v>42.296315789473681</c:v>
                </c:pt>
                <c:pt idx="193" formatCode="0.000">
                  <c:v>42.334736842105265</c:v>
                </c:pt>
                <c:pt idx="194" formatCode="0.000">
                  <c:v>42.376842105263158</c:v>
                </c:pt>
                <c:pt idx="195" formatCode="0.000">
                  <c:v>42.383684210526312</c:v>
                </c:pt>
                <c:pt idx="196" formatCode="0.000">
                  <c:v>42.453684210526319</c:v>
                </c:pt>
                <c:pt idx="197" formatCode="0.000">
                  <c:v>42.54105263157895</c:v>
                </c:pt>
                <c:pt idx="198" formatCode="0.000">
                  <c:v>42.606315789473683</c:v>
                </c:pt>
                <c:pt idx="199" formatCode="0.000">
                  <c:v>42.63894736842105</c:v>
                </c:pt>
                <c:pt idx="200" formatCode="0.000">
                  <c:v>42.701052631578953</c:v>
                </c:pt>
                <c:pt idx="201" formatCode="0.000">
                  <c:v>42.747894736842099</c:v>
                </c:pt>
                <c:pt idx="202" formatCode="0.000">
                  <c:v>42.773684210526312</c:v>
                </c:pt>
                <c:pt idx="203" formatCode="0.000">
                  <c:v>42.847368421052636</c:v>
                </c:pt>
                <c:pt idx="204" formatCode="0.000">
                  <c:v>42.929473684210528</c:v>
                </c:pt>
                <c:pt idx="205" formatCode="0.000">
                  <c:v>42.949473684210531</c:v>
                </c:pt>
                <c:pt idx="206" formatCode="0.000">
                  <c:v>42.953157894736847</c:v>
                </c:pt>
                <c:pt idx="207" formatCode="0.000">
                  <c:v>42.943684210526321</c:v>
                </c:pt>
                <c:pt idx="208" formatCode="0.000">
                  <c:v>42.94</c:v>
                </c:pt>
                <c:pt idx="209" formatCode="0.000">
                  <c:v>42.956315789473685</c:v>
                </c:pt>
                <c:pt idx="210" formatCode="0.000">
                  <c:v>42.976842105263152</c:v>
                </c:pt>
                <c:pt idx="211" formatCode="0.000">
                  <c:v>43.022631578947362</c:v>
                </c:pt>
                <c:pt idx="212" formatCode="0.000">
                  <c:v>43.065789473684205</c:v>
                </c:pt>
                <c:pt idx="213" formatCode="0.000">
                  <c:v>43.107894736842105</c:v>
                </c:pt>
                <c:pt idx="214" formatCode="0.000">
                  <c:v>43.13421052631579</c:v>
                </c:pt>
                <c:pt idx="215" formatCode="0.000">
                  <c:v>43.087368421052631</c:v>
                </c:pt>
                <c:pt idx="216" formatCode="0.000">
                  <c:v>43.053157894736842</c:v>
                </c:pt>
                <c:pt idx="217" formatCode="0.000">
                  <c:v>43.016842105263159</c:v>
                </c:pt>
                <c:pt idx="218" formatCode="0.000">
                  <c:v>42.962105263157902</c:v>
                </c:pt>
                <c:pt idx="219" formatCode="0.000">
                  <c:v>42.89631578947369</c:v>
                </c:pt>
                <c:pt idx="220" formatCode="0.000">
                  <c:v>42.860000000000007</c:v>
                </c:pt>
                <c:pt idx="221" formatCode="0.000">
                  <c:v>42.842631578947376</c:v>
                </c:pt>
                <c:pt idx="222" formatCode="0.000">
                  <c:v>42.778421052631586</c:v>
                </c:pt>
                <c:pt idx="223" formatCode="0.000">
                  <c:v>42.67526315789474</c:v>
                </c:pt>
                <c:pt idx="224" formatCode="0.000">
                  <c:v>42.570526315789472</c:v>
                </c:pt>
                <c:pt idx="225" formatCode="0.000">
                  <c:v>42.54</c:v>
                </c:pt>
                <c:pt idx="226" formatCode="0.000">
                  <c:v>42.466315789473683</c:v>
                </c:pt>
                <c:pt idx="227" formatCode="0.000">
                  <c:v>42.366315789473681</c:v>
                </c:pt>
                <c:pt idx="228" formatCode="0.000">
                  <c:v>42.281578947368416</c:v>
                </c:pt>
                <c:pt idx="229" formatCode="0.000">
                  <c:v>42.20894736842105</c:v>
                </c:pt>
                <c:pt idx="230" formatCode="0.000">
                  <c:v>42.134736842105262</c:v>
                </c:pt>
                <c:pt idx="231" formatCode="0.000">
                  <c:v>42.049473684210525</c:v>
                </c:pt>
                <c:pt idx="232" formatCode="0.000">
                  <c:v>41.996842105263163</c:v>
                </c:pt>
                <c:pt idx="233" formatCode="0.000">
                  <c:v>41.994736842105262</c:v>
                </c:pt>
                <c:pt idx="234" formatCode="0.000">
                  <c:v>42.026315789473692</c:v>
                </c:pt>
                <c:pt idx="235" formatCode="0.000">
                  <c:v>42.020526315789482</c:v>
                </c:pt>
                <c:pt idx="236" formatCode="0.000">
                  <c:v>42.041578947368421</c:v>
                </c:pt>
                <c:pt idx="237" formatCode="0.000">
                  <c:v>42.089473684210532</c:v>
                </c:pt>
                <c:pt idx="238" formatCode="0.000">
                  <c:v>42.138421052631571</c:v>
                </c:pt>
                <c:pt idx="239" formatCode="0.000">
                  <c:v>42.194736842105257</c:v>
                </c:pt>
                <c:pt idx="240" formatCode="0.000">
                  <c:v>42.256842105263161</c:v>
                </c:pt>
                <c:pt idx="241" formatCode="0.000">
                  <c:v>42.293684210526308</c:v>
                </c:pt>
                <c:pt idx="242" formatCode="0.000">
                  <c:v>42.321578947368415</c:v>
                </c:pt>
                <c:pt idx="243" formatCode="0.000">
                  <c:v>42.40631578947368</c:v>
                </c:pt>
                <c:pt idx="244" formatCode="0.000">
                  <c:v>42.482105263157884</c:v>
                </c:pt>
                <c:pt idx="245" formatCode="0.000">
                  <c:v>42.593157894736834</c:v>
                </c:pt>
                <c:pt idx="246" formatCode="0.000">
                  <c:v>42.709999999999994</c:v>
                </c:pt>
                <c:pt idx="247" formatCode="0.000">
                  <c:v>42.8</c:v>
                </c:pt>
                <c:pt idx="248" formatCode="0.000">
                  <c:v>42.893684210526317</c:v>
                </c:pt>
                <c:pt idx="249" formatCode="0.000">
                  <c:v>42.978421052631589</c:v>
                </c:pt>
                <c:pt idx="250" formatCode="0.000">
                  <c:v>43.074210526315788</c:v>
                </c:pt>
                <c:pt idx="251" formatCode="0.000">
                  <c:v>43.157894736842103</c:v>
                </c:pt>
                <c:pt idx="252" formatCode="0.000">
                  <c:v>43.169473684210523</c:v>
                </c:pt>
                <c:pt idx="253" formatCode="0.000">
                  <c:v>43.176315789473676</c:v>
                </c:pt>
                <c:pt idx="254" formatCode="0.000">
                  <c:v>43.242105263157903</c:v>
                </c:pt>
                <c:pt idx="255" formatCode="0.000">
                  <c:v>43.297368421052639</c:v>
                </c:pt>
                <c:pt idx="256" formatCode="0.000">
                  <c:v>43.372631578947363</c:v>
                </c:pt>
                <c:pt idx="257" formatCode="0.000">
                  <c:v>43.460526315789465</c:v>
                </c:pt>
                <c:pt idx="258" formatCode="0.000">
                  <c:v>43.532105263157895</c:v>
                </c:pt>
                <c:pt idx="259" formatCode="0.000">
                  <c:v>43.585789473684216</c:v>
                </c:pt>
                <c:pt idx="260" formatCode="0.000">
                  <c:v>43.704736842105255</c:v>
                </c:pt>
                <c:pt idx="261" formatCode="0.000">
                  <c:v>43.853157894736846</c:v>
                </c:pt>
                <c:pt idx="262" formatCode="0.000">
                  <c:v>43.963157894736852</c:v>
                </c:pt>
                <c:pt idx="263" formatCode="0.000">
                  <c:v>44.064736842105262</c:v>
                </c:pt>
                <c:pt idx="264" formatCode="0.000">
                  <c:v>44.156842105263159</c:v>
                </c:pt>
                <c:pt idx="265" formatCode="0.000">
                  <c:v>44.23263157894737</c:v>
                </c:pt>
                <c:pt idx="266" formatCode="0.000">
                  <c:v>44.337894736842095</c:v>
                </c:pt>
                <c:pt idx="267" formatCode="0.000">
                  <c:v>44.425263157894733</c:v>
                </c:pt>
                <c:pt idx="268" formatCode="0.000">
                  <c:v>44.529473684210515</c:v>
                </c:pt>
                <c:pt idx="269" formatCode="0.000">
                  <c:v>44.613157894736844</c:v>
                </c:pt>
                <c:pt idx="270" formatCode="0.000">
                  <c:v>44.681578947368415</c:v>
                </c:pt>
                <c:pt idx="271" formatCode="0.000">
                  <c:v>44.81</c:v>
                </c:pt>
                <c:pt idx="272" formatCode="0.000">
                  <c:v>44.950526315789475</c:v>
                </c:pt>
                <c:pt idx="273" formatCode="0.000">
                  <c:v>45.097368421052636</c:v>
                </c:pt>
                <c:pt idx="274" formatCode="0.000">
                  <c:v>45.24526315789474</c:v>
                </c:pt>
                <c:pt idx="275" formatCode="0.000">
                  <c:v>45.373157894736849</c:v>
                </c:pt>
                <c:pt idx="276" formatCode="0.000">
                  <c:v>45.516315789473694</c:v>
                </c:pt>
                <c:pt idx="277" formatCode="0.000">
                  <c:v>45.667894736842108</c:v>
                </c:pt>
                <c:pt idx="278" formatCode="0.000">
                  <c:v>45.784210526315789</c:v>
                </c:pt>
                <c:pt idx="279" formatCode="0.000">
                  <c:v>45.88421052631579</c:v>
                </c:pt>
                <c:pt idx="280" formatCode="0.000">
                  <c:v>45.943684210526321</c:v>
                </c:pt>
                <c:pt idx="281" formatCode="0.000">
                  <c:v>46.031578947368423</c:v>
                </c:pt>
                <c:pt idx="282" formatCode="0.000">
                  <c:v>46.092105263157897</c:v>
                </c:pt>
                <c:pt idx="283" formatCode="0.000">
                  <c:v>46.166315789473686</c:v>
                </c:pt>
                <c:pt idx="284" formatCode="0.000">
                  <c:v>46.218421052631577</c:v>
                </c:pt>
                <c:pt idx="285" formatCode="0.000">
                  <c:v>46.221578947368421</c:v>
                </c:pt>
                <c:pt idx="286" formatCode="0.000">
                  <c:v>46.247894736842099</c:v>
                </c:pt>
                <c:pt idx="287" formatCode="0.000">
                  <c:v>46.27684210526315</c:v>
                </c:pt>
                <c:pt idx="288" formatCode="0.000">
                  <c:v>46.334736842105258</c:v>
                </c:pt>
                <c:pt idx="289" formatCode="0.000">
                  <c:v>46.277368421052628</c:v>
                </c:pt>
                <c:pt idx="290" formatCode="0.000">
                  <c:v>46.176315789473684</c:v>
                </c:pt>
                <c:pt idx="291" formatCode="0.000">
                  <c:v>46.109999999999992</c:v>
                </c:pt>
                <c:pt idx="292" formatCode="0.000">
                  <c:v>46.016842105263159</c:v>
                </c:pt>
                <c:pt idx="293" formatCode="0.000">
                  <c:v>45.908947368421053</c:v>
                </c:pt>
                <c:pt idx="294" formatCode="0.000">
                  <c:v>45.81894736842105</c:v>
                </c:pt>
                <c:pt idx="295" formatCode="0.000">
                  <c:v>45.70315789473684</c:v>
                </c:pt>
                <c:pt idx="296" formatCode="0.000">
                  <c:v>45.593157894736834</c:v>
                </c:pt>
                <c:pt idx="297" formatCode="0.000">
                  <c:v>45.511578947368413</c:v>
                </c:pt>
                <c:pt idx="298" formatCode="0.000">
                  <c:v>45.413157894736834</c:v>
                </c:pt>
                <c:pt idx="299" formatCode="0.000">
                  <c:v>45.340526315789468</c:v>
                </c:pt>
                <c:pt idx="300" formatCode="0.000">
                  <c:v>45.245263157894726</c:v>
                </c:pt>
                <c:pt idx="301" formatCode="0.000">
                  <c:v>45.186315789473689</c:v>
                </c:pt>
                <c:pt idx="302" formatCode="0.000">
                  <c:v>45.112105263157893</c:v>
                </c:pt>
                <c:pt idx="303" formatCode="0.000">
                  <c:v>45.096842105263157</c:v>
                </c:pt>
                <c:pt idx="304" formatCode="0.000">
                  <c:v>45.07736842105264</c:v>
                </c:pt>
                <c:pt idx="305" formatCode="0.000">
                  <c:v>45.063157894736854</c:v>
                </c:pt>
                <c:pt idx="306" formatCode="0.000">
                  <c:v>45.017368421052645</c:v>
                </c:pt>
                <c:pt idx="307" formatCode="0.000">
                  <c:v>44.965789473684218</c:v>
                </c:pt>
                <c:pt idx="308" formatCode="0.000">
                  <c:v>44.985789473684214</c:v>
                </c:pt>
                <c:pt idx="309" formatCode="0.000">
                  <c:v>45.028947368421065</c:v>
                </c:pt>
                <c:pt idx="310" formatCode="0.000">
                  <c:v>45.017368421052645</c:v>
                </c:pt>
                <c:pt idx="311" formatCode="0.000">
                  <c:v>44.977368421052638</c:v>
                </c:pt>
                <c:pt idx="312" formatCode="0.000">
                  <c:v>44.947894736842116</c:v>
                </c:pt>
                <c:pt idx="313" formatCode="0.000">
                  <c:v>44.931578947368422</c:v>
                </c:pt>
                <c:pt idx="314" formatCode="0.000">
                  <c:v>44.918421052631587</c:v>
                </c:pt>
                <c:pt idx="315" formatCode="0.000">
                  <c:v>44.912631578947376</c:v>
                </c:pt>
                <c:pt idx="316" formatCode="0.000">
                  <c:v>44.9021052631579</c:v>
                </c:pt>
                <c:pt idx="317" formatCode="0.000">
                  <c:v>44.889473684210536</c:v>
                </c:pt>
                <c:pt idx="318" formatCode="0.000">
                  <c:v>44.874736842105278</c:v>
                </c:pt>
                <c:pt idx="319" formatCode="0.000">
                  <c:v>44.856842105263162</c:v>
                </c:pt>
                <c:pt idx="320" formatCode="0.000">
                  <c:v>44.842105263157897</c:v>
                </c:pt>
                <c:pt idx="321" formatCode="0.000">
                  <c:v>44.848947368421058</c:v>
                </c:pt>
                <c:pt idx="322" formatCode="0.000">
                  <c:v>44.826315789473689</c:v>
                </c:pt>
                <c:pt idx="323" formatCode="0.000">
                  <c:v>44.831052631578949</c:v>
                </c:pt>
                <c:pt idx="324" formatCode="0.000">
                  <c:v>44.827368421052633</c:v>
                </c:pt>
                <c:pt idx="325" formatCode="0.000">
                  <c:v>44.861052631578957</c:v>
                </c:pt>
                <c:pt idx="326" formatCode="0.000">
                  <c:v>44.834736842105258</c:v>
                </c:pt>
                <c:pt idx="327" formatCode="0.000">
                  <c:v>44.85</c:v>
                </c:pt>
                <c:pt idx="328" formatCode="0.000">
                  <c:v>44.877894736842102</c:v>
                </c:pt>
                <c:pt idx="329" formatCode="0.000">
                  <c:v>44.929999999999993</c:v>
                </c:pt>
                <c:pt idx="330" formatCode="0.000">
                  <c:v>44.974210526315787</c:v>
                </c:pt>
                <c:pt idx="331" formatCode="0.000">
                  <c:v>45.027368421052628</c:v>
                </c:pt>
                <c:pt idx="332" formatCode="0.000">
                  <c:v>45.067368421052628</c:v>
                </c:pt>
                <c:pt idx="333" formatCode="0.000">
                  <c:v>45.092631578947369</c:v>
                </c:pt>
                <c:pt idx="334" formatCode="0.000">
                  <c:v>45.113157894736844</c:v>
                </c:pt>
                <c:pt idx="335" formatCode="0.000">
                  <c:v>45.068421052631578</c:v>
                </c:pt>
                <c:pt idx="336" formatCode="0.000">
                  <c:v>45.025263157894734</c:v>
                </c:pt>
                <c:pt idx="337" formatCode="0.000">
                  <c:v>44.997894736842099</c:v>
                </c:pt>
                <c:pt idx="338" formatCode="0.000">
                  <c:v>44.983157894736834</c:v>
                </c:pt>
                <c:pt idx="339" formatCode="0.000">
                  <c:v>44.998421052631585</c:v>
                </c:pt>
                <c:pt idx="340" formatCode="0.000">
                  <c:v>44.985263157894735</c:v>
                </c:pt>
                <c:pt idx="341" formatCode="0.000">
                  <c:v>44.991052631578953</c:v>
                </c:pt>
                <c:pt idx="342" formatCode="0.000">
                  <c:v>44.976315789473674</c:v>
                </c:pt>
                <c:pt idx="343" formatCode="0.000">
                  <c:v>44.941052631578941</c:v>
                </c:pt>
                <c:pt idx="344" formatCode="0.000">
                  <c:v>44.908947368421046</c:v>
                </c:pt>
                <c:pt idx="345" formatCode="0.000">
                  <c:v>44.932631578947372</c:v>
                </c:pt>
                <c:pt idx="346" formatCode="0.000">
                  <c:v>44.961052631578951</c:v>
                </c:pt>
                <c:pt idx="347" formatCode="0.000">
                  <c:v>44.999473684210528</c:v>
                </c:pt>
                <c:pt idx="348" formatCode="0.000">
                  <c:v>45.019473684210531</c:v>
                </c:pt>
                <c:pt idx="349" formatCode="0.000">
                  <c:v>45.063684210526326</c:v>
                </c:pt>
                <c:pt idx="350" formatCode="0.000">
                  <c:v>45.097894736842115</c:v>
                </c:pt>
                <c:pt idx="351" formatCode="0.000">
                  <c:v>45.124210526315792</c:v>
                </c:pt>
                <c:pt idx="352" formatCode="0.000">
                  <c:v>45.158421052631581</c:v>
                </c:pt>
                <c:pt idx="353" formatCode="0.000">
                  <c:v>45.177894736842106</c:v>
                </c:pt>
                <c:pt idx="354" formatCode="0.000">
                  <c:v>45.277894736842107</c:v>
                </c:pt>
                <c:pt idx="355" formatCode="0.000">
                  <c:v>45.372105263157898</c:v>
                </c:pt>
                <c:pt idx="356" formatCode="0.000">
                  <c:v>45.40894736842106</c:v>
                </c:pt>
                <c:pt idx="357" formatCode="0.000">
                  <c:v>45.354210526315796</c:v>
                </c:pt>
                <c:pt idx="358" formatCode="0.000">
                  <c:v>45.265789473684215</c:v>
                </c:pt>
                <c:pt idx="359" formatCode="0.000">
                  <c:v>45.187368421052632</c:v>
                </c:pt>
                <c:pt idx="360" formatCode="0.000">
                  <c:v>45.083157894736843</c:v>
                </c:pt>
                <c:pt idx="361" formatCode="0.000">
                  <c:v>44.991578947368424</c:v>
                </c:pt>
                <c:pt idx="362" formatCode="0.000">
                  <c:v>44.915263157894735</c:v>
                </c:pt>
                <c:pt idx="363" formatCode="0.000">
                  <c:v>44.816842105263156</c:v>
                </c:pt>
                <c:pt idx="364" formatCode="0.000">
                  <c:v>44.706842105263156</c:v>
                </c:pt>
                <c:pt idx="365" formatCode="0.000">
                  <c:v>44.594210526315784</c:v>
                </c:pt>
                <c:pt idx="366" formatCode="0.000">
                  <c:v>44.474736842105266</c:v>
                </c:pt>
                <c:pt idx="367" formatCode="0.000">
                  <c:v>44.365263157894731</c:v>
                </c:pt>
                <c:pt idx="368" formatCode="0.000">
                  <c:v>44.266315789473687</c:v>
                </c:pt>
                <c:pt idx="369" formatCode="0.000">
                  <c:v>44.182105263157894</c:v>
                </c:pt>
                <c:pt idx="370" formatCode="0.000">
                  <c:v>44.108947368421056</c:v>
                </c:pt>
                <c:pt idx="371" formatCode="0.000">
                  <c:v>44.020526315789482</c:v>
                </c:pt>
                <c:pt idx="372" formatCode="0.000">
                  <c:v>43.94736842105263</c:v>
                </c:pt>
                <c:pt idx="373" formatCode="0.000">
                  <c:v>43.85631578947369</c:v>
                </c:pt>
                <c:pt idx="374" formatCode="0.000">
                  <c:v>43.769473684210517</c:v>
                </c:pt>
                <c:pt idx="375" formatCode="0.000">
                  <c:v>43.709473684210529</c:v>
                </c:pt>
                <c:pt idx="376" formatCode="0.000">
                  <c:v>43.733157894736848</c:v>
                </c:pt>
                <c:pt idx="377" formatCode="0.000">
                  <c:v>43.743684210526318</c:v>
                </c:pt>
                <c:pt idx="378" formatCode="0.000">
                  <c:v>43.745789473684205</c:v>
                </c:pt>
                <c:pt idx="379" formatCode="0.000">
                  <c:v>43.738947368421059</c:v>
                </c:pt>
                <c:pt idx="380" formatCode="0.000">
                  <c:v>43.739473684210523</c:v>
                </c:pt>
                <c:pt idx="381" formatCode="0.000">
                  <c:v>43.718421052631577</c:v>
                </c:pt>
                <c:pt idx="382" formatCode="0.000">
                  <c:v>43.714210526315789</c:v>
                </c:pt>
                <c:pt idx="383" formatCode="0.000">
                  <c:v>43.707368421052628</c:v>
                </c:pt>
                <c:pt idx="384" formatCode="0.000">
                  <c:v>43.718947368421048</c:v>
                </c:pt>
                <c:pt idx="385" formatCode="0.000">
                  <c:v>43.735789473684214</c:v>
                </c:pt>
                <c:pt idx="386" formatCode="0.000">
                  <c:v>43.737368421052629</c:v>
                </c:pt>
                <c:pt idx="387" formatCode="0.000">
                  <c:v>43.731052631578947</c:v>
                </c:pt>
                <c:pt idx="388" formatCode="0.000">
                  <c:v>43.638421052631571</c:v>
                </c:pt>
                <c:pt idx="389" formatCode="0.000">
                  <c:v>43.583157894736836</c:v>
                </c:pt>
                <c:pt idx="390" formatCode="0.000">
                  <c:v>43.501578947368422</c:v>
                </c:pt>
                <c:pt idx="391" formatCode="0.000">
                  <c:v>43.398947368421055</c:v>
                </c:pt>
                <c:pt idx="392" formatCode="0.000">
                  <c:v>43.30736842105263</c:v>
                </c:pt>
                <c:pt idx="393" formatCode="0.000">
                  <c:v>43.213684210526317</c:v>
                </c:pt>
                <c:pt idx="394" formatCode="0.000">
                  <c:v>43.127368421052637</c:v>
                </c:pt>
                <c:pt idx="395" formatCode="0.000">
                  <c:v>43.047894736842117</c:v>
                </c:pt>
                <c:pt idx="396" formatCode="0.000">
                  <c:v>42.978421052631582</c:v>
                </c:pt>
                <c:pt idx="397" formatCode="0.000">
                  <c:v>42.941052631578948</c:v>
                </c:pt>
                <c:pt idx="398" formatCode="0.000">
                  <c:v>42.910526315789475</c:v>
                </c:pt>
                <c:pt idx="399" formatCode="0.000">
                  <c:v>42.832105263157899</c:v>
                </c:pt>
                <c:pt idx="400" formatCode="0.000">
                  <c:v>42.79789473684211</c:v>
                </c:pt>
                <c:pt idx="401" formatCode="0.000">
                  <c:v>42.730526315789476</c:v>
                </c:pt>
                <c:pt idx="402" formatCode="0.000">
                  <c:v>42.661052631578947</c:v>
                </c:pt>
                <c:pt idx="403" formatCode="0.000">
                  <c:v>42.590526315789475</c:v>
                </c:pt>
                <c:pt idx="404" formatCode="0.000">
                  <c:v>42.497894736842099</c:v>
                </c:pt>
                <c:pt idx="405" formatCode="0.000">
                  <c:v>42.403157894736843</c:v>
                </c:pt>
                <c:pt idx="406" formatCode="0.000">
                  <c:v>42.307368421052637</c:v>
                </c:pt>
                <c:pt idx="407" formatCode="0.000">
                  <c:v>42.277894736842107</c:v>
                </c:pt>
                <c:pt idx="408" formatCode="0.000">
                  <c:v>42.201052631578953</c:v>
                </c:pt>
                <c:pt idx="409" formatCode="0.000">
                  <c:v>42.172105263157903</c:v>
                </c:pt>
                <c:pt idx="410" formatCode="0.000">
                  <c:v>42.142105263157895</c:v>
                </c:pt>
                <c:pt idx="411" formatCode="0.000">
                  <c:v>42.111578947368429</c:v>
                </c:pt>
                <c:pt idx="412" formatCode="0.000">
                  <c:v>42.091578947368419</c:v>
                </c:pt>
                <c:pt idx="413" formatCode="0.000">
                  <c:v>42.06894736842105</c:v>
                </c:pt>
                <c:pt idx="414" formatCode="0.000">
                  <c:v>42.03</c:v>
                </c:pt>
                <c:pt idx="415" formatCode="0.000">
                  <c:v>42.000526315789472</c:v>
                </c:pt>
                <c:pt idx="416" formatCode="0.000">
                  <c:v>41.952631578947361</c:v>
                </c:pt>
                <c:pt idx="417" formatCode="0.000">
                  <c:v>41.91</c:v>
                </c:pt>
                <c:pt idx="418" formatCode="0.000">
                  <c:v>41.914210526315784</c:v>
                </c:pt>
                <c:pt idx="419" formatCode="0.000">
                  <c:v>41.912631578947362</c:v>
                </c:pt>
                <c:pt idx="420" formatCode="0.000">
                  <c:v>41.933157894736844</c:v>
                </c:pt>
                <c:pt idx="421" formatCode="0.000">
                  <c:v>41.954736842105255</c:v>
                </c:pt>
                <c:pt idx="422" formatCode="0.000">
                  <c:v>41.944210526315786</c:v>
                </c:pt>
                <c:pt idx="423" formatCode="0.000">
                  <c:v>41.954736842105262</c:v>
                </c:pt>
                <c:pt idx="424" formatCode="0.000">
                  <c:v>41.984210526315792</c:v>
                </c:pt>
                <c:pt idx="425" formatCode="0.000">
                  <c:v>42.000526315789479</c:v>
                </c:pt>
                <c:pt idx="426" formatCode="0.000">
                  <c:v>42.018421052631581</c:v>
                </c:pt>
                <c:pt idx="427" formatCode="0.000">
                  <c:v>42.034210526315789</c:v>
                </c:pt>
                <c:pt idx="428" formatCode="0.000">
                  <c:v>42.032105263157888</c:v>
                </c:pt>
                <c:pt idx="429" formatCode="0.000">
                  <c:v>42.08052631578947</c:v>
                </c:pt>
                <c:pt idx="430" formatCode="0.000">
                  <c:v>42.138421052631578</c:v>
                </c:pt>
                <c:pt idx="431" formatCode="0.000">
                  <c:v>42.165263157894735</c:v>
                </c:pt>
                <c:pt idx="432" formatCode="0.000">
                  <c:v>42.126842105263151</c:v>
                </c:pt>
                <c:pt idx="433" formatCode="0.000">
                  <c:v>42.096842105263157</c:v>
                </c:pt>
                <c:pt idx="434" formatCode="0.000">
                  <c:v>42.054736842105257</c:v>
                </c:pt>
                <c:pt idx="435" formatCode="0.000">
                  <c:v>42.022631578947362</c:v>
                </c:pt>
                <c:pt idx="436" formatCode="0.000">
                  <c:v>41.987368421052622</c:v>
                </c:pt>
                <c:pt idx="437" formatCode="0.000">
                  <c:v>41.93421052631578</c:v>
                </c:pt>
                <c:pt idx="438" formatCode="0.000">
                  <c:v>41.847368421052614</c:v>
                </c:pt>
                <c:pt idx="439" formatCode="0.000">
                  <c:v>41.785263157894732</c:v>
                </c:pt>
                <c:pt idx="440" formatCode="0.000">
                  <c:v>41.728947368421046</c:v>
                </c:pt>
                <c:pt idx="441" formatCode="0.000">
                  <c:v>41.676315789473684</c:v>
                </c:pt>
                <c:pt idx="442" formatCode="0.000">
                  <c:v>41.639473684210522</c:v>
                </c:pt>
                <c:pt idx="443" formatCode="0.000">
                  <c:v>41.60526315789474</c:v>
                </c:pt>
                <c:pt idx="444" formatCode="0.000">
                  <c:v>41.554210526315785</c:v>
                </c:pt>
                <c:pt idx="445" formatCode="0.000">
                  <c:v>41.464736842105268</c:v>
                </c:pt>
                <c:pt idx="446" formatCode="0.000">
                  <c:v>41.366842105263153</c:v>
                </c:pt>
                <c:pt idx="447" formatCode="0.000">
                  <c:v>41.29684210526316</c:v>
                </c:pt>
                <c:pt idx="448" formatCode="0.000">
                  <c:v>41.199999999999996</c:v>
                </c:pt>
                <c:pt idx="449" formatCode="0.000">
                  <c:v>41.078421052631576</c:v>
                </c:pt>
                <c:pt idx="450" formatCode="0.000">
                  <c:v>41.026842105263157</c:v>
                </c:pt>
                <c:pt idx="451" formatCode="0.000">
                  <c:v>41.028947368421058</c:v>
                </c:pt>
                <c:pt idx="452" formatCode="0.000">
                  <c:v>41.08</c:v>
                </c:pt>
                <c:pt idx="453" formatCode="0.000">
                  <c:v>41.118421052631582</c:v>
                </c:pt>
                <c:pt idx="454" formatCode="0.000">
                  <c:v>41.135263157894734</c:v>
                </c:pt>
                <c:pt idx="455" formatCode="0.000">
                  <c:v>41.132631578947368</c:v>
                </c:pt>
                <c:pt idx="456" formatCode="0.000">
                  <c:v>41.155263157894737</c:v>
                </c:pt>
                <c:pt idx="457" formatCode="0.000">
                  <c:v>41.198947368421052</c:v>
                </c:pt>
                <c:pt idx="458" formatCode="0.000">
                  <c:v>41.215263157894732</c:v>
                </c:pt>
                <c:pt idx="459" formatCode="0.000">
                  <c:v>41.230526315789476</c:v>
                </c:pt>
                <c:pt idx="460" formatCode="0.000">
                  <c:v>41.254210526315795</c:v>
                </c:pt>
                <c:pt idx="461" formatCode="0.000">
                  <c:v>41.255263157894731</c:v>
                </c:pt>
                <c:pt idx="462" formatCode="0.000">
                  <c:v>41.247368421052627</c:v>
                </c:pt>
                <c:pt idx="463" formatCode="0.000">
                  <c:v>41.271578947368411</c:v>
                </c:pt>
                <c:pt idx="464" formatCode="0.000">
                  <c:v>41.326315789473682</c:v>
                </c:pt>
                <c:pt idx="465" formatCode="0.000">
                  <c:v>41.401578947368421</c:v>
                </c:pt>
                <c:pt idx="466" formatCode="0.000">
                  <c:v>41.459473684210536</c:v>
                </c:pt>
                <c:pt idx="467" formatCode="0.000">
                  <c:v>41.521578947368425</c:v>
                </c:pt>
                <c:pt idx="468" formatCode="0.000">
                  <c:v>41.578421052631576</c:v>
                </c:pt>
                <c:pt idx="469" formatCode="0.000">
                  <c:v>41.602631578947374</c:v>
                </c:pt>
                <c:pt idx="470" formatCode="0.000">
                  <c:v>41.642631578947373</c:v>
                </c:pt>
                <c:pt idx="471" formatCode="0.000">
                  <c:v>41.606842105263162</c:v>
                </c:pt>
                <c:pt idx="472" formatCode="0.000">
                  <c:v>41.561578947368425</c:v>
                </c:pt>
                <c:pt idx="473" formatCode="0.000">
                  <c:v>41.524210526315784</c:v>
                </c:pt>
                <c:pt idx="474" formatCode="0.000">
                  <c:v>41.510526315789477</c:v>
                </c:pt>
                <c:pt idx="475" formatCode="0.000">
                  <c:v>41.475263157894737</c:v>
                </c:pt>
                <c:pt idx="476" formatCode="0.000">
                  <c:v>41.447894736842102</c:v>
                </c:pt>
                <c:pt idx="477" formatCode="0.000">
                  <c:v>41.427894736842106</c:v>
                </c:pt>
                <c:pt idx="478" formatCode="0.000">
                  <c:v>41.40052631578947</c:v>
                </c:pt>
                <c:pt idx="479" formatCode="0.000">
                  <c:v>41.387368421052635</c:v>
                </c:pt>
                <c:pt idx="480" formatCode="0.000">
                  <c:v>41.381052631578946</c:v>
                </c:pt>
                <c:pt idx="481" formatCode="0.000">
                  <c:v>41.396842105263154</c:v>
                </c:pt>
                <c:pt idx="482" formatCode="0.000">
                  <c:v>41.423684210526311</c:v>
                </c:pt>
                <c:pt idx="483" formatCode="0.000">
                  <c:v>41.445789473684215</c:v>
                </c:pt>
                <c:pt idx="484" formatCode="0.000">
                  <c:v>41.437894736842111</c:v>
                </c:pt>
                <c:pt idx="485" formatCode="0.000">
                  <c:v>41.433684210526309</c:v>
                </c:pt>
                <c:pt idx="486" formatCode="0.000">
                  <c:v>41.421578947368424</c:v>
                </c:pt>
                <c:pt idx="487" formatCode="0.000">
                  <c:v>41.401052631578956</c:v>
                </c:pt>
                <c:pt idx="488" formatCode="0.000">
                  <c:v>41.382631578947361</c:v>
                </c:pt>
                <c:pt idx="489" formatCode="0.000">
                  <c:v>41.372105263157898</c:v>
                </c:pt>
                <c:pt idx="490" formatCode="0.000">
                  <c:v>41.384736842105262</c:v>
                </c:pt>
                <c:pt idx="491" formatCode="0.000">
                  <c:v>41.43</c:v>
                </c:pt>
                <c:pt idx="492" formatCode="0.000">
                  <c:v>41.481052631578947</c:v>
                </c:pt>
                <c:pt idx="493" formatCode="0.000">
                  <c:v>41.496842105263156</c:v>
                </c:pt>
                <c:pt idx="494" formatCode="0.000">
                  <c:v>41.48105263157894</c:v>
                </c:pt>
                <c:pt idx="495" formatCode="0.000">
                  <c:v>41.449473684210517</c:v>
                </c:pt>
                <c:pt idx="496" formatCode="0.000">
                  <c:v>41.409473684210525</c:v>
                </c:pt>
                <c:pt idx="497" formatCode="0.000">
                  <c:v>41.372631578947363</c:v>
                </c:pt>
                <c:pt idx="498" formatCode="0.000">
                  <c:v>41.366315789473688</c:v>
                </c:pt>
                <c:pt idx="499" formatCode="0.000">
                  <c:v>41.355789473684212</c:v>
                </c:pt>
                <c:pt idx="500" formatCode="0.000">
                  <c:v>41.332631578947378</c:v>
                </c:pt>
                <c:pt idx="501" formatCode="0.000">
                  <c:v>41.305263157894743</c:v>
                </c:pt>
                <c:pt idx="502" formatCode="0.000">
                  <c:v>41.297368421052639</c:v>
                </c:pt>
                <c:pt idx="503" formatCode="0.000">
                  <c:v>41.314736842105262</c:v>
                </c:pt>
                <c:pt idx="504" formatCode="0.000">
                  <c:v>41.33</c:v>
                </c:pt>
                <c:pt idx="505" formatCode="0.000">
                  <c:v>41.350526315789473</c:v>
                </c:pt>
                <c:pt idx="506" formatCode="0.000">
                  <c:v>41.397894736842105</c:v>
                </c:pt>
                <c:pt idx="507" formatCode="0.000">
                  <c:v>41.454210526315784</c:v>
                </c:pt>
                <c:pt idx="508" formatCode="0.000">
                  <c:v>41.503684210526316</c:v>
                </c:pt>
                <c:pt idx="509" formatCode="0.000">
                  <c:v>41.536315789473683</c:v>
                </c:pt>
                <c:pt idx="510" formatCode="0.000">
                  <c:v>41.541052631578943</c:v>
                </c:pt>
                <c:pt idx="511" formatCode="0.000">
                  <c:v>41.539473684210527</c:v>
                </c:pt>
                <c:pt idx="512" formatCode="0.000">
                  <c:v>41.58052631578947</c:v>
                </c:pt>
                <c:pt idx="513" formatCode="0.000">
                  <c:v>41.670526315789466</c:v>
                </c:pt>
                <c:pt idx="514" formatCode="0.000">
                  <c:v>41.744736842105254</c:v>
                </c:pt>
                <c:pt idx="515" formatCode="0.000">
                  <c:v>41.820526315789472</c:v>
                </c:pt>
                <c:pt idx="516" formatCode="0.000">
                  <c:v>41.908947368421053</c:v>
                </c:pt>
                <c:pt idx="517" formatCode="0.000">
                  <c:v>41.964210526315789</c:v>
                </c:pt>
                <c:pt idx="518" formatCode="0.000">
                  <c:v>42.006315789473682</c:v>
                </c:pt>
                <c:pt idx="519" formatCode="0.000">
                  <c:v>42.044210526315787</c:v>
                </c:pt>
                <c:pt idx="520" formatCode="0.000">
                  <c:v>42.091578947368419</c:v>
                </c:pt>
                <c:pt idx="521" formatCode="0.000">
                  <c:v>42.129473684210531</c:v>
                </c:pt>
                <c:pt idx="522" formatCode="0.000">
                  <c:v>42.15</c:v>
                </c:pt>
                <c:pt idx="523" formatCode="0.000">
                  <c:v>42.173684210526311</c:v>
                </c:pt>
                <c:pt idx="524" formatCode="0.000">
                  <c:v>42.192631578947363</c:v>
                </c:pt>
                <c:pt idx="525" formatCode="0.000">
                  <c:v>42.206842105263156</c:v>
                </c:pt>
                <c:pt idx="526" formatCode="0.000">
                  <c:v>42.204210526315784</c:v>
                </c:pt>
                <c:pt idx="527" formatCode="0.000">
                  <c:v>42.210526315789473</c:v>
                </c:pt>
                <c:pt idx="528" formatCode="0.000">
                  <c:v>42.224210526315787</c:v>
                </c:pt>
                <c:pt idx="529" formatCode="0.000">
                  <c:v>42.246315789473684</c:v>
                </c:pt>
                <c:pt idx="530" formatCode="0.000">
                  <c:v>42.28263157894736</c:v>
                </c:pt>
                <c:pt idx="531" formatCode="0.000">
                  <c:v>42.311052631578946</c:v>
                </c:pt>
                <c:pt idx="532" formatCode="0.000">
                  <c:v>42.331052631578949</c:v>
                </c:pt>
                <c:pt idx="533" formatCode="0.000">
                  <c:v>42.361578947368422</c:v>
                </c:pt>
                <c:pt idx="534" formatCode="0.000">
                  <c:v>42.39947368421052</c:v>
                </c:pt>
                <c:pt idx="535" formatCode="0.000">
                  <c:v>42.427894736842106</c:v>
                </c:pt>
                <c:pt idx="536" formatCode="0.000">
                  <c:v>42.464210526315789</c:v>
                </c:pt>
                <c:pt idx="537" formatCode="0.000">
                  <c:v>42.504210526315788</c:v>
                </c:pt>
                <c:pt idx="538" formatCode="0.000">
                  <c:v>42.551052631578941</c:v>
                </c:pt>
                <c:pt idx="539" formatCode="0.000">
                  <c:v>42.602631578947367</c:v>
                </c:pt>
                <c:pt idx="540" formatCode="0.000">
                  <c:v>42.647368421052633</c:v>
                </c:pt>
                <c:pt idx="541" formatCode="0.000">
                  <c:v>42.695789473684215</c:v>
                </c:pt>
                <c:pt idx="542" formatCode="0.000">
                  <c:v>42.745789473684219</c:v>
                </c:pt>
                <c:pt idx="543" formatCode="0.000">
                  <c:v>42.796315789473695</c:v>
                </c:pt>
                <c:pt idx="544" formatCode="0.000">
                  <c:v>42.832105263157906</c:v>
                </c:pt>
                <c:pt idx="545" formatCode="0.000">
                  <c:v>42.87526315789475</c:v>
                </c:pt>
                <c:pt idx="546" formatCode="0.000">
                  <c:v>42.896842105263161</c:v>
                </c:pt>
                <c:pt idx="547" formatCode="0.000">
                  <c:v>42.934210526315788</c:v>
                </c:pt>
                <c:pt idx="548" formatCode="0.000">
                  <c:v>42.97684210526316</c:v>
                </c:pt>
                <c:pt idx="549" formatCode="0.000">
                  <c:v>43.014210526315793</c:v>
                </c:pt>
                <c:pt idx="550" formatCode="0.000">
                  <c:v>43.05368421052632</c:v>
                </c:pt>
                <c:pt idx="551" formatCode="0.000">
                  <c:v>43.105789473684219</c:v>
                </c:pt>
                <c:pt idx="552" formatCode="0.000">
                  <c:v>43.162631578947376</c:v>
                </c:pt>
                <c:pt idx="553" formatCode="0.000">
                  <c:v>43.225789473684216</c:v>
                </c:pt>
                <c:pt idx="554" formatCode="0.000">
                  <c:v>43.270526315789475</c:v>
                </c:pt>
                <c:pt idx="555" formatCode="0.000">
                  <c:v>43.303684210526313</c:v>
                </c:pt>
                <c:pt idx="556" formatCode="0.000">
                  <c:v>43.35</c:v>
                </c:pt>
                <c:pt idx="557" formatCode="0.000">
                  <c:v>43.377368421052637</c:v>
                </c:pt>
                <c:pt idx="558" formatCode="0.000">
                  <c:v>43.390526315789479</c:v>
                </c:pt>
                <c:pt idx="559" formatCode="0.000">
                  <c:v>43.423157894736846</c:v>
                </c:pt>
                <c:pt idx="560" formatCode="0.000">
                  <c:v>43.467368421052633</c:v>
                </c:pt>
                <c:pt idx="561" formatCode="0.000">
                  <c:v>43.50578947368421</c:v>
                </c:pt>
                <c:pt idx="562" formatCode="0.000">
                  <c:v>43.538421052631577</c:v>
                </c:pt>
                <c:pt idx="563" formatCode="0.000">
                  <c:v>43.594736842105256</c:v>
                </c:pt>
                <c:pt idx="564" formatCode="0.000">
                  <c:v>43.65526315789473</c:v>
                </c:pt>
                <c:pt idx="565" formatCode="0.000">
                  <c:v>43.761578947368413</c:v>
                </c:pt>
                <c:pt idx="566" formatCode="0.000">
                  <c:v>43.88052631578946</c:v>
                </c:pt>
                <c:pt idx="567" formatCode="0.000">
                  <c:v>43.994736842105247</c:v>
                </c:pt>
                <c:pt idx="568" formatCode="0.000">
                  <c:v>44.102105263157888</c:v>
                </c:pt>
                <c:pt idx="569" formatCode="0.000">
                  <c:v>44.215263157894732</c:v>
                </c:pt>
                <c:pt idx="570" formatCode="0.000">
                  <c:v>44.327368421052618</c:v>
                </c:pt>
                <c:pt idx="571" formatCode="0.000">
                  <c:v>44.443157894736835</c:v>
                </c:pt>
                <c:pt idx="572" formatCode="0.000">
                  <c:v>44.553684210526306</c:v>
                </c:pt>
                <c:pt idx="573" formatCode="0.000">
                  <c:v>44.683684210526309</c:v>
                </c:pt>
                <c:pt idx="574" formatCode="0.000">
                  <c:v>44.785789473684204</c:v>
                </c:pt>
                <c:pt idx="575" formatCode="0.000">
                  <c:v>44.862631578947365</c:v>
                </c:pt>
                <c:pt idx="576" formatCode="0.000">
                  <c:v>44.953684210526312</c:v>
                </c:pt>
                <c:pt idx="577" formatCode="0.000">
                  <c:v>45.037894736842105</c:v>
                </c:pt>
                <c:pt idx="578" formatCode="0.000">
                  <c:v>45.1</c:v>
                </c:pt>
                <c:pt idx="579" formatCode="0.000">
                  <c:v>45.172105263157896</c:v>
                </c:pt>
                <c:pt idx="580" formatCode="0.000">
                  <c:v>45.248421052631578</c:v>
                </c:pt>
                <c:pt idx="581" formatCode="0.000">
                  <c:v>45.322631578947373</c:v>
                </c:pt>
                <c:pt idx="582" formatCode="0.000">
                  <c:v>45.385789473684213</c:v>
                </c:pt>
                <c:pt idx="583" formatCode="0.000">
                  <c:v>45.449999999999996</c:v>
                </c:pt>
                <c:pt idx="584" formatCode="0.000">
                  <c:v>45.46</c:v>
                </c:pt>
                <c:pt idx="585" formatCode="0.000">
                  <c:v>45.442105263157892</c:v>
                </c:pt>
                <c:pt idx="586" formatCode="0.000">
                  <c:v>45.434736842105266</c:v>
                </c:pt>
                <c:pt idx="587" formatCode="0.000">
                  <c:v>45.434736842105259</c:v>
                </c:pt>
                <c:pt idx="588" formatCode="0.000">
                  <c:v>45.412631578947369</c:v>
                </c:pt>
                <c:pt idx="589" formatCode="0.000">
                  <c:v>45.387894736842107</c:v>
                </c:pt>
                <c:pt idx="590" formatCode="0.000">
                  <c:v>45.332105263157899</c:v>
                </c:pt>
                <c:pt idx="591" formatCode="0.000">
                  <c:v>45.272105263157897</c:v>
                </c:pt>
                <c:pt idx="592" formatCode="0.000">
                  <c:v>45.207894736842107</c:v>
                </c:pt>
                <c:pt idx="593" formatCode="0.000">
                  <c:v>45.171578947368424</c:v>
                </c:pt>
                <c:pt idx="594" formatCode="0.000">
                  <c:v>45.133157894736847</c:v>
                </c:pt>
                <c:pt idx="595" formatCode="0.000">
                  <c:v>45.084210526315793</c:v>
                </c:pt>
                <c:pt idx="596" formatCode="0.000">
                  <c:v>45.034210526315796</c:v>
                </c:pt>
                <c:pt idx="597" formatCode="0.000">
                  <c:v>44.997368421052641</c:v>
                </c:pt>
                <c:pt idx="598" formatCode="0.000">
                  <c:v>44.955789473684213</c:v>
                </c:pt>
                <c:pt idx="599" formatCode="0.000">
                  <c:v>44.912631578947369</c:v>
                </c:pt>
                <c:pt idx="600" formatCode="0.000">
                  <c:v>44.879473684210524</c:v>
                </c:pt>
                <c:pt idx="601" formatCode="0.000">
                  <c:v>44.845263157894735</c:v>
                </c:pt>
                <c:pt idx="602" formatCode="0.000">
                  <c:v>44.795789473684202</c:v>
                </c:pt>
                <c:pt idx="603" formatCode="0.000">
                  <c:v>44.775263157894734</c:v>
                </c:pt>
                <c:pt idx="604" formatCode="0.000">
                  <c:v>44.762105263157892</c:v>
                </c:pt>
                <c:pt idx="605" formatCode="0.000">
                  <c:v>44.750526315789465</c:v>
                </c:pt>
                <c:pt idx="606" formatCode="0.000">
                  <c:v>44.719473684210527</c:v>
                </c:pt>
                <c:pt idx="607" formatCode="0.000">
                  <c:v>44.729473684210525</c:v>
                </c:pt>
                <c:pt idx="608" formatCode="0.000">
                  <c:v>44.751578947368422</c:v>
                </c:pt>
                <c:pt idx="609" formatCode="0.000">
                  <c:v>44.819473684210536</c:v>
                </c:pt>
                <c:pt idx="610" formatCode="0.000">
                  <c:v>44.880526315789481</c:v>
                </c:pt>
                <c:pt idx="611" formatCode="0.000">
                  <c:v>44.937368421052632</c:v>
                </c:pt>
                <c:pt idx="612" formatCode="0.000">
                  <c:v>44.983684210526327</c:v>
                </c:pt>
                <c:pt idx="613" formatCode="0.000">
                  <c:v>45.046315789473695</c:v>
                </c:pt>
                <c:pt idx="614" formatCode="0.000">
                  <c:v>45.113684210526323</c:v>
                </c:pt>
                <c:pt idx="615" formatCode="0.000">
                  <c:v>45.172631578947374</c:v>
                </c:pt>
                <c:pt idx="616" formatCode="0.000">
                  <c:v>45.241578947368424</c:v>
                </c:pt>
                <c:pt idx="617" formatCode="0.000">
                  <c:v>45.298947368421054</c:v>
                </c:pt>
                <c:pt idx="618" formatCode="0.000">
                  <c:v>45.360000000000007</c:v>
                </c:pt>
                <c:pt idx="619" formatCode="0.000">
                  <c:v>45.415789473684214</c:v>
                </c:pt>
                <c:pt idx="620" formatCode="0.000">
                  <c:v>45.461052631578944</c:v>
                </c:pt>
                <c:pt idx="621" formatCode="0.000">
                  <c:v>45.520526315789475</c:v>
                </c:pt>
                <c:pt idx="622" formatCode="0.000">
                  <c:v>45.592105263157897</c:v>
                </c:pt>
                <c:pt idx="623" formatCode="0.000">
                  <c:v>45.66473684210527</c:v>
                </c:pt>
                <c:pt idx="624" formatCode="0.000">
                  <c:v>45.708421052631586</c:v>
                </c:pt>
                <c:pt idx="625" formatCode="0.000">
                  <c:v>45.752105263157894</c:v>
                </c:pt>
                <c:pt idx="626" formatCode="0.000">
                  <c:v>45.775263157894734</c:v>
                </c:pt>
                <c:pt idx="627" formatCode="0.000">
                  <c:v>45.767894736842102</c:v>
                </c:pt>
                <c:pt idx="628" formatCode="0.000">
                  <c:v>45.737368421052629</c:v>
                </c:pt>
                <c:pt idx="629" formatCode="0.000">
                  <c:v>45.705789473684206</c:v>
                </c:pt>
                <c:pt idx="630" formatCode="0.000">
                  <c:v>45.691578947368427</c:v>
                </c:pt>
                <c:pt idx="631" formatCode="0.000">
                  <c:v>45.676842105263148</c:v>
                </c:pt>
                <c:pt idx="632" formatCode="0.000">
                  <c:v>45.66947368421053</c:v>
                </c:pt>
                <c:pt idx="633" formatCode="0.000">
                  <c:v>45.654736842105265</c:v>
                </c:pt>
                <c:pt idx="634" formatCode="0.000">
                  <c:v>45.657368421052631</c:v>
                </c:pt>
                <c:pt idx="635" formatCode="0.000">
                  <c:v>45.664736842105263</c:v>
                </c:pt>
                <c:pt idx="636" formatCode="0.000">
                  <c:v>45.681578947368422</c:v>
                </c:pt>
                <c:pt idx="637" formatCode="0.000">
                  <c:v>45.701052631578953</c:v>
                </c:pt>
                <c:pt idx="638" formatCode="0.000">
                  <c:v>45.729473684210525</c:v>
                </c:pt>
                <c:pt idx="639" formatCode="0.000">
                  <c:v>45.766842105263152</c:v>
                </c:pt>
                <c:pt idx="640" formatCode="0.000">
                  <c:v>45.804736842105264</c:v>
                </c:pt>
                <c:pt idx="641" formatCode="0.000">
                  <c:v>45.832631578947364</c:v>
                </c:pt>
                <c:pt idx="642" formatCode="0.000">
                  <c:v>45.867894736842096</c:v>
                </c:pt>
                <c:pt idx="643" formatCode="0.000">
                  <c:v>45.881052631578939</c:v>
                </c:pt>
                <c:pt idx="644" formatCode="0.000">
                  <c:v>45.907894736842103</c:v>
                </c:pt>
                <c:pt idx="645" formatCode="0.000">
                  <c:v>45.930526315789471</c:v>
                </c:pt>
                <c:pt idx="646" formatCode="0.000">
                  <c:v>45.950526315789467</c:v>
                </c:pt>
                <c:pt idx="647" formatCode="0.000">
                  <c:v>45.963157894736838</c:v>
                </c:pt>
                <c:pt idx="648" formatCode="0.000">
                  <c:v>45.962631578947359</c:v>
                </c:pt>
                <c:pt idx="649" formatCode="0.000">
                  <c:v>45.958421052631572</c:v>
                </c:pt>
                <c:pt idx="650" formatCode="0.000">
                  <c:v>45.972631578947357</c:v>
                </c:pt>
                <c:pt idx="651" formatCode="0.000">
                  <c:v>45.978947368421053</c:v>
                </c:pt>
                <c:pt idx="652" formatCode="0.000">
                  <c:v>45.939473684210519</c:v>
                </c:pt>
                <c:pt idx="653" formatCode="0.000">
                  <c:v>45.905789473684209</c:v>
                </c:pt>
                <c:pt idx="654" formatCode="0.000">
                  <c:v>45.865263157894731</c:v>
                </c:pt>
                <c:pt idx="655" formatCode="0.000">
                  <c:v>45.806315789473686</c:v>
                </c:pt>
                <c:pt idx="656" formatCode="0.000">
                  <c:v>45.765789473684208</c:v>
                </c:pt>
                <c:pt idx="657" formatCode="0.000">
                  <c:v>45.724736842105266</c:v>
                </c:pt>
                <c:pt idx="658" formatCode="0.000">
                  <c:v>45.683684210526316</c:v>
                </c:pt>
                <c:pt idx="659" formatCode="0.000">
                  <c:v>45.629473684210517</c:v>
                </c:pt>
                <c:pt idx="660" formatCode="0.000">
                  <c:v>45.56052631578946</c:v>
                </c:pt>
                <c:pt idx="661" formatCode="0.000">
                  <c:v>45.507894736842097</c:v>
                </c:pt>
                <c:pt idx="662" formatCode="0.000">
                  <c:v>45.507368421052632</c:v>
                </c:pt>
                <c:pt idx="663" formatCode="0.000">
                  <c:v>45.503684210526316</c:v>
                </c:pt>
                <c:pt idx="664" formatCode="0.000">
                  <c:v>45.507368421052632</c:v>
                </c:pt>
                <c:pt idx="665" formatCode="0.000">
                  <c:v>45.541052631578943</c:v>
                </c:pt>
                <c:pt idx="666" formatCode="0.000">
                  <c:v>45.579999999999991</c:v>
                </c:pt>
                <c:pt idx="667" formatCode="0.000">
                  <c:v>45.632631578947368</c:v>
                </c:pt>
                <c:pt idx="668" formatCode="0.000">
                  <c:v>45.690526315789469</c:v>
                </c:pt>
                <c:pt idx="669" formatCode="0.000">
                  <c:v>45.726842105263152</c:v>
                </c:pt>
                <c:pt idx="670" formatCode="0.000">
                  <c:v>45.766315789473687</c:v>
                </c:pt>
                <c:pt idx="671" formatCode="0.000">
                  <c:v>45.847368421052629</c:v>
                </c:pt>
                <c:pt idx="672" formatCode="0.000">
                  <c:v>45.907368421052624</c:v>
                </c:pt>
                <c:pt idx="673" formatCode="0.000">
                  <c:v>45.971578947368421</c:v>
                </c:pt>
                <c:pt idx="674" formatCode="0.000">
                  <c:v>46.038421052631584</c:v>
                </c:pt>
                <c:pt idx="675" formatCode="0.000">
                  <c:v>46.073684210526324</c:v>
                </c:pt>
                <c:pt idx="676" formatCode="0.000">
                  <c:v>46.098947368421051</c:v>
                </c:pt>
                <c:pt idx="677" formatCode="0.000">
                  <c:v>46.113684210526316</c:v>
                </c:pt>
                <c:pt idx="678" formatCode="0.000">
                  <c:v>46.13421052631579</c:v>
                </c:pt>
                <c:pt idx="679" formatCode="0.000">
                  <c:v>46.16368421052632</c:v>
                </c:pt>
                <c:pt idx="680" formatCode="0.000">
                  <c:v>46.142631578947373</c:v>
                </c:pt>
                <c:pt idx="681" formatCode="0.000">
                  <c:v>46.134210526315798</c:v>
                </c:pt>
                <c:pt idx="682" formatCode="0.000">
                  <c:v>46.137894736842107</c:v>
                </c:pt>
                <c:pt idx="683" formatCode="0.000">
                  <c:v>46.140526315789472</c:v>
                </c:pt>
                <c:pt idx="684" formatCode="0.000">
                  <c:v>46.136315789473684</c:v>
                </c:pt>
                <c:pt idx="685" formatCode="0.000">
                  <c:v>46.146842105263161</c:v>
                </c:pt>
                <c:pt idx="686" formatCode="0.000">
                  <c:v>46.201052631578946</c:v>
                </c:pt>
                <c:pt idx="687" formatCode="0.000">
                  <c:v>46.212631578947367</c:v>
                </c:pt>
                <c:pt idx="688" formatCode="0.000">
                  <c:v>46.221578947368414</c:v>
                </c:pt>
                <c:pt idx="689" formatCode="0.000">
                  <c:v>46.189473684210519</c:v>
                </c:pt>
                <c:pt idx="690" formatCode="0.000">
                  <c:v>46.151578947368414</c:v>
                </c:pt>
                <c:pt idx="691" formatCode="0.000">
                  <c:v>46.137368421052628</c:v>
                </c:pt>
                <c:pt idx="692" formatCode="0.000">
                  <c:v>46.116842105263153</c:v>
                </c:pt>
                <c:pt idx="693" formatCode="0.000">
                  <c:v>46.106842105263155</c:v>
                </c:pt>
                <c:pt idx="694" formatCode="0.000">
                  <c:v>46.108947368421056</c:v>
                </c:pt>
                <c:pt idx="695" formatCode="0.000">
                  <c:v>46.101052631578952</c:v>
                </c:pt>
                <c:pt idx="696" formatCode="0.000">
                  <c:v>46.085263157894744</c:v>
                </c:pt>
                <c:pt idx="697" formatCode="0.000">
                  <c:v>46.079473684210527</c:v>
                </c:pt>
                <c:pt idx="698" formatCode="0.000">
                  <c:v>46.079473684210527</c:v>
                </c:pt>
                <c:pt idx="699" formatCode="0.000">
                  <c:v>46.119473684210526</c:v>
                </c:pt>
                <c:pt idx="700" formatCode="0.000">
                  <c:v>46.136315789473684</c:v>
                </c:pt>
                <c:pt idx="701" formatCode="0.000">
                  <c:v>46.150526315789477</c:v>
                </c:pt>
                <c:pt idx="702" formatCode="0.000">
                  <c:v>46.126842105263165</c:v>
                </c:pt>
                <c:pt idx="703" formatCode="0.000">
                  <c:v>46.062105263157896</c:v>
                </c:pt>
                <c:pt idx="704" formatCode="0.000">
                  <c:v>45.988947368421059</c:v>
                </c:pt>
                <c:pt idx="705" formatCode="0.000">
                  <c:v>45.876315789473686</c:v>
                </c:pt>
                <c:pt idx="706" formatCode="0.000">
                  <c:v>45.828421052631576</c:v>
                </c:pt>
                <c:pt idx="707" formatCode="0.000">
                  <c:v>45.801052631578948</c:v>
                </c:pt>
                <c:pt idx="708" formatCode="0.000">
                  <c:v>45.826315789473689</c:v>
                </c:pt>
                <c:pt idx="709" formatCode="0.000">
                  <c:v>45.851052631578945</c:v>
                </c:pt>
                <c:pt idx="710" formatCode="0.000">
                  <c:v>45.869473684210526</c:v>
                </c:pt>
                <c:pt idx="711" formatCode="0.000">
                  <c:v>45.882105263157889</c:v>
                </c:pt>
                <c:pt idx="712" formatCode="0.000">
                  <c:v>45.867368421052618</c:v>
                </c:pt>
                <c:pt idx="713" formatCode="0.000">
                  <c:v>45.851052631578945</c:v>
                </c:pt>
                <c:pt idx="714" formatCode="0.000">
                  <c:v>45.85</c:v>
                </c:pt>
                <c:pt idx="715" formatCode="0.000">
                  <c:v>45.87263157894737</c:v>
                </c:pt>
                <c:pt idx="716" formatCode="0.000">
                  <c:v>45.870000000000005</c:v>
                </c:pt>
                <c:pt idx="717" formatCode="0.000">
                  <c:v>45.865263157894738</c:v>
                </c:pt>
                <c:pt idx="718" formatCode="0.000">
                  <c:v>45.828947368421055</c:v>
                </c:pt>
                <c:pt idx="719" formatCode="0.000">
                  <c:v>45.785789473684211</c:v>
                </c:pt>
                <c:pt idx="720" formatCode="0.000">
                  <c:v>45.766315789473687</c:v>
                </c:pt>
                <c:pt idx="721" formatCode="0.000">
                  <c:v>45.78157894736843</c:v>
                </c:pt>
                <c:pt idx="722" formatCode="0.000">
                  <c:v>45.817894736842113</c:v>
                </c:pt>
                <c:pt idx="723" formatCode="0.000">
                  <c:v>45.865263157894738</c:v>
                </c:pt>
                <c:pt idx="724" formatCode="0.000">
                  <c:v>45.906315789473695</c:v>
                </c:pt>
                <c:pt idx="725" formatCode="0.000">
                  <c:v>45.913684210526327</c:v>
                </c:pt>
                <c:pt idx="726" formatCode="0.000">
                  <c:v>45.920000000000009</c:v>
                </c:pt>
                <c:pt idx="727" formatCode="0.000">
                  <c:v>45.937894736842111</c:v>
                </c:pt>
                <c:pt idx="728" formatCode="0.000">
                  <c:v>45.984736842105264</c:v>
                </c:pt>
                <c:pt idx="729" formatCode="0.000">
                  <c:v>46.024210526315791</c:v>
                </c:pt>
                <c:pt idx="730" formatCode="0.000">
                  <c:v>46.081052631578949</c:v>
                </c:pt>
                <c:pt idx="731" formatCode="0.000">
                  <c:v>46.174736842105261</c:v>
                </c:pt>
                <c:pt idx="732" formatCode="0.000">
                  <c:v>46.272631578947369</c:v>
                </c:pt>
                <c:pt idx="733" formatCode="0.000">
                  <c:v>46.378947368421052</c:v>
                </c:pt>
                <c:pt idx="734" formatCode="0.000">
                  <c:v>46.479473684210532</c:v>
                </c:pt>
                <c:pt idx="735" formatCode="0.000">
                  <c:v>46.627368421052637</c:v>
                </c:pt>
                <c:pt idx="736" formatCode="0.000">
                  <c:v>46.72315789473685</c:v>
                </c:pt>
                <c:pt idx="737" formatCode="0.000">
                  <c:v>46.82157894736843</c:v>
                </c:pt>
                <c:pt idx="738" formatCode="0.000">
                  <c:v>46.934736842105266</c:v>
                </c:pt>
                <c:pt idx="739" formatCode="0.000">
                  <c:v>47.006842105263161</c:v>
                </c:pt>
                <c:pt idx="740" formatCode="0.000">
                  <c:v>47.041578947368428</c:v>
                </c:pt>
                <c:pt idx="741" formatCode="0.000">
                  <c:v>46.983157894736848</c:v>
                </c:pt>
                <c:pt idx="742" formatCode="0.000">
                  <c:v>46.901052631578949</c:v>
                </c:pt>
                <c:pt idx="743" formatCode="0.000">
                  <c:v>46.821578947368415</c:v>
                </c:pt>
                <c:pt idx="744" formatCode="0.000">
                  <c:v>46.666842105263157</c:v>
                </c:pt>
                <c:pt idx="745" formatCode="0.000">
                  <c:v>46.507894736842111</c:v>
                </c:pt>
                <c:pt idx="746" formatCode="0.000">
                  <c:v>46.373157894736849</c:v>
                </c:pt>
                <c:pt idx="747" formatCode="0.000">
                  <c:v>46.234736842105264</c:v>
                </c:pt>
                <c:pt idx="748" formatCode="0.000">
                  <c:v>46.088421052631574</c:v>
                </c:pt>
                <c:pt idx="749" formatCode="0.000">
                  <c:v>45.963157894736845</c:v>
                </c:pt>
                <c:pt idx="750" formatCode="0.000">
                  <c:v>45.836842105263166</c:v>
                </c:pt>
                <c:pt idx="751" formatCode="0.000">
                  <c:v>45.654736842105272</c:v>
                </c:pt>
                <c:pt idx="752" formatCode="0.000">
                  <c:v>45.418421052631579</c:v>
                </c:pt>
                <c:pt idx="753" formatCode="0.000">
                  <c:v>45.191052631578955</c:v>
                </c:pt>
                <c:pt idx="754" formatCode="0.000">
                  <c:v>44.95473684210527</c:v>
                </c:pt>
                <c:pt idx="755" formatCode="0.000">
                  <c:v>44.761578947368413</c:v>
                </c:pt>
                <c:pt idx="756" formatCode="0.000">
                  <c:v>44.562105263157896</c:v>
                </c:pt>
                <c:pt idx="757" formatCode="0.000">
                  <c:v>44.332105263157899</c:v>
                </c:pt>
                <c:pt idx="758" formatCode="0.000">
                  <c:v>44.120526315789476</c:v>
                </c:pt>
                <c:pt idx="759" formatCode="0.000">
                  <c:v>43.962105263157895</c:v>
                </c:pt>
                <c:pt idx="760" formatCode="0.000">
                  <c:v>43.909473684210525</c:v>
                </c:pt>
                <c:pt idx="761" formatCode="0.000">
                  <c:v>43.870526315789469</c:v>
                </c:pt>
                <c:pt idx="762" formatCode="0.000">
                  <c:v>43.831578947368428</c:v>
                </c:pt>
                <c:pt idx="763" formatCode="0.000">
                  <c:v>43.902631578947371</c:v>
                </c:pt>
                <c:pt idx="764" formatCode="0.000">
                  <c:v>43.991578947368431</c:v>
                </c:pt>
                <c:pt idx="765" formatCode="0.000">
                  <c:v>44.021052631578954</c:v>
                </c:pt>
                <c:pt idx="766" formatCode="0.000">
                  <c:v>44.04105263157895</c:v>
                </c:pt>
                <c:pt idx="767" formatCode="0.000">
                  <c:v>44.024210526315798</c:v>
                </c:pt>
                <c:pt idx="768" formatCode="0.000">
                  <c:v>43.965789473684211</c:v>
                </c:pt>
                <c:pt idx="769" formatCode="0.000">
                  <c:v>43.885789473684213</c:v>
                </c:pt>
                <c:pt idx="770" formatCode="0.000">
                  <c:v>43.847368421052636</c:v>
                </c:pt>
                <c:pt idx="771" formatCode="0.000">
                  <c:v>43.837894736842102</c:v>
                </c:pt>
                <c:pt idx="772" formatCode="0.000">
                  <c:v>43.810526315789474</c:v>
                </c:pt>
                <c:pt idx="773" formatCode="0.000">
                  <c:v>43.743157894736839</c:v>
                </c:pt>
                <c:pt idx="774" formatCode="0.000">
                  <c:v>43.653684210526315</c:v>
                </c:pt>
                <c:pt idx="775" formatCode="0.000">
                  <c:v>43.604736842105261</c:v>
                </c:pt>
                <c:pt idx="776" formatCode="0.000">
                  <c:v>43.587368421052631</c:v>
                </c:pt>
                <c:pt idx="777" formatCode="0.000">
                  <c:v>43.581578947368421</c:v>
                </c:pt>
                <c:pt idx="778" formatCode="0.000">
                  <c:v>43.566315789473677</c:v>
                </c:pt>
                <c:pt idx="779" formatCode="0.000">
                  <c:v>43.502105263157894</c:v>
                </c:pt>
                <c:pt idx="780" formatCode="0.000">
                  <c:v>43.473157894736836</c:v>
                </c:pt>
                <c:pt idx="781" formatCode="0.000">
                  <c:v>43.495263157894733</c:v>
                </c:pt>
                <c:pt idx="782" formatCode="0.000">
                  <c:v>43.492631578947361</c:v>
                </c:pt>
                <c:pt idx="783" formatCode="0.000">
                  <c:v>43.445263157894736</c:v>
                </c:pt>
                <c:pt idx="784" formatCode="0.000">
                  <c:v>43.408421052631574</c:v>
                </c:pt>
                <c:pt idx="785" formatCode="0.000">
                  <c:v>43.377894736842094</c:v>
                </c:pt>
                <c:pt idx="786" formatCode="0.000">
                  <c:v>43.38894736842105</c:v>
                </c:pt>
                <c:pt idx="787" formatCode="0.000">
                  <c:v>43.407894736842103</c:v>
                </c:pt>
                <c:pt idx="788" formatCode="0.000">
                  <c:v>43.463157894736838</c:v>
                </c:pt>
                <c:pt idx="789" formatCode="0.000">
                  <c:v>43.537894736842098</c:v>
                </c:pt>
                <c:pt idx="790" formatCode="0.000">
                  <c:v>43.628421052631573</c:v>
                </c:pt>
                <c:pt idx="791" formatCode="0.000">
                  <c:v>43.7078947368421</c:v>
                </c:pt>
                <c:pt idx="792" formatCode="0.000">
                  <c:v>43.789473684210513</c:v>
                </c:pt>
                <c:pt idx="793" formatCode="0.000">
                  <c:v>43.863684210526309</c:v>
                </c:pt>
                <c:pt idx="794" formatCode="0.000">
                  <c:v>43.931578947368422</c:v>
                </c:pt>
                <c:pt idx="795" formatCode="0.000">
                  <c:v>43.941052631578948</c:v>
                </c:pt>
                <c:pt idx="796" formatCode="0.000">
                  <c:v>43.894210526315788</c:v>
                </c:pt>
                <c:pt idx="797" formatCode="0.000">
                  <c:v>43.858421052631591</c:v>
                </c:pt>
                <c:pt idx="798" formatCode="0.000">
                  <c:v>43.892105263157895</c:v>
                </c:pt>
                <c:pt idx="799" formatCode="0.000">
                  <c:v>43.88315789473684</c:v>
                </c:pt>
                <c:pt idx="800" formatCode="0.000">
                  <c:v>43.796315789473681</c:v>
                </c:pt>
                <c:pt idx="801" formatCode="0.000">
                  <c:v>43.673157894736853</c:v>
                </c:pt>
                <c:pt idx="802" formatCode="0.000">
                  <c:v>43.566315789473691</c:v>
                </c:pt>
                <c:pt idx="803" formatCode="0.000">
                  <c:v>43.488947368421066</c:v>
                </c:pt>
                <c:pt idx="804" formatCode="0.000">
                  <c:v>43.39157894736843</c:v>
                </c:pt>
                <c:pt idx="805" formatCode="0.000">
                  <c:v>43.276842105263171</c:v>
                </c:pt>
                <c:pt idx="806" formatCode="0.000">
                  <c:v>43.158421052631581</c:v>
                </c:pt>
                <c:pt idx="807" formatCode="0.000">
                  <c:v>43.035789473684211</c:v>
                </c:pt>
                <c:pt idx="808" formatCode="0.000">
                  <c:v>42.902105263157885</c:v>
                </c:pt>
                <c:pt idx="809" formatCode="0.000">
                  <c:v>42.752631578947366</c:v>
                </c:pt>
                <c:pt idx="810" formatCode="0.000">
                  <c:v>42.605789473684197</c:v>
                </c:pt>
                <c:pt idx="811" formatCode="0.000">
                  <c:v>42.460526315789458</c:v>
                </c:pt>
                <c:pt idx="812" formatCode="0.000">
                  <c:v>42.384736842105255</c:v>
                </c:pt>
                <c:pt idx="813" formatCode="0.000">
                  <c:v>42.289999999999985</c:v>
                </c:pt>
                <c:pt idx="814" formatCode="0.000">
                  <c:v>42.255263157894731</c:v>
                </c:pt>
                <c:pt idx="815" formatCode="0.000">
                  <c:v>42.245789473684205</c:v>
                </c:pt>
                <c:pt idx="816" formatCode="0.000">
                  <c:v>42.227368421052624</c:v>
                </c:pt>
                <c:pt idx="817" formatCode="0.000">
                  <c:v>42.175263157894733</c:v>
                </c:pt>
                <c:pt idx="818" formatCode="0.000">
                  <c:v>42.132631578947368</c:v>
                </c:pt>
                <c:pt idx="819" formatCode="0.000">
                  <c:v>42.137368421052628</c:v>
                </c:pt>
                <c:pt idx="820" formatCode="0.000">
                  <c:v>42.193684210526321</c:v>
                </c:pt>
                <c:pt idx="821" formatCode="0.000">
                  <c:v>42.252105263157901</c:v>
                </c:pt>
                <c:pt idx="822" formatCode="0.000">
                  <c:v>42.292105263157893</c:v>
                </c:pt>
                <c:pt idx="823" formatCode="0.000">
                  <c:v>42.363157894736844</c:v>
                </c:pt>
                <c:pt idx="824" formatCode="0.000">
                  <c:v>42.431578947368422</c:v>
                </c:pt>
                <c:pt idx="825" formatCode="0.000">
                  <c:v>42.52</c:v>
                </c:pt>
                <c:pt idx="826" formatCode="0.000">
                  <c:v>42.586315789473687</c:v>
                </c:pt>
                <c:pt idx="827" formatCode="0.000">
                  <c:v>42.681578947368422</c:v>
                </c:pt>
                <c:pt idx="828" formatCode="0.000">
                  <c:v>42.791578947368428</c:v>
                </c:pt>
                <c:pt idx="829" formatCode="0.000">
                  <c:v>42.933157894736844</c:v>
                </c:pt>
                <c:pt idx="830" formatCode="0.000">
                  <c:v>43.071578947368423</c:v>
                </c:pt>
                <c:pt idx="831" formatCode="0.000">
                  <c:v>43.138947368421057</c:v>
                </c:pt>
                <c:pt idx="832" formatCode="0.000">
                  <c:v>43.241052631578953</c:v>
                </c:pt>
                <c:pt idx="833" formatCode="0.000">
                  <c:v>43.301052631578941</c:v>
                </c:pt>
                <c:pt idx="834" formatCode="0.000">
                  <c:v>43.372105263157891</c:v>
                </c:pt>
                <c:pt idx="835" formatCode="0.000">
                  <c:v>43.417368421052629</c:v>
                </c:pt>
                <c:pt idx="836" formatCode="0.000">
                  <c:v>43.4578947368421</c:v>
                </c:pt>
                <c:pt idx="837" formatCode="0.000">
                  <c:v>43.502631578947366</c:v>
                </c:pt>
                <c:pt idx="838" formatCode="0.000">
                  <c:v>43.550000000000004</c:v>
                </c:pt>
                <c:pt idx="839" formatCode="0.000">
                  <c:v>43.560526315789481</c:v>
                </c:pt>
                <c:pt idx="840" formatCode="0.000">
                  <c:v>43.564210526315797</c:v>
                </c:pt>
                <c:pt idx="841" formatCode="0.000">
                  <c:v>43.582631578947378</c:v>
                </c:pt>
                <c:pt idx="842" formatCode="0.000">
                  <c:v>43.60210526315791</c:v>
                </c:pt>
                <c:pt idx="843" formatCode="0.000">
                  <c:v>43.63578947368422</c:v>
                </c:pt>
                <c:pt idx="844" formatCode="0.000">
                  <c:v>43.663684210526327</c:v>
                </c:pt>
                <c:pt idx="845" formatCode="0.000">
                  <c:v>43.72789473684211</c:v>
                </c:pt>
                <c:pt idx="846" formatCode="0.000">
                  <c:v>43.764210526315793</c:v>
                </c:pt>
                <c:pt idx="847" formatCode="0.000">
                  <c:v>43.778421052631586</c:v>
                </c:pt>
                <c:pt idx="848" formatCode="0.000">
                  <c:v>43.807894736842101</c:v>
                </c:pt>
                <c:pt idx="849" formatCode="0.000">
                  <c:v>43.839999999999996</c:v>
                </c:pt>
                <c:pt idx="850" formatCode="0.000">
                  <c:v>43.897368421052626</c:v>
                </c:pt>
                <c:pt idx="851" formatCode="0.000">
                  <c:v>43.929999999999993</c:v>
                </c:pt>
                <c:pt idx="852" formatCode="0.000">
                  <c:v>43.992105263157889</c:v>
                </c:pt>
                <c:pt idx="853" formatCode="0.000">
                  <c:v>44.078947368421048</c:v>
                </c:pt>
                <c:pt idx="854" formatCode="0.000">
                  <c:v>44.176842105263155</c:v>
                </c:pt>
                <c:pt idx="855" formatCode="0.000">
                  <c:v>44.283157894736839</c:v>
                </c:pt>
                <c:pt idx="856" formatCode="0.000">
                  <c:v>44.39</c:v>
                </c:pt>
                <c:pt idx="857" formatCode="0.000">
                  <c:v>44.462105263157902</c:v>
                </c:pt>
                <c:pt idx="858" formatCode="0.000">
                  <c:v>44.563684210526318</c:v>
                </c:pt>
                <c:pt idx="859" formatCode="0.000">
                  <c:v>44.722631578947379</c:v>
                </c:pt>
                <c:pt idx="860" formatCode="0.000">
                  <c:v>44.868421052631582</c:v>
                </c:pt>
                <c:pt idx="861" formatCode="0.000">
                  <c:v>44.992105263157903</c:v>
                </c:pt>
                <c:pt idx="862" formatCode="0.000">
                  <c:v>45.122631578947377</c:v>
                </c:pt>
                <c:pt idx="863" formatCode="0.000">
                  <c:v>45.261578947368427</c:v>
                </c:pt>
                <c:pt idx="864" formatCode="0.000">
                  <c:v>45.352631578947374</c:v>
                </c:pt>
                <c:pt idx="865" formatCode="0.000">
                  <c:v>45.433684210526323</c:v>
                </c:pt>
                <c:pt idx="866" formatCode="0.000">
                  <c:v>45.550526315789469</c:v>
                </c:pt>
                <c:pt idx="867" formatCode="0.000">
                  <c:v>45.63894736842105</c:v>
                </c:pt>
                <c:pt idx="868" formatCode="0.000">
                  <c:v>45.728947368421046</c:v>
                </c:pt>
                <c:pt idx="869" formatCode="0.000">
                  <c:v>45.806842105263151</c:v>
                </c:pt>
                <c:pt idx="870" formatCode="0.000">
                  <c:v>45.891578947368416</c:v>
                </c:pt>
                <c:pt idx="871" formatCode="0.000">
                  <c:v>45.962631578947374</c:v>
                </c:pt>
                <c:pt idx="872" formatCode="0.000">
                  <c:v>45.993157894736839</c:v>
                </c:pt>
                <c:pt idx="873" formatCode="0.000">
                  <c:v>46.033684210526317</c:v>
                </c:pt>
                <c:pt idx="874" formatCode="0.000">
                  <c:v>46.084736842105272</c:v>
                </c:pt>
                <c:pt idx="875" formatCode="0.000">
                  <c:v>46.134210526315798</c:v>
                </c:pt>
                <c:pt idx="876" formatCode="0.000">
                  <c:v>46.221052631578956</c:v>
                </c:pt>
                <c:pt idx="877" formatCode="0.000">
                  <c:v>46.298421052631589</c:v>
                </c:pt>
                <c:pt idx="878" formatCode="0.000">
                  <c:v>46.30526315789475</c:v>
                </c:pt>
                <c:pt idx="879" formatCode="0.000">
                  <c:v>46.288947368421056</c:v>
                </c:pt>
                <c:pt idx="880" formatCode="0.000">
                  <c:v>46.262105263157899</c:v>
                </c:pt>
                <c:pt idx="881" formatCode="0.000">
                  <c:v>46.230526315789483</c:v>
                </c:pt>
                <c:pt idx="882" formatCode="0.000">
                  <c:v>46.18105263157895</c:v>
                </c:pt>
                <c:pt idx="883" formatCode="0.000">
                  <c:v>46.12736842105263</c:v>
                </c:pt>
                <c:pt idx="884" formatCode="0.000">
                  <c:v>46.082631578947364</c:v>
                </c:pt>
                <c:pt idx="885" formatCode="0.000">
                  <c:v>45.994736842105269</c:v>
                </c:pt>
                <c:pt idx="886" formatCode="0.000">
                  <c:v>45.885263157894741</c:v>
                </c:pt>
                <c:pt idx="887" formatCode="0.000">
                  <c:v>45.793684210526315</c:v>
                </c:pt>
                <c:pt idx="888" formatCode="0.000">
                  <c:v>45.753157894736852</c:v>
                </c:pt>
                <c:pt idx="889" formatCode="0.000">
                  <c:v>45.722631578947372</c:v>
                </c:pt>
                <c:pt idx="890" formatCode="0.000">
                  <c:v>45.703684210526319</c:v>
                </c:pt>
                <c:pt idx="891" formatCode="0.000">
                  <c:v>45.715789473684218</c:v>
                </c:pt>
                <c:pt idx="892" formatCode="0.000">
                  <c:v>45.722631578947372</c:v>
                </c:pt>
                <c:pt idx="893" formatCode="0.000">
                  <c:v>45.73105263157894</c:v>
                </c:pt>
                <c:pt idx="894" formatCode="0.000">
                  <c:v>45.71052631578948</c:v>
                </c:pt>
                <c:pt idx="895" formatCode="0.000">
                  <c:v>45.678421052631577</c:v>
                </c:pt>
                <c:pt idx="896" formatCode="0.000">
                  <c:v>45.656842105263159</c:v>
                </c:pt>
                <c:pt idx="897" formatCode="0.000">
                  <c:v>45.641578947368416</c:v>
                </c:pt>
                <c:pt idx="898" formatCode="0.000">
                  <c:v>45.643157894736852</c:v>
                </c:pt>
                <c:pt idx="899" formatCode="0.000">
                  <c:v>45.69263157894737</c:v>
                </c:pt>
                <c:pt idx="900" formatCode="0.000">
                  <c:v>45.742631578947368</c:v>
                </c:pt>
                <c:pt idx="901" formatCode="0.000">
                  <c:v>45.762631578947371</c:v>
                </c:pt>
                <c:pt idx="902" formatCode="0.000">
                  <c:v>45.778947368421058</c:v>
                </c:pt>
                <c:pt idx="903" formatCode="0.000">
                  <c:v>45.806315789473686</c:v>
                </c:pt>
                <c:pt idx="904" formatCode="0.000">
                  <c:v>45.862105263157893</c:v>
                </c:pt>
                <c:pt idx="905" formatCode="0.000">
                  <c:v>45.94736842105263</c:v>
                </c:pt>
                <c:pt idx="906" formatCode="0.000">
                  <c:v>46.024736842105263</c:v>
                </c:pt>
                <c:pt idx="907" formatCode="0.000">
                  <c:v>46.084210526315793</c:v>
                </c:pt>
                <c:pt idx="908" formatCode="0.000">
                  <c:v>46.089473684210525</c:v>
                </c:pt>
                <c:pt idx="909" formatCode="0.000">
                  <c:v>46.096315789473678</c:v>
                </c:pt>
                <c:pt idx="910" formatCode="0.000">
                  <c:v>46.086842105263159</c:v>
                </c:pt>
                <c:pt idx="911" formatCode="0.000">
                  <c:v>46.11105263157895</c:v>
                </c:pt>
                <c:pt idx="912" formatCode="0.000">
                  <c:v>46.118947368421054</c:v>
                </c:pt>
                <c:pt idx="913" formatCode="0.000">
                  <c:v>46.11105263157895</c:v>
                </c:pt>
                <c:pt idx="914" formatCode="0.000">
                  <c:v>46.04</c:v>
                </c:pt>
                <c:pt idx="915" formatCode="0.000">
                  <c:v>45.953684210526312</c:v>
                </c:pt>
                <c:pt idx="916" formatCode="0.000">
                  <c:v>45.9</c:v>
                </c:pt>
                <c:pt idx="917" formatCode="0.000">
                  <c:v>45.875263157894729</c:v>
                </c:pt>
                <c:pt idx="918" formatCode="0.000">
                  <c:v>45.834210526315786</c:v>
                </c:pt>
                <c:pt idx="919" formatCode="0.000">
                  <c:v>45.783157894736839</c:v>
                </c:pt>
                <c:pt idx="920" formatCode="0.000">
                  <c:v>45.79684210526316</c:v>
                </c:pt>
                <c:pt idx="921" formatCode="0.000">
                  <c:v>45.812105263157896</c:v>
                </c:pt>
                <c:pt idx="922" formatCode="0.000">
                  <c:v>45.838947368421053</c:v>
                </c:pt>
                <c:pt idx="923" formatCode="0.000">
                  <c:v>45.876842105263165</c:v>
                </c:pt>
                <c:pt idx="924" formatCode="0.000">
                  <c:v>45.893684210526324</c:v>
                </c:pt>
                <c:pt idx="925" formatCode="0.000">
                  <c:v>45.877368421052637</c:v>
                </c:pt>
                <c:pt idx="926" formatCode="0.000">
                  <c:v>45.874736842105271</c:v>
                </c:pt>
                <c:pt idx="927" formatCode="0.000">
                  <c:v>45.96736842105264</c:v>
                </c:pt>
                <c:pt idx="928" formatCode="0.000">
                  <c:v>46.074210526315788</c:v>
                </c:pt>
                <c:pt idx="929" formatCode="0.000">
                  <c:v>46.172105263157896</c:v>
                </c:pt>
                <c:pt idx="930" formatCode="0.000">
                  <c:v>46.252105263157894</c:v>
                </c:pt>
                <c:pt idx="931" formatCode="0.000">
                  <c:v>46.373157894736835</c:v>
                </c:pt>
                <c:pt idx="932" formatCode="0.000">
                  <c:v>46.55368421052632</c:v>
                </c:pt>
                <c:pt idx="933" formatCode="0.000">
                  <c:v>46.80263157894737</c:v>
                </c:pt>
                <c:pt idx="934" formatCode="0.000">
                  <c:v>47.047368421052632</c:v>
                </c:pt>
                <c:pt idx="935" formatCode="0.000">
                  <c:v>47.298421052631582</c:v>
                </c:pt>
                <c:pt idx="936" formatCode="0.000">
                  <c:v>47.528947368421058</c:v>
                </c:pt>
                <c:pt idx="937" formatCode="0.000">
                  <c:v>47.739473684210523</c:v>
                </c:pt>
                <c:pt idx="938" formatCode="0.000">
                  <c:v>47.957894736842107</c:v>
                </c:pt>
                <c:pt idx="939" formatCode="0.000">
                  <c:v>48.137368421052635</c:v>
                </c:pt>
                <c:pt idx="940" formatCode="0.000">
                  <c:v>48.358421052631577</c:v>
                </c:pt>
                <c:pt idx="941" formatCode="0.000">
                  <c:v>48.576842105263154</c:v>
                </c:pt>
                <c:pt idx="942" formatCode="0.000">
                  <c:v>48.716315789473676</c:v>
                </c:pt>
                <c:pt idx="943" formatCode="0.000">
                  <c:v>48.833157894736836</c:v>
                </c:pt>
                <c:pt idx="944" formatCode="0.000">
                  <c:v>48.996315789473684</c:v>
                </c:pt>
                <c:pt idx="945" formatCode="0.000">
                  <c:v>49.123157894736835</c:v>
                </c:pt>
                <c:pt idx="946" formatCode="0.000">
                  <c:v>49.214736842105268</c:v>
                </c:pt>
                <c:pt idx="947" formatCode="0.000">
                  <c:v>49.311052631578946</c:v>
                </c:pt>
                <c:pt idx="948" formatCode="0.000">
                  <c:v>49.376315789473686</c:v>
                </c:pt>
                <c:pt idx="949" formatCode="0.000">
                  <c:v>49.502631578947373</c:v>
                </c:pt>
                <c:pt idx="950" formatCode="0.000">
                  <c:v>49.55526315789475</c:v>
                </c:pt>
                <c:pt idx="951" formatCode="0.000">
                  <c:v>49.580000000000005</c:v>
                </c:pt>
                <c:pt idx="952" formatCode="0.000">
                  <c:v>49.580526315789484</c:v>
                </c:pt>
                <c:pt idx="953" formatCode="0.000">
                  <c:v>49.567894736842106</c:v>
                </c:pt>
                <c:pt idx="954" formatCode="0.000">
                  <c:v>49.544736842105266</c:v>
                </c:pt>
                <c:pt idx="955" formatCode="0.000">
                  <c:v>49.527368421052635</c:v>
                </c:pt>
                <c:pt idx="956" formatCode="0.000">
                  <c:v>49.493684210526318</c:v>
                </c:pt>
                <c:pt idx="957" formatCode="0.000">
                  <c:v>49.478421052631582</c:v>
                </c:pt>
                <c:pt idx="958" formatCode="0.000">
                  <c:v>49.457368421052635</c:v>
                </c:pt>
                <c:pt idx="959" formatCode="0.000">
                  <c:v>49.360526315789478</c:v>
                </c:pt>
                <c:pt idx="960" formatCode="0.000">
                  <c:v>49.245263157894748</c:v>
                </c:pt>
                <c:pt idx="961" formatCode="0.000">
                  <c:v>49.167368421052636</c:v>
                </c:pt>
                <c:pt idx="962" formatCode="0.000">
                  <c:v>49.104736842105261</c:v>
                </c:pt>
                <c:pt idx="963" formatCode="0.000">
                  <c:v>49.028421052631586</c:v>
                </c:pt>
                <c:pt idx="964" formatCode="0.000">
                  <c:v>48.87526315789475</c:v>
                </c:pt>
                <c:pt idx="965" formatCode="0.000">
                  <c:v>48.747368421052649</c:v>
                </c:pt>
                <c:pt idx="966" formatCode="0.000">
                  <c:v>48.632631578947382</c:v>
                </c:pt>
                <c:pt idx="967" formatCode="0.000">
                  <c:v>48.538947368421063</c:v>
                </c:pt>
                <c:pt idx="968" formatCode="0.000">
                  <c:v>48.378421052631587</c:v>
                </c:pt>
                <c:pt idx="969" formatCode="0.000">
                  <c:v>48.233157894736848</c:v>
                </c:pt>
                <c:pt idx="970" formatCode="0.000">
                  <c:v>48.078421052631576</c:v>
                </c:pt>
                <c:pt idx="971" formatCode="0.000">
                  <c:v>47.983157894736848</c:v>
                </c:pt>
                <c:pt idx="972" formatCode="0.000">
                  <c:v>47.870526315789469</c:v>
                </c:pt>
                <c:pt idx="973" formatCode="0.000">
                  <c:v>47.777894736842107</c:v>
                </c:pt>
                <c:pt idx="974" formatCode="0.000">
                  <c:v>47.621578947368427</c:v>
                </c:pt>
                <c:pt idx="975" formatCode="0.000">
                  <c:v>47.50842105263159</c:v>
                </c:pt>
                <c:pt idx="976" formatCode="0.000">
                  <c:v>47.39631578947369</c:v>
                </c:pt>
                <c:pt idx="977" formatCode="0.000">
                  <c:v>47.281052631578959</c:v>
                </c:pt>
                <c:pt idx="978" formatCode="0.000">
                  <c:v>47.24105263157896</c:v>
                </c:pt>
                <c:pt idx="979" formatCode="0.000">
                  <c:v>47.167368421052643</c:v>
                </c:pt>
                <c:pt idx="980" formatCode="0.000">
                  <c:v>47.123157894736849</c:v>
                </c:pt>
                <c:pt idx="981" formatCode="0.000">
                  <c:v>47.126842105263165</c:v>
                </c:pt>
                <c:pt idx="982" formatCode="0.000">
                  <c:v>47.134736842105269</c:v>
                </c:pt>
                <c:pt idx="983" formatCode="0.000">
                  <c:v>47.256315789473682</c:v>
                </c:pt>
                <c:pt idx="984" formatCode="0.000">
                  <c:v>47.295789473684202</c:v>
                </c:pt>
                <c:pt idx="985" formatCode="0.000">
                  <c:v>47.287368421052626</c:v>
                </c:pt>
                <c:pt idx="986" formatCode="0.000">
                  <c:v>47.285789473684204</c:v>
                </c:pt>
                <c:pt idx="987" formatCode="0.000">
                  <c:v>47.288421052631577</c:v>
                </c:pt>
                <c:pt idx="988" formatCode="0.000">
                  <c:v>47.337368421052624</c:v>
                </c:pt>
                <c:pt idx="989" formatCode="0.000">
                  <c:v>47.415789473684207</c:v>
                </c:pt>
                <c:pt idx="990" formatCode="0.000">
                  <c:v>47.475263157894744</c:v>
                </c:pt>
                <c:pt idx="991" formatCode="0.000">
                  <c:v>47.596315789473685</c:v>
                </c:pt>
                <c:pt idx="992" formatCode="0.000">
                  <c:v>47.69</c:v>
                </c:pt>
                <c:pt idx="993" formatCode="0.000">
                  <c:v>47.831578947368421</c:v>
                </c:pt>
                <c:pt idx="994" formatCode="0.000">
                  <c:v>47.955263157894734</c:v>
                </c:pt>
                <c:pt idx="995" formatCode="0.000">
                  <c:v>48.06894736842105</c:v>
                </c:pt>
                <c:pt idx="996" formatCode="0.000">
                  <c:v>48.198421052631581</c:v>
                </c:pt>
                <c:pt idx="997" formatCode="0.000">
                  <c:v>48.30842105263158</c:v>
                </c:pt>
                <c:pt idx="998" formatCode="0.000">
                  <c:v>48.459473684210522</c:v>
                </c:pt>
                <c:pt idx="999" formatCode="0.000">
                  <c:v>48.382105263157889</c:v>
                </c:pt>
                <c:pt idx="1000" formatCode="0.000">
                  <c:v>48.257368421052632</c:v>
                </c:pt>
                <c:pt idx="1001" formatCode="0.000">
                  <c:v>48.10526315789474</c:v>
                </c:pt>
                <c:pt idx="1002" formatCode="0.000">
                  <c:v>47.938421052631583</c:v>
                </c:pt>
                <c:pt idx="1003" formatCode="0.000">
                  <c:v>47.842105263157897</c:v>
                </c:pt>
                <c:pt idx="1004" formatCode="0.000">
                  <c:v>47.732105263157891</c:v>
                </c:pt>
                <c:pt idx="1005" formatCode="0.000">
                  <c:v>47.614736842105266</c:v>
                </c:pt>
                <c:pt idx="1006" formatCode="0.000">
                  <c:v>47.472105263157893</c:v>
                </c:pt>
                <c:pt idx="1007" formatCode="0.000">
                  <c:v>47.318421052631585</c:v>
                </c:pt>
                <c:pt idx="1008" formatCode="0.000">
                  <c:v>47.171578947368424</c:v>
                </c:pt>
                <c:pt idx="1009" formatCode="0.000">
                  <c:v>46.99684210526317</c:v>
                </c:pt>
                <c:pt idx="1010" formatCode="0.000">
                  <c:v>46.807368421052637</c:v>
                </c:pt>
                <c:pt idx="1011" formatCode="0.000">
                  <c:v>46.614736842105266</c:v>
                </c:pt>
                <c:pt idx="1012" formatCode="0.000">
                  <c:v>46.414210526315799</c:v>
                </c:pt>
                <c:pt idx="1013" formatCode="0.000">
                  <c:v>46.196315789473694</c:v>
                </c:pt>
                <c:pt idx="1014" formatCode="0.000">
                  <c:v>45.951052631578953</c:v>
                </c:pt>
                <c:pt idx="1015" formatCode="0.000">
                  <c:v>45.770526315789475</c:v>
                </c:pt>
                <c:pt idx="1016" formatCode="0.000">
                  <c:v>45.580526315789463</c:v>
                </c:pt>
                <c:pt idx="1017" formatCode="0.000">
                  <c:v>45.392631578947366</c:v>
                </c:pt>
                <c:pt idx="1018" formatCode="0.000">
                  <c:v>45.398421052631583</c:v>
                </c:pt>
                <c:pt idx="1019" formatCode="0.000">
                  <c:v>45.401578947368421</c:v>
                </c:pt>
                <c:pt idx="1020" formatCode="0.000">
                  <c:v>45.432105263157894</c:v>
                </c:pt>
                <c:pt idx="1021" formatCode="0.000">
                  <c:v>45.456315789473678</c:v>
                </c:pt>
                <c:pt idx="1022" formatCode="0.000">
                  <c:v>45.438947368421047</c:v>
                </c:pt>
                <c:pt idx="1023" formatCode="0.000">
                  <c:v>45.451052631578946</c:v>
                </c:pt>
                <c:pt idx="1024" formatCode="0.000">
                  <c:v>45.503157894736844</c:v>
                </c:pt>
                <c:pt idx="1025" formatCode="0.000">
                  <c:v>45.573684210526316</c:v>
                </c:pt>
                <c:pt idx="1026" formatCode="0.000">
                  <c:v>45.663157894736834</c:v>
                </c:pt>
                <c:pt idx="1027" formatCode="0.000">
                  <c:v>45.72999999999999</c:v>
                </c:pt>
                <c:pt idx="1028" formatCode="0.000">
                  <c:v>45.793157894736837</c:v>
                </c:pt>
                <c:pt idx="1029" formatCode="0.000">
                  <c:v>45.856842105263155</c:v>
                </c:pt>
                <c:pt idx="1030" formatCode="0.000">
                  <c:v>45.915789473684207</c:v>
                </c:pt>
                <c:pt idx="1031" formatCode="0.000">
                  <c:v>45.974736842105266</c:v>
                </c:pt>
                <c:pt idx="1032" formatCode="0.000">
                  <c:v>46.022105263157904</c:v>
                </c:pt>
                <c:pt idx="1033" formatCode="0.000">
                  <c:v>46.108421052631591</c:v>
                </c:pt>
                <c:pt idx="1034" formatCode="0.000">
                  <c:v>46.123684210526321</c:v>
                </c:pt>
                <c:pt idx="1035" formatCode="0.000">
                  <c:v>46.150000000000006</c:v>
                </c:pt>
                <c:pt idx="1036" formatCode="0.000">
                  <c:v>46.173684210526311</c:v>
                </c:pt>
                <c:pt idx="1037" formatCode="0.000">
                  <c:v>46.223157894736836</c:v>
                </c:pt>
                <c:pt idx="1038" formatCode="0.000">
                  <c:v>46.297368421052632</c:v>
                </c:pt>
                <c:pt idx="1039" formatCode="0.000">
                  <c:v>46.367368421052632</c:v>
                </c:pt>
                <c:pt idx="1040" formatCode="0.000">
                  <c:v>46.443157894736842</c:v>
                </c:pt>
                <c:pt idx="1041" formatCode="0.000">
                  <c:v>46.517894736842109</c:v>
                </c:pt>
                <c:pt idx="1042" formatCode="0.000">
                  <c:v>46.61105263157895</c:v>
                </c:pt>
                <c:pt idx="1043" formatCode="0.000">
                  <c:v>46.692631578947378</c:v>
                </c:pt>
                <c:pt idx="1044" formatCode="0.000">
                  <c:v>46.764736842105265</c:v>
                </c:pt>
                <c:pt idx="1045" formatCode="0.000">
                  <c:v>46.847368421052636</c:v>
                </c:pt>
                <c:pt idx="1046" formatCode="0.000">
                  <c:v>46.919473684210537</c:v>
                </c:pt>
                <c:pt idx="1047" formatCode="0.000">
                  <c:v>46.985789473684214</c:v>
                </c:pt>
                <c:pt idx="1048" formatCode="0.000">
                  <c:v>47.059473684210531</c:v>
                </c:pt>
                <c:pt idx="1049" formatCode="0.000">
                  <c:v>47.148947368421055</c:v>
                </c:pt>
                <c:pt idx="1050" formatCode="0.000">
                  <c:v>47.279999999999994</c:v>
                </c:pt>
                <c:pt idx="1051" formatCode="0.000">
                  <c:v>47.406842105263166</c:v>
                </c:pt>
                <c:pt idx="1052" formatCode="0.000">
                  <c:v>47.507368421052639</c:v>
                </c:pt>
                <c:pt idx="1053" formatCode="0.000">
                  <c:v>47.625789473684215</c:v>
                </c:pt>
                <c:pt idx="1054" formatCode="0.000">
                  <c:v>47.726842105263152</c:v>
                </c:pt>
                <c:pt idx="1055" formatCode="0.000">
                  <c:v>47.79684210526316</c:v>
                </c:pt>
                <c:pt idx="1056" formatCode="0.000">
                  <c:v>47.860526315789478</c:v>
                </c:pt>
                <c:pt idx="1057" formatCode="0.000">
                  <c:v>47.896842105263154</c:v>
                </c:pt>
                <c:pt idx="1058" formatCode="0.000">
                  <c:v>47.973157894736843</c:v>
                </c:pt>
                <c:pt idx="1059" formatCode="0.000">
                  <c:v>48.028421052631579</c:v>
                </c:pt>
                <c:pt idx="1060" formatCode="0.000">
                  <c:v>48.12</c:v>
                </c:pt>
                <c:pt idx="1061" formatCode="0.000">
                  <c:v>48.22</c:v>
                </c:pt>
                <c:pt idx="1062" formatCode="0.000">
                  <c:v>48.33052631578947</c:v>
                </c:pt>
                <c:pt idx="1063" formatCode="0.000">
                  <c:v>48.425263157894747</c:v>
                </c:pt>
                <c:pt idx="1064" formatCode="0.000">
                  <c:v>48.458947368421057</c:v>
                </c:pt>
                <c:pt idx="1065" formatCode="0.000">
                  <c:v>48.491578947368431</c:v>
                </c:pt>
                <c:pt idx="1066" formatCode="0.000">
                  <c:v>48.586842105263166</c:v>
                </c:pt>
                <c:pt idx="1067" formatCode="0.000">
                  <c:v>48.670526315789473</c:v>
                </c:pt>
                <c:pt idx="1068" formatCode="0.000">
                  <c:v>48.733157894736848</c:v>
                </c:pt>
                <c:pt idx="1069" formatCode="0.000">
                  <c:v>48.735263157894742</c:v>
                </c:pt>
                <c:pt idx="1070" formatCode="0.000">
                  <c:v>48.736315789473693</c:v>
                </c:pt>
                <c:pt idx="1071" formatCode="0.000">
                  <c:v>48.78157894736843</c:v>
                </c:pt>
                <c:pt idx="1072" formatCode="0.000">
                  <c:v>48.803157894736842</c:v>
                </c:pt>
                <c:pt idx="1073" formatCode="0.000">
                  <c:v>48.882631578947375</c:v>
                </c:pt>
                <c:pt idx="1074" formatCode="0.000">
                  <c:v>48.987894736842108</c:v>
                </c:pt>
                <c:pt idx="1075" formatCode="0.000">
                  <c:v>49.142105263157895</c:v>
                </c:pt>
                <c:pt idx="1076" formatCode="0.000">
                  <c:v>49.352631578947374</c:v>
                </c:pt>
                <c:pt idx="1077" formatCode="0.000">
                  <c:v>49.526315789473685</c:v>
                </c:pt>
                <c:pt idx="1078" formatCode="0.000">
                  <c:v>49.701578947368418</c:v>
                </c:pt>
                <c:pt idx="1079" formatCode="0.000">
                  <c:v>49.840526315789475</c:v>
                </c:pt>
                <c:pt idx="1080" formatCode="0.000">
                  <c:v>49.970000000000006</c:v>
                </c:pt>
                <c:pt idx="1081" formatCode="0.000">
                  <c:v>50.051578947368419</c:v>
                </c:pt>
                <c:pt idx="1082" formatCode="0.000">
                  <c:v>50.162631578947376</c:v>
                </c:pt>
                <c:pt idx="1083" formatCode="0.000">
                  <c:v>50.268947368421053</c:v>
                </c:pt>
                <c:pt idx="1084" formatCode="0.000">
                  <c:v>50.376315789473686</c:v>
                </c:pt>
                <c:pt idx="1085" formatCode="0.000">
                  <c:v>50.453684210526319</c:v>
                </c:pt>
                <c:pt idx="1086" formatCode="0.000">
                  <c:v>50.548947368421054</c:v>
                </c:pt>
                <c:pt idx="1087" formatCode="0.000">
                  <c:v>50.651052631578942</c:v>
                </c:pt>
                <c:pt idx="1088" formatCode="0.000">
                  <c:v>50.799473684210525</c:v>
                </c:pt>
                <c:pt idx="1089" formatCode="0.000">
                  <c:v>50.965263157894725</c:v>
                </c:pt>
                <c:pt idx="1090" formatCode="0.000">
                  <c:v>51.063684210526304</c:v>
                </c:pt>
                <c:pt idx="1091" formatCode="0.000">
                  <c:v>51.166315789473678</c:v>
                </c:pt>
                <c:pt idx="1092" formatCode="0.000">
                  <c:v>51.215789473684204</c:v>
                </c:pt>
                <c:pt idx="1093" formatCode="0.000">
                  <c:v>51.29999999999999</c:v>
                </c:pt>
                <c:pt idx="1094" formatCode="0.000">
                  <c:v>51.363157894736837</c:v>
                </c:pt>
                <c:pt idx="1095" formatCode="0.000">
                  <c:v>51.4</c:v>
                </c:pt>
                <c:pt idx="1096" formatCode="0.000">
                  <c:v>51.432631578947372</c:v>
                </c:pt>
                <c:pt idx="1097" formatCode="0.000">
                  <c:v>51.465263157894739</c:v>
                </c:pt>
                <c:pt idx="1098" formatCode="0.000">
                  <c:v>51.478947368421061</c:v>
                </c:pt>
                <c:pt idx="1099" formatCode="0.000">
                  <c:v>51.488421052631587</c:v>
                </c:pt>
                <c:pt idx="1100" formatCode="0.000">
                  <c:v>51.53631578947369</c:v>
                </c:pt>
                <c:pt idx="1101" formatCode="0.000">
                  <c:v>51.578947368421062</c:v>
                </c:pt>
                <c:pt idx="1102" formatCode="0.000">
                  <c:v>51.645263157894739</c:v>
                </c:pt>
                <c:pt idx="1103" formatCode="0.000">
                  <c:v>51.724210526315794</c:v>
                </c:pt>
                <c:pt idx="1104" formatCode="0.000">
                  <c:v>51.78</c:v>
                </c:pt>
                <c:pt idx="1105" formatCode="0.000">
                  <c:v>51.799473684210533</c:v>
                </c:pt>
                <c:pt idx="1106" formatCode="0.000">
                  <c:v>51.79105263157895</c:v>
                </c:pt>
                <c:pt idx="1107" formatCode="0.000">
                  <c:v>51.754210526315795</c:v>
                </c:pt>
                <c:pt idx="1108" formatCode="0.000">
                  <c:v>51.889473684210522</c:v>
                </c:pt>
                <c:pt idx="1109" formatCode="0.000">
                  <c:v>52.029473684210522</c:v>
                </c:pt>
                <c:pt idx="1110" formatCode="0.000">
                  <c:v>52.13421052631579</c:v>
                </c:pt>
                <c:pt idx="1111" formatCode="0.000">
                  <c:v>52.305263157894736</c:v>
                </c:pt>
                <c:pt idx="1112" formatCode="0.000">
                  <c:v>52.431052631578943</c:v>
                </c:pt>
                <c:pt idx="1113" formatCode="0.000">
                  <c:v>52.522631578947369</c:v>
                </c:pt>
                <c:pt idx="1114" formatCode="0.000">
                  <c:v>52.550526315789476</c:v>
                </c:pt>
                <c:pt idx="1115" formatCode="0.000">
                  <c:v>52.546315789473681</c:v>
                </c:pt>
                <c:pt idx="1116" formatCode="0.000">
                  <c:v>52.563684210526318</c:v>
                </c:pt>
                <c:pt idx="1117" formatCode="0.000">
                  <c:v>52.566842105263163</c:v>
                </c:pt>
                <c:pt idx="1118" formatCode="0.000">
                  <c:v>52.590526315789475</c:v>
                </c:pt>
                <c:pt idx="1119" formatCode="0.000">
                  <c:v>52.650526315789477</c:v>
                </c:pt>
                <c:pt idx="1120" formatCode="0.000">
                  <c:v>52.733157894736848</c:v>
                </c:pt>
                <c:pt idx="1121" formatCode="0.000">
                  <c:v>52.801052631578941</c:v>
                </c:pt>
                <c:pt idx="1122" formatCode="0.000">
                  <c:v>52.856842105263162</c:v>
                </c:pt>
                <c:pt idx="1123" formatCode="0.000">
                  <c:v>52.926315789473684</c:v>
                </c:pt>
                <c:pt idx="1124" formatCode="0.000">
                  <c:v>52.97684210526316</c:v>
                </c:pt>
                <c:pt idx="1125" formatCode="0.000">
                  <c:v>53.107368421052627</c:v>
                </c:pt>
                <c:pt idx="1126" formatCode="0.000">
                  <c:v>53.275263157894734</c:v>
                </c:pt>
                <c:pt idx="1127" formatCode="0.000">
                  <c:v>53.294210526315787</c:v>
                </c:pt>
                <c:pt idx="1128" formatCode="0.000">
                  <c:v>53.299473684210525</c:v>
                </c:pt>
                <c:pt idx="1129" formatCode="0.000">
                  <c:v>53.353684210526303</c:v>
                </c:pt>
                <c:pt idx="1130" formatCode="0.000">
                  <c:v>53.370526315789469</c:v>
                </c:pt>
                <c:pt idx="1131" formatCode="0.000">
                  <c:v>53.357368421052627</c:v>
                </c:pt>
                <c:pt idx="1132" formatCode="0.000">
                  <c:v>53.400526315789477</c:v>
                </c:pt>
                <c:pt idx="1133" formatCode="0.000">
                  <c:v>53.510526315789477</c:v>
                </c:pt>
                <c:pt idx="1134" formatCode="0.000">
                  <c:v>53.672631578947374</c:v>
                </c:pt>
                <c:pt idx="1135" formatCode="0.000">
                  <c:v>53.815789473684205</c:v>
                </c:pt>
                <c:pt idx="1136" formatCode="0.000">
                  <c:v>53.994210526315797</c:v>
                </c:pt>
                <c:pt idx="1137" formatCode="0.000">
                  <c:v>54.153684210526322</c:v>
                </c:pt>
                <c:pt idx="1138" formatCode="0.000">
                  <c:v>54.29</c:v>
                </c:pt>
                <c:pt idx="1139" formatCode="0.000">
                  <c:v>54.365263157894731</c:v>
                </c:pt>
                <c:pt idx="1140" formatCode="0.000">
                  <c:v>54.460526315789458</c:v>
                </c:pt>
                <c:pt idx="1141" formatCode="0.000">
                  <c:v>54.529999999999994</c:v>
                </c:pt>
                <c:pt idx="1142" formatCode="0.000">
                  <c:v>54.577368421052633</c:v>
                </c:pt>
                <c:pt idx="1143" formatCode="0.000">
                  <c:v>54.671052631578945</c:v>
                </c:pt>
                <c:pt idx="1144" formatCode="0.000">
                  <c:v>54.736315789473672</c:v>
                </c:pt>
                <c:pt idx="1145" formatCode="0.000">
                  <c:v>54.728421052631575</c:v>
                </c:pt>
                <c:pt idx="1146" formatCode="0.000">
                  <c:v>54.69</c:v>
                </c:pt>
                <c:pt idx="1147" formatCode="0.000">
                  <c:v>54.708947368421057</c:v>
                </c:pt>
                <c:pt idx="1148" formatCode="0.000">
                  <c:v>54.715789473684204</c:v>
                </c:pt>
                <c:pt idx="1149" formatCode="0.000">
                  <c:v>54.71736842105264</c:v>
                </c:pt>
                <c:pt idx="1150" formatCode="0.000">
                  <c:v>54.726315789473695</c:v>
                </c:pt>
                <c:pt idx="1151" formatCode="0.000">
                  <c:v>54.705263157894741</c:v>
                </c:pt>
                <c:pt idx="1152" formatCode="0.000">
                  <c:v>54.683157894736844</c:v>
                </c:pt>
                <c:pt idx="1153" formatCode="0.000">
                  <c:v>54.633684210526312</c:v>
                </c:pt>
                <c:pt idx="1154" formatCode="0.000">
                  <c:v>54.598947368421044</c:v>
                </c:pt>
                <c:pt idx="1155" formatCode="0.000">
                  <c:v>54.560526315789467</c:v>
                </c:pt>
                <c:pt idx="1156" formatCode="0.000">
                  <c:v>54.515263157894736</c:v>
                </c:pt>
                <c:pt idx="1157" formatCode="0.000">
                  <c:v>54.456315789473685</c:v>
                </c:pt>
                <c:pt idx="1158" formatCode="0.000">
                  <c:v>54.348947368421044</c:v>
                </c:pt>
                <c:pt idx="1159" formatCode="0.000">
                  <c:v>54.275789473684199</c:v>
                </c:pt>
                <c:pt idx="1160" formatCode="0.000">
                  <c:v>54.276842105263157</c:v>
                </c:pt>
                <c:pt idx="1161" formatCode="0.000">
                  <c:v>54.248947368421057</c:v>
                </c:pt>
                <c:pt idx="1162" formatCode="0.000">
                  <c:v>54.186315789473682</c:v>
                </c:pt>
                <c:pt idx="1163" formatCode="0.000">
                  <c:v>54.118947368421061</c:v>
                </c:pt>
                <c:pt idx="1164" formatCode="0.000">
                  <c:v>54.087368421052645</c:v>
                </c:pt>
                <c:pt idx="1165" formatCode="0.000">
                  <c:v>54.052631578947377</c:v>
                </c:pt>
                <c:pt idx="1166" formatCode="0.000">
                  <c:v>54.003157894736852</c:v>
                </c:pt>
                <c:pt idx="1167" formatCode="0.000">
                  <c:v>53.965263157894732</c:v>
                </c:pt>
                <c:pt idx="1168" formatCode="0.000">
                  <c:v>53.911052631578933</c:v>
                </c:pt>
                <c:pt idx="1169" formatCode="0.000">
                  <c:v>53.904736842105251</c:v>
                </c:pt>
                <c:pt idx="1170" formatCode="0.000">
                  <c:v>53.938421052631575</c:v>
                </c:pt>
                <c:pt idx="1171" formatCode="0.000">
                  <c:v>53.934736842105252</c:v>
                </c:pt>
                <c:pt idx="1172" formatCode="0.000">
                  <c:v>53.917894736842094</c:v>
                </c:pt>
                <c:pt idx="1173" formatCode="0.000">
                  <c:v>53.93105263157895</c:v>
                </c:pt>
                <c:pt idx="1174" formatCode="0.000">
                  <c:v>53.946842105263144</c:v>
                </c:pt>
                <c:pt idx="1175" formatCode="0.000">
                  <c:v>53.910526315789468</c:v>
                </c:pt>
                <c:pt idx="1176" formatCode="0.000">
                  <c:v>53.853684210526318</c:v>
                </c:pt>
                <c:pt idx="1177" formatCode="0.000">
                  <c:v>53.871052631578948</c:v>
                </c:pt>
                <c:pt idx="1178" formatCode="0.000">
                  <c:v>53.876315789473686</c:v>
                </c:pt>
                <c:pt idx="1179" formatCode="0.000">
                  <c:v>53.870526315789476</c:v>
                </c:pt>
                <c:pt idx="1180" formatCode="0.000">
                  <c:v>53.872105263157891</c:v>
                </c:pt>
                <c:pt idx="1181" formatCode="0.000">
                  <c:v>53.848947368421051</c:v>
                </c:pt>
                <c:pt idx="1182" formatCode="0.000">
                  <c:v>53.774736842105263</c:v>
                </c:pt>
                <c:pt idx="1183" formatCode="0.000">
                  <c:v>53.729473684210518</c:v>
                </c:pt>
                <c:pt idx="1184" formatCode="0.000">
                  <c:v>53.676315789473676</c:v>
                </c:pt>
                <c:pt idx="1185" formatCode="0.000">
                  <c:v>53.61894736842104</c:v>
                </c:pt>
                <c:pt idx="1186" formatCode="0.000">
                  <c:v>53.531052631578937</c:v>
                </c:pt>
                <c:pt idx="1187" formatCode="0.000">
                  <c:v>53.437368421052625</c:v>
                </c:pt>
                <c:pt idx="1188" formatCode="0.000">
                  <c:v>53.364736842105259</c:v>
                </c:pt>
                <c:pt idx="1189" formatCode="0.000">
                  <c:v>53.251578947368415</c:v>
                </c:pt>
                <c:pt idx="1190" formatCode="0.000">
                  <c:v>53.169473684210523</c:v>
                </c:pt>
                <c:pt idx="1191" formatCode="0.000">
                  <c:v>53.126315789473679</c:v>
                </c:pt>
                <c:pt idx="1192" formatCode="0.000">
                  <c:v>53.044210526315787</c:v>
                </c:pt>
                <c:pt idx="1193" formatCode="0.000">
                  <c:v>52.971052631578949</c:v>
                </c:pt>
                <c:pt idx="1194" formatCode="0.000">
                  <c:v>52.929473684210528</c:v>
                </c:pt>
                <c:pt idx="1195" formatCode="0.000">
                  <c:v>52.901052631578949</c:v>
                </c:pt>
                <c:pt idx="1196" formatCode="0.000">
                  <c:v>52.891052631578951</c:v>
                </c:pt>
                <c:pt idx="1197" formatCode="0.000">
                  <c:v>52.88894736842105</c:v>
                </c:pt>
                <c:pt idx="1198" formatCode="0.000">
                  <c:v>52.863684210526323</c:v>
                </c:pt>
                <c:pt idx="1199" formatCode="0.000">
                  <c:v>52.837368421052638</c:v>
                </c:pt>
                <c:pt idx="1200" formatCode="0.000">
                  <c:v>52.869473684210533</c:v>
                </c:pt>
                <c:pt idx="1201" formatCode="0.000">
                  <c:v>52.942105263157899</c:v>
                </c:pt>
                <c:pt idx="1202" formatCode="0.000">
                  <c:v>53.020526315789475</c:v>
                </c:pt>
                <c:pt idx="1203" formatCode="0.000">
                  <c:v>53.120526315789469</c:v>
                </c:pt>
                <c:pt idx="1204" formatCode="0.000">
                  <c:v>53.23684210526315</c:v>
                </c:pt>
                <c:pt idx="1205" formatCode="0.000">
                  <c:v>53.354210526315789</c:v>
                </c:pt>
                <c:pt idx="1206" formatCode="0.000">
                  <c:v>53.462631578947367</c:v>
                </c:pt>
                <c:pt idx="1207" formatCode="0.000">
                  <c:v>53.543684210526315</c:v>
                </c:pt>
                <c:pt idx="1208" formatCode="0.000">
                  <c:v>53.623157894736842</c:v>
                </c:pt>
                <c:pt idx="1209" formatCode="0.000">
                  <c:v>53.715263157894732</c:v>
                </c:pt>
                <c:pt idx="1210" formatCode="0.000">
                  <c:v>53.788421052631577</c:v>
                </c:pt>
                <c:pt idx="1211" formatCode="0.000">
                  <c:v>53.858947368421049</c:v>
                </c:pt>
                <c:pt idx="1212" formatCode="0.000">
                  <c:v>53.895263157894739</c:v>
                </c:pt>
                <c:pt idx="1213" formatCode="0.000">
                  <c:v>53.966842105263154</c:v>
                </c:pt>
                <c:pt idx="1214" formatCode="0.000">
                  <c:v>54.06894736842105</c:v>
                </c:pt>
                <c:pt idx="1215" formatCode="0.000">
                  <c:v>54.157894736842103</c:v>
                </c:pt>
                <c:pt idx="1216" formatCode="0.000">
                  <c:v>54.200526315789467</c:v>
                </c:pt>
                <c:pt idx="1217" formatCode="0.000">
                  <c:v>54.256842105263154</c:v>
                </c:pt>
                <c:pt idx="1218" formatCode="0.000">
                  <c:v>54.359473684210521</c:v>
                </c:pt>
                <c:pt idx="1219" formatCode="0.000">
                  <c:v>54.439473684210519</c:v>
                </c:pt>
                <c:pt idx="1220" formatCode="0.000">
                  <c:v>54.521052631578939</c:v>
                </c:pt>
                <c:pt idx="1221" formatCode="0.000">
                  <c:v>54.557894736842115</c:v>
                </c:pt>
                <c:pt idx="1222" formatCode="0.000">
                  <c:v>54.584210526315793</c:v>
                </c:pt>
                <c:pt idx="1223" formatCode="0.000">
                  <c:v>54.597368421052636</c:v>
                </c:pt>
                <c:pt idx="1224" formatCode="0.000">
                  <c:v>54.606842105263169</c:v>
                </c:pt>
                <c:pt idx="1225" formatCode="0.000">
                  <c:v>54.637368421052628</c:v>
                </c:pt>
                <c:pt idx="1226" formatCode="0.000">
                  <c:v>54.710526315789473</c:v>
                </c:pt>
                <c:pt idx="1227" formatCode="0.000">
                  <c:v>54.783684210526324</c:v>
                </c:pt>
                <c:pt idx="1228" formatCode="0.000">
                  <c:v>54.873684210526314</c:v>
                </c:pt>
                <c:pt idx="1229" formatCode="0.000">
                  <c:v>54.956842105263149</c:v>
                </c:pt>
                <c:pt idx="1230" formatCode="0.000">
                  <c:v>55.076842105263161</c:v>
                </c:pt>
                <c:pt idx="1231" formatCode="0.000">
                  <c:v>55.230000000000004</c:v>
                </c:pt>
                <c:pt idx="1232" formatCode="0.000">
                  <c:v>55.367894736842118</c:v>
                </c:pt>
                <c:pt idx="1233" formatCode="0.000">
                  <c:v>55.483684210526327</c:v>
                </c:pt>
                <c:pt idx="1234" formatCode="0.000">
                  <c:v>55.625789473684215</c:v>
                </c:pt>
                <c:pt idx="1235" formatCode="0.000">
                  <c:v>55.79</c:v>
                </c:pt>
                <c:pt idx="1236" formatCode="0.000">
                  <c:v>55.930000000000007</c:v>
                </c:pt>
                <c:pt idx="1237" formatCode="0.000">
                  <c:v>56.042105263157907</c:v>
                </c:pt>
                <c:pt idx="1238" formatCode="0.000">
                  <c:v>56.133684210526312</c:v>
                </c:pt>
                <c:pt idx="1239" formatCode="0.000">
                  <c:v>56.221052631578949</c:v>
                </c:pt>
                <c:pt idx="1240" formatCode="0.000">
                  <c:v>56.424736842105261</c:v>
                </c:pt>
                <c:pt idx="1241" formatCode="0.000">
                  <c:v>56.62</c:v>
                </c:pt>
                <c:pt idx="1242" formatCode="0.000">
                  <c:v>56.82578947368421</c:v>
                </c:pt>
                <c:pt idx="1243" formatCode="0.000">
                  <c:v>57.067368421052628</c:v>
                </c:pt>
                <c:pt idx="1244" formatCode="0.000">
                  <c:v>57.304210526315785</c:v>
                </c:pt>
                <c:pt idx="1245" formatCode="0.000">
                  <c:v>57.496315789473691</c:v>
                </c:pt>
                <c:pt idx="1246" formatCode="0.000">
                  <c:v>57.688947368421061</c:v>
                </c:pt>
                <c:pt idx="1247" formatCode="0.000">
                  <c:v>57.879473684210531</c:v>
                </c:pt>
                <c:pt idx="1248" formatCode="0.000">
                  <c:v>58.068421052631578</c:v>
                </c:pt>
                <c:pt idx="1249" formatCode="0.000">
                  <c:v>58.211052631578958</c:v>
                </c:pt>
                <c:pt idx="1250" formatCode="0.000">
                  <c:v>58.357894736842105</c:v>
                </c:pt>
                <c:pt idx="1251" formatCode="0.000">
                  <c:v>58.516315789473694</c:v>
                </c:pt>
                <c:pt idx="1252" formatCode="0.000">
                  <c:v>58.640526315789479</c:v>
                </c:pt>
                <c:pt idx="1253" formatCode="0.000">
                  <c:v>58.754210526315795</c:v>
                </c:pt>
                <c:pt idx="1254" formatCode="0.000">
                  <c:v>58.853684210526318</c:v>
                </c:pt>
                <c:pt idx="1255" formatCode="0.000">
                  <c:v>58.98263157894737</c:v>
                </c:pt>
                <c:pt idx="1256" formatCode="0.000">
                  <c:v>59.044210526315794</c:v>
                </c:pt>
                <c:pt idx="1257" formatCode="0.000">
                  <c:v>59.086842105263166</c:v>
                </c:pt>
                <c:pt idx="1258" formatCode="0.000">
                  <c:v>59.117894736842096</c:v>
                </c:pt>
                <c:pt idx="1259" formatCode="0.000">
                  <c:v>58.911052631578947</c:v>
                </c:pt>
                <c:pt idx="1260" formatCode="0.000">
                  <c:v>58.652631578947371</c:v>
                </c:pt>
                <c:pt idx="1261" formatCode="0.000">
                  <c:v>58.512631578947371</c:v>
                </c:pt>
                <c:pt idx="1262" formatCode="0.000">
                  <c:v>58.366315789473688</c:v>
                </c:pt>
                <c:pt idx="1263" formatCode="0.000">
                  <c:v>58.37</c:v>
                </c:pt>
                <c:pt idx="1264" formatCode="0.000">
                  <c:v>58.251578947368422</c:v>
                </c:pt>
                <c:pt idx="1265" formatCode="0.000">
                  <c:v>58.044736842105259</c:v>
                </c:pt>
                <c:pt idx="1266" formatCode="0.000">
                  <c:v>57.629473684210531</c:v>
                </c:pt>
                <c:pt idx="1267" formatCode="0.000">
                  <c:v>57.317368421052628</c:v>
                </c:pt>
                <c:pt idx="1268" formatCode="0.000">
                  <c:v>56.938421052631575</c:v>
                </c:pt>
                <c:pt idx="1269" formatCode="0.000">
                  <c:v>56.283157894736839</c:v>
                </c:pt>
                <c:pt idx="1270" formatCode="0.000">
                  <c:v>55.678947368421042</c:v>
                </c:pt>
                <c:pt idx="1271" formatCode="0.000">
                  <c:v>54.927894736842113</c:v>
                </c:pt>
                <c:pt idx="1272" formatCode="0.000">
                  <c:v>54.265263157894736</c:v>
                </c:pt>
                <c:pt idx="1273" formatCode="0.000">
                  <c:v>53.48263157894737</c:v>
                </c:pt>
                <c:pt idx="1274" formatCode="0.000">
                  <c:v>52.519473684210531</c:v>
                </c:pt>
                <c:pt idx="1275" formatCode="0.000">
                  <c:v>51.448421052631581</c:v>
                </c:pt>
                <c:pt idx="1276" formatCode="0.000">
                  <c:v>50.382105263157897</c:v>
                </c:pt>
                <c:pt idx="1277" formatCode="0.000">
                  <c:v>49.426842105263162</c:v>
                </c:pt>
                <c:pt idx="1278" formatCode="0.000">
                  <c:v>48.725789473684216</c:v>
                </c:pt>
                <c:pt idx="1279" formatCode="0.000">
                  <c:v>48.241578947368424</c:v>
                </c:pt>
                <c:pt idx="1280" formatCode="0.000">
                  <c:v>47.551578947368419</c:v>
                </c:pt>
                <c:pt idx="1281" formatCode="0.000">
                  <c:v>46.969473684210527</c:v>
                </c:pt>
                <c:pt idx="1282" formatCode="0.000">
                  <c:v>46.19736842105263</c:v>
                </c:pt>
                <c:pt idx="1283" formatCode="0.000">
                  <c:v>45.427894736842106</c:v>
                </c:pt>
                <c:pt idx="1284" formatCode="0.000">
                  <c:v>44.832631578947371</c:v>
                </c:pt>
                <c:pt idx="1285" formatCode="0.000">
                  <c:v>44.41</c:v>
                </c:pt>
                <c:pt idx="1286" formatCode="0.000">
                  <c:v>44.0421052631579</c:v>
                </c:pt>
                <c:pt idx="1287" formatCode="0.000">
                  <c:v>43.742105263157896</c:v>
                </c:pt>
                <c:pt idx="1288" formatCode="0.000">
                  <c:v>43.776842105263164</c:v>
                </c:pt>
                <c:pt idx="1289" formatCode="0.000">
                  <c:v>43.804736842105271</c:v>
                </c:pt>
                <c:pt idx="1290" formatCode="0.000">
                  <c:v>43.892631578947373</c:v>
                </c:pt>
                <c:pt idx="1291" formatCode="0.000">
                  <c:v>43.984210526315785</c:v>
                </c:pt>
                <c:pt idx="1292" formatCode="0.000">
                  <c:v>44.129473684210524</c:v>
                </c:pt>
                <c:pt idx="1293" formatCode="0.000">
                  <c:v>44.406842105263159</c:v>
                </c:pt>
                <c:pt idx="1294" formatCode="0.000">
                  <c:v>44.920526315789473</c:v>
                </c:pt>
                <c:pt idx="1295" formatCode="0.000">
                  <c:v>45.392631578947359</c:v>
                </c:pt>
                <c:pt idx="1296" formatCode="0.000">
                  <c:v>45.704736842105248</c:v>
                </c:pt>
                <c:pt idx="1297" formatCode="0.000">
                  <c:v>45.918947368421044</c:v>
                </c:pt>
                <c:pt idx="1298" formatCode="0.000">
                  <c:v>45.959999999999994</c:v>
                </c:pt>
                <c:pt idx="1299" formatCode="0.000">
                  <c:v>46.0978947368421</c:v>
                </c:pt>
                <c:pt idx="1300" formatCode="0.000">
                  <c:v>46.191578947368413</c:v>
                </c:pt>
                <c:pt idx="1301" formatCode="0.000">
                  <c:v>46.322631578947359</c:v>
                </c:pt>
                <c:pt idx="1302" formatCode="0.000">
                  <c:v>46.585789473684208</c:v>
                </c:pt>
                <c:pt idx="1303" formatCode="0.000">
                  <c:v>46.687894736842104</c:v>
                </c:pt>
                <c:pt idx="1304" formatCode="0.000">
                  <c:v>46.781052631578952</c:v>
                </c:pt>
                <c:pt idx="1305" formatCode="0.000">
                  <c:v>46.700526315789467</c:v>
                </c:pt>
                <c:pt idx="1306" formatCode="0.000">
                  <c:v>46.642105263157895</c:v>
                </c:pt>
                <c:pt idx="1307" formatCode="0.000">
                  <c:v>46.480526315789469</c:v>
                </c:pt>
                <c:pt idx="1308" formatCode="0.000">
                  <c:v>46.248947368421057</c:v>
                </c:pt>
                <c:pt idx="1309" formatCode="0.000">
                  <c:v>46.205789473684213</c:v>
                </c:pt>
                <c:pt idx="1310" formatCode="0.000">
                  <c:v>46.027894736842107</c:v>
                </c:pt>
                <c:pt idx="1311" formatCode="0.000">
                  <c:v>45.881052631578946</c:v>
                </c:pt>
                <c:pt idx="1312" formatCode="0.000">
                  <c:v>45.71473684210526</c:v>
                </c:pt>
                <c:pt idx="1313" formatCode="0.000">
                  <c:v>45.485263157894735</c:v>
                </c:pt>
                <c:pt idx="1314" formatCode="0.000">
                  <c:v>45.313157894736847</c:v>
                </c:pt>
                <c:pt idx="1315" formatCode="0.000">
                  <c:v>45.291578947368421</c:v>
                </c:pt>
                <c:pt idx="1316" formatCode="0.000">
                  <c:v>45.231578947368426</c:v>
                </c:pt>
                <c:pt idx="1317" formatCode="0.000">
                  <c:v>45.27473684210527</c:v>
                </c:pt>
                <c:pt idx="1318" formatCode="0.000">
                  <c:v>45.261052631578949</c:v>
                </c:pt>
                <c:pt idx="1319" formatCode="0.000">
                  <c:v>45.168947368421051</c:v>
                </c:pt>
                <c:pt idx="1320" formatCode="0.000">
                  <c:v>45.134736842105262</c:v>
                </c:pt>
                <c:pt idx="1321" formatCode="0.000">
                  <c:v>45.114210526315787</c:v>
                </c:pt>
                <c:pt idx="1322" formatCode="0.000">
                  <c:v>45.177368421052634</c:v>
                </c:pt>
                <c:pt idx="1323" formatCode="0.000">
                  <c:v>45.234210526315785</c:v>
                </c:pt>
                <c:pt idx="1324" formatCode="0.000">
                  <c:v>45.331578947368428</c:v>
                </c:pt>
                <c:pt idx="1325" formatCode="0.000">
                  <c:v>45.410526315789468</c:v>
                </c:pt>
                <c:pt idx="1326" formatCode="0.000">
                  <c:v>45.576315789473682</c:v>
                </c:pt>
                <c:pt idx="1327" formatCode="0.000">
                  <c:v>45.751052631578943</c:v>
                </c:pt>
                <c:pt idx="1328" formatCode="0.000">
                  <c:v>45.907894736842103</c:v>
                </c:pt>
                <c:pt idx="1329" formatCode="0.000">
                  <c:v>46.134736842105262</c:v>
                </c:pt>
                <c:pt idx="1330" formatCode="0.000">
                  <c:v>46.354736842105261</c:v>
                </c:pt>
                <c:pt idx="1331" formatCode="0.000">
                  <c:v>46.601052631578952</c:v>
                </c:pt>
                <c:pt idx="1332" formatCode="0.000">
                  <c:v>46.697894736842109</c:v>
                </c:pt>
                <c:pt idx="1333" formatCode="0.000">
                  <c:v>46.821052631578951</c:v>
                </c:pt>
                <c:pt idx="1334" formatCode="0.000">
                  <c:v>46.891052631578951</c:v>
                </c:pt>
                <c:pt idx="1335" formatCode="0.000">
                  <c:v>47.008421052631576</c:v>
                </c:pt>
                <c:pt idx="1336" formatCode="0.000">
                  <c:v>47.044736842105266</c:v>
                </c:pt>
                <c:pt idx="1337" formatCode="0.000">
                  <c:v>47.140526315789472</c:v>
                </c:pt>
                <c:pt idx="1338" formatCode="0.000">
                  <c:v>47.192631578947363</c:v>
                </c:pt>
                <c:pt idx="1339" formatCode="0.000">
                  <c:v>47.17421052631579</c:v>
                </c:pt>
                <c:pt idx="1340" formatCode="0.000">
                  <c:v>47.11684210526316</c:v>
                </c:pt>
                <c:pt idx="1341" formatCode="0.000">
                  <c:v>46.98842105263158</c:v>
                </c:pt>
                <c:pt idx="1342" formatCode="0.000">
                  <c:v>46.896315789473682</c:v>
                </c:pt>
                <c:pt idx="1343" formatCode="0.000">
                  <c:v>46.716315789473683</c:v>
                </c:pt>
                <c:pt idx="1344" formatCode="0.000">
                  <c:v>46.582631578947371</c:v>
                </c:pt>
                <c:pt idx="1345" formatCode="0.000">
                  <c:v>46.413157894736834</c:v>
                </c:pt>
                <c:pt idx="1346" formatCode="0.000">
                  <c:v>46.25</c:v>
                </c:pt>
                <c:pt idx="1347" formatCode="0.000">
                  <c:v>46.028421052631572</c:v>
                </c:pt>
                <c:pt idx="1348" formatCode="0.000">
                  <c:v>45.785263157894732</c:v>
                </c:pt>
                <c:pt idx="1349" formatCode="0.000">
                  <c:v>45.585789473684216</c:v>
                </c:pt>
                <c:pt idx="1350" formatCode="0.000">
                  <c:v>45.398947368421062</c:v>
                </c:pt>
                <c:pt idx="1351" formatCode="0.000">
                  <c:v>45.313157894736847</c:v>
                </c:pt>
                <c:pt idx="1352" formatCode="0.000">
                  <c:v>45.289473684210527</c:v>
                </c:pt>
                <c:pt idx="1353" formatCode="0.000">
                  <c:v>45.234210526315792</c:v>
                </c:pt>
                <c:pt idx="1354" formatCode="0.000">
                  <c:v>45.18684210526316</c:v>
                </c:pt>
                <c:pt idx="1355" formatCode="0.000">
                  <c:v>45.177368421052634</c:v>
                </c:pt>
                <c:pt idx="1356" formatCode="0.000">
                  <c:v>45.13315789473684</c:v>
                </c:pt>
                <c:pt idx="1357" formatCode="0.000">
                  <c:v>45.175263157894733</c:v>
                </c:pt>
                <c:pt idx="1358" formatCode="0.000">
                  <c:v>45.195263157894736</c:v>
                </c:pt>
                <c:pt idx="1359" formatCode="0.000">
                  <c:v>45.277368421052628</c:v>
                </c:pt>
                <c:pt idx="1360" formatCode="0.000">
                  <c:v>45.478947368421053</c:v>
                </c:pt>
                <c:pt idx="1361" formatCode="0.000">
                  <c:v>45.655263157894737</c:v>
                </c:pt>
                <c:pt idx="1362" formatCode="0.000">
                  <c:v>45.914210526315792</c:v>
                </c:pt>
                <c:pt idx="1363" formatCode="0.000">
                  <c:v>46.131052631578946</c:v>
                </c:pt>
                <c:pt idx="1364" formatCode="0.000">
                  <c:v>46.315263157894741</c:v>
                </c:pt>
                <c:pt idx="1365" formatCode="0.000">
                  <c:v>46.483684210526313</c:v>
                </c:pt>
                <c:pt idx="1366" formatCode="0.000">
                  <c:v>46.631578947368418</c:v>
                </c:pt>
                <c:pt idx="1367" formatCode="0.000">
                  <c:v>46.737368421052622</c:v>
                </c:pt>
                <c:pt idx="1368" formatCode="0.000">
                  <c:v>46.794736842105259</c:v>
                </c:pt>
                <c:pt idx="1369" formatCode="0.000">
                  <c:v>46.88</c:v>
                </c:pt>
                <c:pt idx="1370" formatCode="0.000">
                  <c:v>47.054210526315785</c:v>
                </c:pt>
                <c:pt idx="1371" formatCode="0.000">
                  <c:v>47.176842105263162</c:v>
                </c:pt>
                <c:pt idx="1372" formatCode="0.000">
                  <c:v>47.311052631578953</c:v>
                </c:pt>
                <c:pt idx="1373" formatCode="0.000">
                  <c:v>47.408421052631589</c:v>
                </c:pt>
                <c:pt idx="1374" formatCode="0.000">
                  <c:v>47.488947368421059</c:v>
                </c:pt>
                <c:pt idx="1375" formatCode="0.000">
                  <c:v>47.608947368421049</c:v>
                </c:pt>
                <c:pt idx="1376" formatCode="0.000">
                  <c:v>47.691052631578948</c:v>
                </c:pt>
                <c:pt idx="1377" formatCode="0.000">
                  <c:v>47.813684210526311</c:v>
                </c:pt>
                <c:pt idx="1378" formatCode="0.000">
                  <c:v>47.86684210526316</c:v>
                </c:pt>
                <c:pt idx="1379" formatCode="0.000">
                  <c:v>47.863684210526316</c:v>
                </c:pt>
                <c:pt idx="1380" formatCode="0.000">
                  <c:v>47.815789473684212</c:v>
                </c:pt>
                <c:pt idx="1381" formatCode="0.000">
                  <c:v>47.75578947368421</c:v>
                </c:pt>
                <c:pt idx="1382" formatCode="0.000">
                  <c:v>47.692631578947363</c:v>
                </c:pt>
                <c:pt idx="1383" formatCode="0.000">
                  <c:v>47.681578947368422</c:v>
                </c:pt>
                <c:pt idx="1384" formatCode="0.000">
                  <c:v>47.675789473684212</c:v>
                </c:pt>
                <c:pt idx="1385" formatCode="0.000">
                  <c:v>47.700526315789467</c:v>
                </c:pt>
                <c:pt idx="1386" formatCode="0.000">
                  <c:v>47.752631578947359</c:v>
                </c:pt>
                <c:pt idx="1387" formatCode="0.000">
                  <c:v>47.938421052631575</c:v>
                </c:pt>
                <c:pt idx="1388" formatCode="0.000">
                  <c:v>48.087894736842102</c:v>
                </c:pt>
                <c:pt idx="1389" formatCode="0.000">
                  <c:v>48.187894736842104</c:v>
                </c:pt>
                <c:pt idx="1390" formatCode="0.000">
                  <c:v>48.38315789473684</c:v>
                </c:pt>
                <c:pt idx="1391" formatCode="0.000">
                  <c:v>48.524210526315791</c:v>
                </c:pt>
                <c:pt idx="1392" formatCode="0.000">
                  <c:v>48.698947368421052</c:v>
                </c:pt>
                <c:pt idx="1393" formatCode="0.000">
                  <c:v>48.797894736842096</c:v>
                </c:pt>
                <c:pt idx="1394" formatCode="0.000">
                  <c:v>48.890526315789479</c:v>
                </c:pt>
                <c:pt idx="1395" formatCode="0.000">
                  <c:v>48.975789473684209</c:v>
                </c:pt>
                <c:pt idx="1396" formatCode="0.000">
                  <c:v>49.113157894736837</c:v>
                </c:pt>
                <c:pt idx="1397" formatCode="0.000">
                  <c:v>49.244736842105254</c:v>
                </c:pt>
                <c:pt idx="1398" formatCode="0.000">
                  <c:v>49.38315789473684</c:v>
                </c:pt>
                <c:pt idx="1399" formatCode="0.000">
                  <c:v>49.563157894736833</c:v>
                </c:pt>
                <c:pt idx="1400" formatCode="0.000">
                  <c:v>49.731578947368412</c:v>
                </c:pt>
                <c:pt idx="1401" formatCode="0.000">
                  <c:v>49.898421052631576</c:v>
                </c:pt>
                <c:pt idx="1402" formatCode="0.000">
                  <c:v>49.957368421052628</c:v>
                </c:pt>
                <c:pt idx="1403" formatCode="0.000">
                  <c:v>50.049473684210518</c:v>
                </c:pt>
                <c:pt idx="1404" formatCode="0.000">
                  <c:v>50.052105263157898</c:v>
                </c:pt>
                <c:pt idx="1405" formatCode="0.000">
                  <c:v>50.076842105263161</c:v>
                </c:pt>
                <c:pt idx="1406" formatCode="0.000">
                  <c:v>50.018421052631581</c:v>
                </c:pt>
                <c:pt idx="1407" formatCode="0.000">
                  <c:v>50.005263157894738</c:v>
                </c:pt>
                <c:pt idx="1408" formatCode="0.000">
                  <c:v>49.994736842105269</c:v>
                </c:pt>
                <c:pt idx="1409" formatCode="0.000">
                  <c:v>49.898947368421055</c:v>
                </c:pt>
                <c:pt idx="1410" formatCode="0.000">
                  <c:v>49.83052631578947</c:v>
                </c:pt>
                <c:pt idx="1411" formatCode="0.000">
                  <c:v>49.742105263157896</c:v>
                </c:pt>
                <c:pt idx="1412" formatCode="0.000">
                  <c:v>49.719473684210527</c:v>
                </c:pt>
                <c:pt idx="1413" formatCode="0.000">
                  <c:v>49.653684210526308</c:v>
                </c:pt>
                <c:pt idx="1414" formatCode="0.000">
                  <c:v>49.63052631578946</c:v>
                </c:pt>
                <c:pt idx="1415" formatCode="0.000">
                  <c:v>49.598947368421044</c:v>
                </c:pt>
                <c:pt idx="1416" formatCode="0.000">
                  <c:v>49.604210526315775</c:v>
                </c:pt>
                <c:pt idx="1417" formatCode="0.000">
                  <c:v>49.606315789473676</c:v>
                </c:pt>
                <c:pt idx="1418" formatCode="0.000">
                  <c:v>49.576315789473682</c:v>
                </c:pt>
                <c:pt idx="1419" formatCode="0.000">
                  <c:v>49.553684210526313</c:v>
                </c:pt>
                <c:pt idx="1420" formatCode="0.000">
                  <c:v>49.529473684210537</c:v>
                </c:pt>
                <c:pt idx="1421" formatCode="0.000">
                  <c:v>49.578947368421055</c:v>
                </c:pt>
                <c:pt idx="1422" formatCode="0.000">
                  <c:v>49.576842105263168</c:v>
                </c:pt>
                <c:pt idx="1423" formatCode="0.000">
                  <c:v>49.684210526315795</c:v>
                </c:pt>
                <c:pt idx="1424" formatCode="0.000">
                  <c:v>49.752105263157901</c:v>
                </c:pt>
                <c:pt idx="1425" formatCode="0.000">
                  <c:v>49.85526315789474</c:v>
                </c:pt>
                <c:pt idx="1426" formatCode="0.000">
                  <c:v>49.920526315789466</c:v>
                </c:pt>
                <c:pt idx="1427" formatCode="0.000">
                  <c:v>49.966842105263154</c:v>
                </c:pt>
                <c:pt idx="1428" formatCode="0.000">
                  <c:v>49.994736842105254</c:v>
                </c:pt>
                <c:pt idx="1429" formatCode="0.000">
                  <c:v>49.930526315789471</c:v>
                </c:pt>
                <c:pt idx="1430" formatCode="0.000">
                  <c:v>49.859999999999992</c:v>
                </c:pt>
                <c:pt idx="1431" formatCode="0.000">
                  <c:v>49.790526315789471</c:v>
                </c:pt>
                <c:pt idx="1432" formatCode="0.000">
                  <c:v>49.773684210526312</c:v>
                </c:pt>
                <c:pt idx="1433" formatCode="0.000">
                  <c:v>49.762631578947371</c:v>
                </c:pt>
                <c:pt idx="1434" formatCode="0.000">
                  <c:v>49.694736842105257</c:v>
                </c:pt>
                <c:pt idx="1435" formatCode="0.000">
                  <c:v>49.622631578947363</c:v>
                </c:pt>
                <c:pt idx="1436" formatCode="0.000">
                  <c:v>49.53631578947369</c:v>
                </c:pt>
                <c:pt idx="1437" formatCode="0.000">
                  <c:v>49.660000000000004</c:v>
                </c:pt>
                <c:pt idx="1438" formatCode="0.000">
                  <c:v>49.863157894736844</c:v>
                </c:pt>
                <c:pt idx="1439" formatCode="0.000">
                  <c:v>50.052105263157898</c:v>
                </c:pt>
                <c:pt idx="1440" formatCode="0.000">
                  <c:v>50.208947368421057</c:v>
                </c:pt>
                <c:pt idx="1441" formatCode="0.000">
                  <c:v>50.410526315789483</c:v>
                </c:pt>
                <c:pt idx="1442" formatCode="0.000">
                  <c:v>50.600000000000009</c:v>
                </c:pt>
                <c:pt idx="1443" formatCode="0.000">
                  <c:v>50.794210526315794</c:v>
                </c:pt>
                <c:pt idx="1444" formatCode="0.000">
                  <c:v>50.895789473684225</c:v>
                </c:pt>
                <c:pt idx="1445" formatCode="0.000">
                  <c:v>51.033157894736846</c:v>
                </c:pt>
                <c:pt idx="1446" formatCode="0.000">
                  <c:v>51.184210526315788</c:v>
                </c:pt>
                <c:pt idx="1447" formatCode="0.000">
                  <c:v>51.33052631578947</c:v>
                </c:pt>
                <c:pt idx="1448" formatCode="0.000">
                  <c:v>51.607368421052627</c:v>
                </c:pt>
                <c:pt idx="1449" formatCode="0.000">
                  <c:v>51.865789473684202</c:v>
                </c:pt>
                <c:pt idx="1450" formatCode="0.000">
                  <c:v>52.109999999999992</c:v>
                </c:pt>
                <c:pt idx="1451" formatCode="0.000">
                  <c:v>52.266842105263152</c:v>
                </c:pt>
                <c:pt idx="1452" formatCode="0.000">
                  <c:v>52.408421052631574</c:v>
                </c:pt>
                <c:pt idx="1453" formatCode="0.000">
                  <c:v>52.56315789473684</c:v>
                </c:pt>
                <c:pt idx="1454" formatCode="0.000">
                  <c:v>52.738947368421051</c:v>
                </c:pt>
                <c:pt idx="1455" formatCode="0.000">
                  <c:v>52.970526315789471</c:v>
                </c:pt>
                <c:pt idx="1456" formatCode="0.000">
                  <c:v>52.992631578947368</c:v>
                </c:pt>
                <c:pt idx="1457" formatCode="0.000">
                  <c:v>52.950526315789467</c:v>
                </c:pt>
                <c:pt idx="1458" formatCode="0.000">
                  <c:v>52.937368421052632</c:v>
                </c:pt>
                <c:pt idx="1459" formatCode="0.000">
                  <c:v>52.939473684210526</c:v>
                </c:pt>
                <c:pt idx="1460" formatCode="0.000">
                  <c:v>52.934210526315788</c:v>
                </c:pt>
                <c:pt idx="1461" formatCode="0.000">
                  <c:v>52.903684210526315</c:v>
                </c:pt>
                <c:pt idx="1462" formatCode="0.000">
                  <c:v>52.912105263157898</c:v>
                </c:pt>
                <c:pt idx="1463" formatCode="0.000">
                  <c:v>52.93578947368421</c:v>
                </c:pt>
                <c:pt idx="1464" formatCode="0.000">
                  <c:v>52.943157894736849</c:v>
                </c:pt>
                <c:pt idx="1465" formatCode="0.000">
                  <c:v>52.999473684210528</c:v>
                </c:pt>
                <c:pt idx="1466" formatCode="0.000">
                  <c:v>53.006315789473682</c:v>
                </c:pt>
                <c:pt idx="1467" formatCode="0.000">
                  <c:v>52.982105263157884</c:v>
                </c:pt>
                <c:pt idx="1468" formatCode="0.000">
                  <c:v>52.99</c:v>
                </c:pt>
                <c:pt idx="1469" formatCode="0.000">
                  <c:v>53.028947368421051</c:v>
                </c:pt>
                <c:pt idx="1470" formatCode="0.000">
                  <c:v>53.16368421052632</c:v>
                </c:pt>
                <c:pt idx="1471" formatCode="0.000">
                  <c:v>53.273684210526305</c:v>
                </c:pt>
                <c:pt idx="1472" formatCode="0.000">
                  <c:v>53.396315789473682</c:v>
                </c:pt>
                <c:pt idx="1473" formatCode="0.000">
                  <c:v>53.504736842105267</c:v>
                </c:pt>
                <c:pt idx="1474" formatCode="0.000">
                  <c:v>53.447368421052623</c:v>
                </c:pt>
                <c:pt idx="1475" formatCode="0.000">
                  <c:v>53.404736842105265</c:v>
                </c:pt>
                <c:pt idx="1476" formatCode="0.000">
                  <c:v>53.264736842105265</c:v>
                </c:pt>
                <c:pt idx="1477" formatCode="0.000">
                  <c:v>53.087368421052638</c:v>
                </c:pt>
                <c:pt idx="1478" formatCode="0.000">
                  <c:v>52.983684210526313</c:v>
                </c:pt>
                <c:pt idx="1479" formatCode="0.000">
                  <c:v>52.817894736842106</c:v>
                </c:pt>
                <c:pt idx="1480" formatCode="0.000">
                  <c:v>52.651578947368428</c:v>
                </c:pt>
                <c:pt idx="1481" formatCode="0.000">
                  <c:v>52.457894736842114</c:v>
                </c:pt>
                <c:pt idx="1482" formatCode="0.000">
                  <c:v>52.256315789473682</c:v>
                </c:pt>
                <c:pt idx="1483" formatCode="0.000">
                  <c:v>52.015789473684215</c:v>
                </c:pt>
                <c:pt idx="1484" formatCode="0.000">
                  <c:v>51.740526315789474</c:v>
                </c:pt>
                <c:pt idx="1485" formatCode="0.000">
                  <c:v>51.523157894736848</c:v>
                </c:pt>
                <c:pt idx="1486" formatCode="0.000">
                  <c:v>51.322631578947373</c:v>
                </c:pt>
                <c:pt idx="1487" formatCode="0.000">
                  <c:v>51.081052631578949</c:v>
                </c:pt>
                <c:pt idx="1488" formatCode="0.000">
                  <c:v>50.835789473684208</c:v>
                </c:pt>
                <c:pt idx="1489" formatCode="0.000">
                  <c:v>50.579473684210519</c:v>
                </c:pt>
                <c:pt idx="1490" formatCode="0.000">
                  <c:v>50.284736842105261</c:v>
                </c:pt>
                <c:pt idx="1491" formatCode="0.000">
                  <c:v>50.006315789473682</c:v>
                </c:pt>
                <c:pt idx="1492" formatCode="0.000">
                  <c:v>49.654210526315786</c:v>
                </c:pt>
                <c:pt idx="1493" formatCode="0.000">
                  <c:v>49.428947368421049</c:v>
                </c:pt>
                <c:pt idx="1494" formatCode="0.000">
                  <c:v>49.259473684210526</c:v>
                </c:pt>
                <c:pt idx="1495" formatCode="0.000">
                  <c:v>49.167368421052622</c:v>
                </c:pt>
                <c:pt idx="1496" formatCode="0.000">
                  <c:v>49.117368421052625</c:v>
                </c:pt>
                <c:pt idx="1497" formatCode="0.000">
                  <c:v>49.042105263157886</c:v>
                </c:pt>
                <c:pt idx="1498" formatCode="0.000">
                  <c:v>49.027368421052628</c:v>
                </c:pt>
                <c:pt idx="1499" formatCode="0.000">
                  <c:v>49.00578947368421</c:v>
                </c:pt>
                <c:pt idx="1500" formatCode="0.000">
                  <c:v>48.976315789473688</c:v>
                </c:pt>
                <c:pt idx="1501" formatCode="0.000">
                  <c:v>49.032631578947367</c:v>
                </c:pt>
                <c:pt idx="1502" formatCode="0.000">
                  <c:v>49.137368421052628</c:v>
                </c:pt>
                <c:pt idx="1503" formatCode="0.000">
                  <c:v>49.23</c:v>
                </c:pt>
                <c:pt idx="1504" formatCode="0.000">
                  <c:v>49.306315789473672</c:v>
                </c:pt>
                <c:pt idx="1505" formatCode="0.000">
                  <c:v>49.402105263157893</c:v>
                </c:pt>
                <c:pt idx="1506" formatCode="0.000">
                  <c:v>49.487368421052629</c:v>
                </c:pt>
                <c:pt idx="1507" formatCode="0.000">
                  <c:v>49.584736842105265</c:v>
                </c:pt>
                <c:pt idx="1508" formatCode="0.000">
                  <c:v>49.650526315789463</c:v>
                </c:pt>
                <c:pt idx="1509" formatCode="0.000">
                  <c:v>49.765263157894744</c:v>
                </c:pt>
                <c:pt idx="1510" formatCode="0.000">
                  <c:v>49.81894736842105</c:v>
                </c:pt>
                <c:pt idx="1511" formatCode="0.000">
                  <c:v>49.863157894736844</c:v>
                </c:pt>
                <c:pt idx="1512" formatCode="0.000">
                  <c:v>49.937894736842104</c:v>
                </c:pt>
                <c:pt idx="1513" formatCode="0.000">
                  <c:v>49.997894736842106</c:v>
                </c:pt>
                <c:pt idx="1514" formatCode="0.000">
                  <c:v>50.06157894736841</c:v>
                </c:pt>
                <c:pt idx="1515" formatCode="0.000">
                  <c:v>50.110526315789471</c:v>
                </c:pt>
                <c:pt idx="1516" formatCode="0.000">
                  <c:v>50.170526315789473</c:v>
                </c:pt>
                <c:pt idx="1517" formatCode="0.000">
                  <c:v>50.261052631578941</c:v>
                </c:pt>
                <c:pt idx="1518" formatCode="0.000">
                  <c:v>50.322105263157887</c:v>
                </c:pt>
                <c:pt idx="1519" formatCode="0.000">
                  <c:v>50.418947368421051</c:v>
                </c:pt>
                <c:pt idx="1520" formatCode="0.000">
                  <c:v>50.449473684210531</c:v>
                </c:pt>
                <c:pt idx="1521" formatCode="0.000">
                  <c:v>50.432105263157894</c:v>
                </c:pt>
                <c:pt idx="1522" formatCode="0.000">
                  <c:v>50.472105263157893</c:v>
                </c:pt>
                <c:pt idx="1523" formatCode="0.000">
                  <c:v>50.529473684210522</c:v>
                </c:pt>
                <c:pt idx="1524" formatCode="0.000">
                  <c:v>50.554210526315785</c:v>
                </c:pt>
                <c:pt idx="1525" formatCode="0.000">
                  <c:v>50.578421052631583</c:v>
                </c:pt>
                <c:pt idx="1526" formatCode="0.000">
                  <c:v>50.587894736842109</c:v>
                </c:pt>
                <c:pt idx="1527" formatCode="0.000">
                  <c:v>50.6121052631579</c:v>
                </c:pt>
                <c:pt idx="1528" formatCode="0.000">
                  <c:v>50.647894736842112</c:v>
                </c:pt>
                <c:pt idx="1529" formatCode="0.000">
                  <c:v>50.718947368421048</c:v>
                </c:pt>
                <c:pt idx="1530" formatCode="0.000">
                  <c:v>50.878421052631573</c:v>
                </c:pt>
                <c:pt idx="1531" formatCode="0.000">
                  <c:v>51.043684210526315</c:v>
                </c:pt>
                <c:pt idx="1532" formatCode="0.000">
                  <c:v>51.241052631578945</c:v>
                </c:pt>
                <c:pt idx="1533" formatCode="0.000">
                  <c:v>51.40789473684211</c:v>
                </c:pt>
                <c:pt idx="1534" formatCode="0.000">
                  <c:v>51.553684210526313</c:v>
                </c:pt>
                <c:pt idx="1535" formatCode="0.000">
                  <c:v>51.644210526315788</c:v>
                </c:pt>
                <c:pt idx="1536" formatCode="0.000">
                  <c:v>51.705789473684213</c:v>
                </c:pt>
                <c:pt idx="1537" formatCode="0.000">
                  <c:v>51.828421052631576</c:v>
                </c:pt>
                <c:pt idx="1538" formatCode="0.000">
                  <c:v>51.925263157894733</c:v>
                </c:pt>
                <c:pt idx="1539" formatCode="0.000">
                  <c:v>52.043157894736844</c:v>
                </c:pt>
                <c:pt idx="1540" formatCode="0.000">
                  <c:v>52.191578947368413</c:v>
                </c:pt>
                <c:pt idx="1541" formatCode="0.000">
                  <c:v>52.313684210526311</c:v>
                </c:pt>
                <c:pt idx="1542" formatCode="0.000">
                  <c:v>52.412105263157905</c:v>
                </c:pt>
                <c:pt idx="1543" formatCode="0.000">
                  <c:v>52.508947368421062</c:v>
                </c:pt>
                <c:pt idx="1544" formatCode="0.000">
                  <c:v>52.654210526315794</c:v>
                </c:pt>
                <c:pt idx="1545" formatCode="0.000">
                  <c:v>52.805263157894743</c:v>
                </c:pt>
                <c:pt idx="1546" formatCode="0.000">
                  <c:v>52.963157894736838</c:v>
                </c:pt>
                <c:pt idx="1547" formatCode="0.000">
                  <c:v>53.109473684210521</c:v>
                </c:pt>
                <c:pt idx="1548" formatCode="0.000">
                  <c:v>53.27210526315789</c:v>
                </c:pt>
                <c:pt idx="1549" formatCode="0.000">
                  <c:v>53.39947368421052</c:v>
                </c:pt>
                <c:pt idx="1550" formatCode="0.000">
                  <c:v>53.474736842105266</c:v>
                </c:pt>
                <c:pt idx="1551" formatCode="0.000">
                  <c:v>53.464736842105268</c:v>
                </c:pt>
                <c:pt idx="1552" formatCode="0.000">
                  <c:v>53.487368421052629</c:v>
                </c:pt>
                <c:pt idx="1553" formatCode="0.000">
                  <c:v>53.533684210526317</c:v>
                </c:pt>
                <c:pt idx="1554" formatCode="0.000">
                  <c:v>53.625789473684208</c:v>
                </c:pt>
                <c:pt idx="1555" formatCode="0.000">
                  <c:v>53.687368421052632</c:v>
                </c:pt>
                <c:pt idx="1556" formatCode="0.000">
                  <c:v>53.755263157894738</c:v>
                </c:pt>
                <c:pt idx="1557" formatCode="0.000">
                  <c:v>53.800526315789476</c:v>
                </c:pt>
                <c:pt idx="1558" formatCode="0.000">
                  <c:v>53.846842105263164</c:v>
                </c:pt>
                <c:pt idx="1559" formatCode="0.000">
                  <c:v>53.918421052631579</c:v>
                </c:pt>
                <c:pt idx="1560" formatCode="0.000">
                  <c:v>53.979473684210532</c:v>
                </c:pt>
                <c:pt idx="1561" formatCode="0.000">
                  <c:v>54.075263157894739</c:v>
                </c:pt>
                <c:pt idx="1562" formatCode="0.000">
                  <c:v>54.140526315789465</c:v>
                </c:pt>
                <c:pt idx="1563" formatCode="0.000">
                  <c:v>54.177894736842099</c:v>
                </c:pt>
                <c:pt idx="1564" formatCode="0.000">
                  <c:v>54.221578947368421</c:v>
                </c:pt>
                <c:pt idx="1565" formatCode="0.000">
                  <c:v>54.259999999999991</c:v>
                </c:pt>
                <c:pt idx="1566" formatCode="0.000">
                  <c:v>54.284736842105268</c:v>
                </c:pt>
                <c:pt idx="1567" formatCode="0.000">
                  <c:v>54.270526315789468</c:v>
                </c:pt>
                <c:pt idx="1568" formatCode="0.000">
                  <c:v>54.256315789473689</c:v>
                </c:pt>
                <c:pt idx="1569" formatCode="0.000">
                  <c:v>54.265789473684208</c:v>
                </c:pt>
                <c:pt idx="1570" formatCode="0.000">
                  <c:v>54.316315789473684</c:v>
                </c:pt>
                <c:pt idx="1571" formatCode="0.000">
                  <c:v>54.380526315789474</c:v>
                </c:pt>
                <c:pt idx="1572" formatCode="0.000">
                  <c:v>54.443684210526321</c:v>
                </c:pt>
                <c:pt idx="1573" formatCode="0.000">
                  <c:v>54.484210526315778</c:v>
                </c:pt>
                <c:pt idx="1574" formatCode="0.000">
                  <c:v>54.563684210526304</c:v>
                </c:pt>
                <c:pt idx="1575" formatCode="0.000">
                  <c:v>54.606315789473683</c:v>
                </c:pt>
                <c:pt idx="1576" formatCode="0.000">
                  <c:v>54.666315789473678</c:v>
                </c:pt>
                <c:pt idx="1577" formatCode="0.000">
                  <c:v>54.745263157894726</c:v>
                </c:pt>
                <c:pt idx="1578" formatCode="0.000">
                  <c:v>54.803157894736842</c:v>
                </c:pt>
                <c:pt idx="1579" formatCode="0.000">
                  <c:v>54.894210526315781</c:v>
                </c:pt>
                <c:pt idx="1580" formatCode="0.000">
                  <c:v>54.953684210526312</c:v>
                </c:pt>
                <c:pt idx="1581" formatCode="0.000">
                  <c:v>55.023684210526305</c:v>
                </c:pt>
                <c:pt idx="1582" formatCode="0.000">
                  <c:v>55.099473684210523</c:v>
                </c:pt>
                <c:pt idx="1583" formatCode="0.000">
                  <c:v>55.173157894736839</c:v>
                </c:pt>
                <c:pt idx="1584" formatCode="0.000">
                  <c:v>55.248421052631578</c:v>
                </c:pt>
                <c:pt idx="1585" formatCode="0.000">
                  <c:v>55.296315789473681</c:v>
                </c:pt>
                <c:pt idx="1586" formatCode="0.000">
                  <c:v>55.352631578947374</c:v>
                </c:pt>
                <c:pt idx="1587" formatCode="0.000">
                  <c:v>55.378947368421045</c:v>
                </c:pt>
                <c:pt idx="1588" formatCode="0.000">
                  <c:v>55.394736842105253</c:v>
                </c:pt>
                <c:pt idx="1589" formatCode="0.000">
                  <c:v>55.349999999999994</c:v>
                </c:pt>
                <c:pt idx="1590" formatCode="0.000">
                  <c:v>55.326842105263147</c:v>
                </c:pt>
                <c:pt idx="1591" formatCode="0.000">
                  <c:v>55.314736842105255</c:v>
                </c:pt>
                <c:pt idx="1592" formatCode="0.000">
                  <c:v>55.266842105263144</c:v>
                </c:pt>
                <c:pt idx="1593" formatCode="0.000">
                  <c:v>55.208947368421043</c:v>
                </c:pt>
                <c:pt idx="1594" formatCode="0.000">
                  <c:v>55.157894736842096</c:v>
                </c:pt>
                <c:pt idx="1595" formatCode="0.000">
                  <c:v>55.104210526315804</c:v>
                </c:pt>
                <c:pt idx="1596" formatCode="0.000">
                  <c:v>55.017894736842116</c:v>
                </c:pt>
                <c:pt idx="1597" formatCode="0.000">
                  <c:v>54.937368421052632</c:v>
                </c:pt>
                <c:pt idx="1598" formatCode="0.000">
                  <c:v>54.817368421052628</c:v>
                </c:pt>
                <c:pt idx="1599" formatCode="0.000">
                  <c:v>54.719473684210527</c:v>
                </c:pt>
                <c:pt idx="1600" formatCode="0.000">
                  <c:v>54.626315789473686</c:v>
                </c:pt>
                <c:pt idx="1601" formatCode="0.000">
                  <c:v>54.565263157894741</c:v>
                </c:pt>
                <c:pt idx="1602" formatCode="0.000">
                  <c:v>54.471578947368435</c:v>
                </c:pt>
                <c:pt idx="1603" formatCode="0.000">
                  <c:v>54.382105263157897</c:v>
                </c:pt>
                <c:pt idx="1604" formatCode="0.000">
                  <c:v>54.32578947368421</c:v>
                </c:pt>
                <c:pt idx="1605" formatCode="0.000">
                  <c:v>54.30526315789475</c:v>
                </c:pt>
                <c:pt idx="1606" formatCode="0.000">
                  <c:v>54.388947368421057</c:v>
                </c:pt>
                <c:pt idx="1607" formatCode="0.000">
                  <c:v>54.46736842105264</c:v>
                </c:pt>
                <c:pt idx="1608" formatCode="0.000">
                  <c:v>54.605789473684219</c:v>
                </c:pt>
                <c:pt idx="1609" formatCode="0.000">
                  <c:v>54.677894736842099</c:v>
                </c:pt>
                <c:pt idx="1610" formatCode="0.000">
                  <c:v>54.744736842105269</c:v>
                </c:pt>
                <c:pt idx="1611" formatCode="0.000">
                  <c:v>54.872631578947363</c:v>
                </c:pt>
                <c:pt idx="1612" formatCode="0.000">
                  <c:v>54.982105263157898</c:v>
                </c:pt>
                <c:pt idx="1613" formatCode="0.000">
                  <c:v>55.123684210526314</c:v>
                </c:pt>
                <c:pt idx="1614" formatCode="0.000">
                  <c:v>55.271052631578939</c:v>
                </c:pt>
                <c:pt idx="1615" formatCode="0.000">
                  <c:v>55.449999999999996</c:v>
                </c:pt>
                <c:pt idx="1616" formatCode="0.000">
                  <c:v>55.588421052631581</c:v>
                </c:pt>
                <c:pt idx="1617" formatCode="0.000">
                  <c:v>55.751052631578943</c:v>
                </c:pt>
                <c:pt idx="1618" formatCode="0.000">
                  <c:v>55.901052631578942</c:v>
                </c:pt>
                <c:pt idx="1619" formatCode="0.000">
                  <c:v>56.058947368421045</c:v>
                </c:pt>
                <c:pt idx="1620" formatCode="0.000">
                  <c:v>56.195789473684201</c:v>
                </c:pt>
                <c:pt idx="1621" formatCode="0.000">
                  <c:v>56.299473684210518</c:v>
                </c:pt>
                <c:pt idx="1622" formatCode="0.000">
                  <c:v>56.406842105263159</c:v>
                </c:pt>
                <c:pt idx="1623" formatCode="0.000">
                  <c:v>56.520526315789468</c:v>
                </c:pt>
                <c:pt idx="1624" formatCode="0.000">
                  <c:v>56.606315789473683</c:v>
                </c:pt>
                <c:pt idx="1625" formatCode="0.000">
                  <c:v>56.634736842105248</c:v>
                </c:pt>
                <c:pt idx="1626" formatCode="0.000">
                  <c:v>56.65</c:v>
                </c:pt>
                <c:pt idx="1627" formatCode="0.000">
                  <c:v>56.673157894736839</c:v>
                </c:pt>
                <c:pt idx="1628" formatCode="0.000">
                  <c:v>56.752105263157894</c:v>
                </c:pt>
                <c:pt idx="1629" formatCode="0.000">
                  <c:v>56.838947368421053</c:v>
                </c:pt>
                <c:pt idx="1630" formatCode="0.000">
                  <c:v>56.877368421052637</c:v>
                </c:pt>
                <c:pt idx="1631" formatCode="0.000">
                  <c:v>56.878947368421052</c:v>
                </c:pt>
                <c:pt idx="1632" formatCode="0.000">
                  <c:v>56.871052631578948</c:v>
                </c:pt>
                <c:pt idx="1633" formatCode="0.000">
                  <c:v>56.848947368421058</c:v>
                </c:pt>
                <c:pt idx="1634" formatCode="0.000">
                  <c:v>56.805789473684207</c:v>
                </c:pt>
                <c:pt idx="1635" formatCode="0.000">
                  <c:v>56.76736842105263</c:v>
                </c:pt>
                <c:pt idx="1636" formatCode="0.000">
                  <c:v>56.715789473684204</c:v>
                </c:pt>
                <c:pt idx="1637" formatCode="0.000">
                  <c:v>56.637368421052635</c:v>
                </c:pt>
                <c:pt idx="1638" formatCode="0.000">
                  <c:v>56.572631578947373</c:v>
                </c:pt>
                <c:pt idx="1639" formatCode="0.000">
                  <c:v>56.533684210526324</c:v>
                </c:pt>
                <c:pt idx="1640" formatCode="0.000">
                  <c:v>56.544736842105259</c:v>
                </c:pt>
                <c:pt idx="1641" formatCode="0.000">
                  <c:v>56.554736842105264</c:v>
                </c:pt>
                <c:pt idx="1642" formatCode="0.000">
                  <c:v>56.561578947368425</c:v>
                </c:pt>
                <c:pt idx="1643" formatCode="0.000">
                  <c:v>56.565789473684212</c:v>
                </c:pt>
                <c:pt idx="1644" formatCode="0.000">
                  <c:v>56.506315789473689</c:v>
                </c:pt>
                <c:pt idx="1645" formatCode="0.000">
                  <c:v>56.489999999999995</c:v>
                </c:pt>
                <c:pt idx="1646" formatCode="0.000">
                  <c:v>56.438421052631561</c:v>
                </c:pt>
                <c:pt idx="1647" formatCode="0.000">
                  <c:v>56.353157894736846</c:v>
                </c:pt>
                <c:pt idx="1648" formatCode="0.000">
                  <c:v>56.278947368421051</c:v>
                </c:pt>
                <c:pt idx="1649" formatCode="0.000">
                  <c:v>56.195263157894736</c:v>
                </c:pt>
                <c:pt idx="1650" formatCode="0.000">
                  <c:v>56.162631578947376</c:v>
                </c:pt>
                <c:pt idx="1651" formatCode="0.000">
                  <c:v>56.083157894736836</c:v>
                </c:pt>
                <c:pt idx="1652" formatCode="0.000">
                  <c:v>55.96736842105264</c:v>
                </c:pt>
                <c:pt idx="1653" formatCode="0.000">
                  <c:v>55.842105263157897</c:v>
                </c:pt>
                <c:pt idx="1654" formatCode="0.000">
                  <c:v>55.738947368421051</c:v>
                </c:pt>
                <c:pt idx="1655" formatCode="0.000">
                  <c:v>55.636842105263163</c:v>
                </c:pt>
                <c:pt idx="1656" formatCode="0.000">
                  <c:v>55.557894736842115</c:v>
                </c:pt>
                <c:pt idx="1657" formatCode="0.000">
                  <c:v>55.465263157894732</c:v>
                </c:pt>
                <c:pt idx="1658" formatCode="0.000">
                  <c:v>55.329999999999984</c:v>
                </c:pt>
                <c:pt idx="1659" formatCode="0.000">
                  <c:v>55.136842105263156</c:v>
                </c:pt>
                <c:pt idx="1660" formatCode="0.000">
                  <c:v>54.940526315789469</c:v>
                </c:pt>
                <c:pt idx="1661" formatCode="0.000">
                  <c:v>54.714210526315789</c:v>
                </c:pt>
                <c:pt idx="1662" formatCode="0.000">
                  <c:v>54.518947368421045</c:v>
                </c:pt>
                <c:pt idx="1663" formatCode="0.000">
                  <c:v>54.377894736842094</c:v>
                </c:pt>
                <c:pt idx="1664" formatCode="0.000">
                  <c:v>54.202105263157904</c:v>
                </c:pt>
                <c:pt idx="1665" formatCode="0.000">
                  <c:v>54.088947368421053</c:v>
                </c:pt>
                <c:pt idx="1666" formatCode="0.000">
                  <c:v>53.99789473684212</c:v>
                </c:pt>
                <c:pt idx="1667" formatCode="0.000">
                  <c:v>53.895263157894739</c:v>
                </c:pt>
                <c:pt idx="1668" formatCode="0.000">
                  <c:v>53.818421052631585</c:v>
                </c:pt>
                <c:pt idx="1669" formatCode="0.000">
                  <c:v>53.731578947368426</c:v>
                </c:pt>
                <c:pt idx="1670" formatCode="0.000">
                  <c:v>53.673157894736846</c:v>
                </c:pt>
                <c:pt idx="1671" formatCode="0.000">
                  <c:v>53.682105263157901</c:v>
                </c:pt>
                <c:pt idx="1672" formatCode="0.000">
                  <c:v>53.704210526315798</c:v>
                </c:pt>
                <c:pt idx="1673" formatCode="0.000">
                  <c:v>53.698421052631588</c:v>
                </c:pt>
                <c:pt idx="1674" formatCode="0.000">
                  <c:v>53.699473684210531</c:v>
                </c:pt>
                <c:pt idx="1675" formatCode="0.000">
                  <c:v>53.730526315789483</c:v>
                </c:pt>
                <c:pt idx="1676" formatCode="0.000">
                  <c:v>53.754736842105267</c:v>
                </c:pt>
                <c:pt idx="1677" formatCode="0.000">
                  <c:v>53.798947368421047</c:v>
                </c:pt>
                <c:pt idx="1678" formatCode="0.000">
                  <c:v>53.882631578947375</c:v>
                </c:pt>
                <c:pt idx="1679" formatCode="0.000">
                  <c:v>53.962105263157895</c:v>
                </c:pt>
                <c:pt idx="1680" formatCode="0.000">
                  <c:v>54.122631578947377</c:v>
                </c:pt>
                <c:pt idx="1681" formatCode="0.000">
                  <c:v>54.28157894736843</c:v>
                </c:pt>
                <c:pt idx="1682" formatCode="0.000">
                  <c:v>54.459473684210529</c:v>
                </c:pt>
                <c:pt idx="1683" formatCode="0.000">
                  <c:v>54.622105263157906</c:v>
                </c:pt>
                <c:pt idx="1684" formatCode="0.000">
                  <c:v>54.747894736842106</c:v>
                </c:pt>
                <c:pt idx="1685" formatCode="0.000">
                  <c:v>54.874736842105271</c:v>
                </c:pt>
                <c:pt idx="1686" formatCode="0.000">
                  <c:v>55.005263157894731</c:v>
                </c:pt>
                <c:pt idx="1687" formatCode="0.000">
                  <c:v>55.142631578947359</c:v>
                </c:pt>
                <c:pt idx="1688" formatCode="0.000">
                  <c:v>55.253157894736837</c:v>
                </c:pt>
                <c:pt idx="1689" formatCode="0.000">
                  <c:v>55.37157894736842</c:v>
                </c:pt>
                <c:pt idx="1690" formatCode="0.000">
                  <c:v>55.48263157894737</c:v>
                </c:pt>
                <c:pt idx="1691" formatCode="0.000">
                  <c:v>55.601578947368424</c:v>
                </c:pt>
                <c:pt idx="1692" formatCode="0.000">
                  <c:v>55.742105263157903</c:v>
                </c:pt>
                <c:pt idx="1693" formatCode="0.000">
                  <c:v>55.872105263157906</c:v>
                </c:pt>
                <c:pt idx="1694" formatCode="0.000">
                  <c:v>55.955789473684213</c:v>
                </c:pt>
                <c:pt idx="1695" formatCode="0.000">
                  <c:v>56.037894736842119</c:v>
                </c:pt>
                <c:pt idx="1696" formatCode="0.000">
                  <c:v>56.088421052631595</c:v>
                </c:pt>
                <c:pt idx="1697" formatCode="0.000">
                  <c:v>56.13578947368422</c:v>
                </c:pt>
                <c:pt idx="1698" formatCode="0.000">
                  <c:v>56.188421052631575</c:v>
                </c:pt>
                <c:pt idx="1699" formatCode="0.000">
                  <c:v>56.207368421052635</c:v>
                </c:pt>
                <c:pt idx="1700" formatCode="0.000">
                  <c:v>56.175263157894733</c:v>
                </c:pt>
                <c:pt idx="1701" formatCode="0.000">
                  <c:v>56.036315789473676</c:v>
                </c:pt>
                <c:pt idx="1702" formatCode="0.000">
                  <c:v>55.952631578947361</c:v>
                </c:pt>
                <c:pt idx="1703" formatCode="0.000">
                  <c:v>55.760526315789477</c:v>
                </c:pt>
                <c:pt idx="1704" formatCode="0.000">
                  <c:v>55.550526315789476</c:v>
                </c:pt>
                <c:pt idx="1705" formatCode="0.000">
                  <c:v>55.364736842105266</c:v>
                </c:pt>
                <c:pt idx="1706" formatCode="0.000">
                  <c:v>55.191052631578955</c:v>
                </c:pt>
                <c:pt idx="1707" formatCode="0.000">
                  <c:v>55.116315789473688</c:v>
                </c:pt>
                <c:pt idx="1708" formatCode="0.000">
                  <c:v>55.048947368421047</c:v>
                </c:pt>
                <c:pt idx="1709" formatCode="0.000">
                  <c:v>54.958421052631579</c:v>
                </c:pt>
                <c:pt idx="1710" formatCode="0.000">
                  <c:v>54.859473684210521</c:v>
                </c:pt>
                <c:pt idx="1711" formatCode="0.000">
                  <c:v>54.842105263157897</c:v>
                </c:pt>
                <c:pt idx="1712" formatCode="0.000">
                  <c:v>54.9021052631579</c:v>
                </c:pt>
                <c:pt idx="1713" formatCode="0.000">
                  <c:v>54.985263157894735</c:v>
                </c:pt>
                <c:pt idx="1714" formatCode="0.000">
                  <c:v>55.098421052631572</c:v>
                </c:pt>
                <c:pt idx="1715" formatCode="0.000">
                  <c:v>55.268947368421045</c:v>
                </c:pt>
                <c:pt idx="1716" formatCode="0.000">
                  <c:v>55.405789473684202</c:v>
                </c:pt>
                <c:pt idx="1717" formatCode="0.000">
                  <c:v>55.514736842105265</c:v>
                </c:pt>
                <c:pt idx="1718" formatCode="0.000">
                  <c:v>55.614210526315794</c:v>
                </c:pt>
                <c:pt idx="1719" formatCode="0.000">
                  <c:v>55.758947368421047</c:v>
                </c:pt>
                <c:pt idx="1720" formatCode="0.000">
                  <c:v>55.995263157894726</c:v>
                </c:pt>
                <c:pt idx="1721" formatCode="0.000">
                  <c:v>56.209473684210529</c:v>
                </c:pt>
                <c:pt idx="1722" formatCode="0.000">
                  <c:v>56.547894736842096</c:v>
                </c:pt>
                <c:pt idx="1723" formatCode="0.000">
                  <c:v>56.897894736842105</c:v>
                </c:pt>
                <c:pt idx="1724" formatCode="0.000">
                  <c:v>57.198421052631566</c:v>
                </c:pt>
                <c:pt idx="1725" formatCode="0.000">
                  <c:v>57.496842105263163</c:v>
                </c:pt>
                <c:pt idx="1726" formatCode="0.000">
                  <c:v>57.727894736842103</c:v>
                </c:pt>
                <c:pt idx="1727" formatCode="0.000">
                  <c:v>57.995263157894726</c:v>
                </c:pt>
                <c:pt idx="1728" formatCode="0.000">
                  <c:v>58.300000000000004</c:v>
                </c:pt>
                <c:pt idx="1729" formatCode="0.000">
                  <c:v>58.595263157894735</c:v>
                </c:pt>
                <c:pt idx="1730" formatCode="0.000">
                  <c:v>58.808421052631573</c:v>
                </c:pt>
                <c:pt idx="1731" formatCode="0.000">
                  <c:v>58.948947368421052</c:v>
                </c:pt>
                <c:pt idx="1732" formatCode="0.000">
                  <c:v>59.088421052631581</c:v>
                </c:pt>
                <c:pt idx="1733" formatCode="0.000">
                  <c:v>59.218947368421048</c:v>
                </c:pt>
                <c:pt idx="1734" formatCode="0.000">
                  <c:v>59.337368421052638</c:v>
                </c:pt>
                <c:pt idx="1735" formatCode="0.000">
                  <c:v>59.530000000000008</c:v>
                </c:pt>
                <c:pt idx="1736" formatCode="0.000">
                  <c:v>59.706842105263163</c:v>
                </c:pt>
                <c:pt idx="1737" formatCode="0.000">
                  <c:v>59.876842105263151</c:v>
                </c:pt>
                <c:pt idx="1738" formatCode="0.000">
                  <c:v>60.012105263157899</c:v>
                </c:pt>
                <c:pt idx="1739" formatCode="0.000">
                  <c:v>60.129473684210531</c:v>
                </c:pt>
                <c:pt idx="1740" formatCode="0.000">
                  <c:v>60.198421052631581</c:v>
                </c:pt>
                <c:pt idx="1741" formatCode="0.000">
                  <c:v>60.247894736842106</c:v>
                </c:pt>
                <c:pt idx="1742" formatCode="0.000">
                  <c:v>60.282105263157888</c:v>
                </c:pt>
                <c:pt idx="1743" formatCode="0.000">
                  <c:v>60.327894736842104</c:v>
                </c:pt>
                <c:pt idx="1744" formatCode="0.000">
                  <c:v>60.41368421052632</c:v>
                </c:pt>
                <c:pt idx="1745" formatCode="0.000">
                  <c:v>60.503684210526323</c:v>
                </c:pt>
                <c:pt idx="1746" formatCode="0.000">
                  <c:v>60.517894736842102</c:v>
                </c:pt>
                <c:pt idx="1747" formatCode="0.000">
                  <c:v>60.538421052631591</c:v>
                </c:pt>
                <c:pt idx="1748" formatCode="0.000">
                  <c:v>60.598421052631586</c:v>
                </c:pt>
                <c:pt idx="1749" formatCode="0.000">
                  <c:v>60.631578947368418</c:v>
                </c:pt>
                <c:pt idx="1750" formatCode="0.000">
                  <c:v>60.693157894736849</c:v>
                </c:pt>
                <c:pt idx="1751" formatCode="0.000">
                  <c:v>60.774736842105263</c:v>
                </c:pt>
                <c:pt idx="1752" formatCode="0.000">
                  <c:v>60.801052631578933</c:v>
                </c:pt>
                <c:pt idx="1753" formatCode="0.000">
                  <c:v>60.826315789473696</c:v>
                </c:pt>
                <c:pt idx="1754" formatCode="0.000">
                  <c:v>60.768421052631588</c:v>
                </c:pt>
                <c:pt idx="1755" formatCode="0.000">
                  <c:v>60.756842105263161</c:v>
                </c:pt>
                <c:pt idx="1756" formatCode="0.000">
                  <c:v>60.752105263157894</c:v>
                </c:pt>
                <c:pt idx="1757" formatCode="0.000">
                  <c:v>60.760000000000005</c:v>
                </c:pt>
                <c:pt idx="1758" formatCode="0.000">
                  <c:v>60.8478947368421</c:v>
                </c:pt>
                <c:pt idx="1759" formatCode="0.000">
                  <c:v>60.983684210526306</c:v>
                </c:pt>
                <c:pt idx="1760" formatCode="0.000">
                  <c:v>61.113157894736823</c:v>
                </c:pt>
                <c:pt idx="1761" formatCode="0.000">
                  <c:v>61.217894736842098</c:v>
                </c:pt>
                <c:pt idx="1762" formatCode="0.000">
                  <c:v>61.263157894736828</c:v>
                </c:pt>
                <c:pt idx="1763" formatCode="0.000">
                  <c:v>61.36894736842104</c:v>
                </c:pt>
                <c:pt idx="1764" formatCode="0.000">
                  <c:v>61.433684210526302</c:v>
                </c:pt>
                <c:pt idx="1765" formatCode="0.000">
                  <c:v>61.507894736842097</c:v>
                </c:pt>
                <c:pt idx="1766" formatCode="0.000">
                  <c:v>61.573684210526324</c:v>
                </c:pt>
                <c:pt idx="1767" formatCode="0.000">
                  <c:v>61.618947368421054</c:v>
                </c:pt>
                <c:pt idx="1768" formatCode="0.000">
                  <c:v>61.703684210526312</c:v>
                </c:pt>
                <c:pt idx="1769" formatCode="0.000">
                  <c:v>61.676315789473669</c:v>
                </c:pt>
                <c:pt idx="1770" formatCode="0.000">
                  <c:v>61.500526315789472</c:v>
                </c:pt>
                <c:pt idx="1771" formatCode="0.000">
                  <c:v>61.391052631578965</c:v>
                </c:pt>
                <c:pt idx="1772" formatCode="0.000">
                  <c:v>61.206842105263171</c:v>
                </c:pt>
                <c:pt idx="1773" formatCode="0.000">
                  <c:v>61.082105263157914</c:v>
                </c:pt>
                <c:pt idx="1774" formatCode="0.000">
                  <c:v>60.969473684210541</c:v>
                </c:pt>
                <c:pt idx="1775" formatCode="0.000">
                  <c:v>60.901578947368414</c:v>
                </c:pt>
                <c:pt idx="1776" formatCode="0.000">
                  <c:v>60.82578947368421</c:v>
                </c:pt>
                <c:pt idx="1777" formatCode="0.000">
                  <c:v>60.718947368421048</c:v>
                </c:pt>
                <c:pt idx="1778" formatCode="0.000">
                  <c:v>60.590526315789461</c:v>
                </c:pt>
                <c:pt idx="1779" formatCode="0.000">
                  <c:v>60.501052631578936</c:v>
                </c:pt>
                <c:pt idx="1780" formatCode="0.000">
                  <c:v>60.459473684210515</c:v>
                </c:pt>
                <c:pt idx="1781" formatCode="0.000">
                  <c:v>60.453684210526319</c:v>
                </c:pt>
                <c:pt idx="1782" formatCode="0.000">
                  <c:v>60.355263157894747</c:v>
                </c:pt>
                <c:pt idx="1783" formatCode="0.000">
                  <c:v>60.317894736842106</c:v>
                </c:pt>
                <c:pt idx="1784" formatCode="0.000">
                  <c:v>60.315263157894748</c:v>
                </c:pt>
                <c:pt idx="1785" formatCode="0.000">
                  <c:v>60.301052631578962</c:v>
                </c:pt>
                <c:pt idx="1786" formatCode="0.000">
                  <c:v>60.287368421052633</c:v>
                </c:pt>
                <c:pt idx="1787" formatCode="0.000">
                  <c:v>60.257368421052625</c:v>
                </c:pt>
                <c:pt idx="1788" formatCode="0.000">
                  <c:v>60.351578947368409</c:v>
                </c:pt>
                <c:pt idx="1789" formatCode="0.000">
                  <c:v>60.555789473684193</c:v>
                </c:pt>
                <c:pt idx="1790" formatCode="0.000">
                  <c:v>60.740526315789474</c:v>
                </c:pt>
                <c:pt idx="1791" formatCode="0.000">
                  <c:v>61.015263157894736</c:v>
                </c:pt>
                <c:pt idx="1792" formatCode="0.000">
                  <c:v>61.305789473684193</c:v>
                </c:pt>
                <c:pt idx="1793" formatCode="0.000">
                  <c:v>61.584210526315786</c:v>
                </c:pt>
                <c:pt idx="1794" formatCode="0.000">
                  <c:v>61.804736842105264</c:v>
                </c:pt>
                <c:pt idx="1795" formatCode="0.000">
                  <c:v>62.073157894736838</c:v>
                </c:pt>
                <c:pt idx="1796" formatCode="0.000">
                  <c:v>62.317368421052642</c:v>
                </c:pt>
                <c:pt idx="1797" formatCode="0.000">
                  <c:v>62.576315789473689</c:v>
                </c:pt>
                <c:pt idx="1798" formatCode="0.000">
                  <c:v>62.779473684210522</c:v>
                </c:pt>
                <c:pt idx="1799" formatCode="0.000">
                  <c:v>63.004210526315795</c:v>
                </c:pt>
                <c:pt idx="1800" formatCode="0.000">
                  <c:v>63.29684210526316</c:v>
                </c:pt>
                <c:pt idx="1801" formatCode="0.000">
                  <c:v>63.572105263157901</c:v>
                </c:pt>
                <c:pt idx="1802" formatCode="0.000">
                  <c:v>63.767894736842116</c:v>
                </c:pt>
                <c:pt idx="1803" formatCode="0.000">
                  <c:v>63.979473684210532</c:v>
                </c:pt>
                <c:pt idx="1804" formatCode="0.000">
                  <c:v>64.131578947368425</c:v>
                </c:pt>
                <c:pt idx="1805" formatCode="0.000">
                  <c:v>64.307894736842101</c:v>
                </c:pt>
                <c:pt idx="1806" formatCode="0.000">
                  <c:v>64.528421052631572</c:v>
                </c:pt>
                <c:pt idx="1807" formatCode="0.000">
                  <c:v>64.62</c:v>
                </c:pt>
                <c:pt idx="1808" formatCode="0.000">
                  <c:v>64.667368421052629</c:v>
                </c:pt>
                <c:pt idx="1809" formatCode="0.000">
                  <c:v>64.699473684210531</c:v>
                </c:pt>
                <c:pt idx="1810" formatCode="0.000">
                  <c:v>64.801052631578941</c:v>
                </c:pt>
                <c:pt idx="1811" formatCode="0.000">
                  <c:v>64.857368421052612</c:v>
                </c:pt>
                <c:pt idx="1812" formatCode="0.000">
                  <c:v>64.905263157894723</c:v>
                </c:pt>
                <c:pt idx="1813" formatCode="0.000">
                  <c:v>64.94736842105263</c:v>
                </c:pt>
                <c:pt idx="1814" formatCode="0.000">
                  <c:v>64.918421052631572</c:v>
                </c:pt>
                <c:pt idx="1815" formatCode="0.000">
                  <c:v>64.896315789473675</c:v>
                </c:pt>
                <c:pt idx="1816" formatCode="0.000">
                  <c:v>64.869473684210519</c:v>
                </c:pt>
                <c:pt idx="1817" formatCode="0.000">
                  <c:v>64.936842105263153</c:v>
                </c:pt>
                <c:pt idx="1818" formatCode="0.000">
                  <c:v>64.98368421052632</c:v>
                </c:pt>
                <c:pt idx="1819" formatCode="0.000">
                  <c:v>64.974210526315787</c:v>
                </c:pt>
                <c:pt idx="1820" formatCode="0.000">
                  <c:v>64.71052631578948</c:v>
                </c:pt>
                <c:pt idx="1821" formatCode="0.000">
                  <c:v>64.434210526315795</c:v>
                </c:pt>
                <c:pt idx="1822" formatCode="0.000">
                  <c:v>64.173157894736846</c:v>
                </c:pt>
                <c:pt idx="1823" formatCode="0.000">
                  <c:v>64.057894736842101</c:v>
                </c:pt>
                <c:pt idx="1824" formatCode="0.000">
                  <c:v>63.976842105263152</c:v>
                </c:pt>
                <c:pt idx="1825" formatCode="0.000">
                  <c:v>63.865263157894731</c:v>
                </c:pt>
                <c:pt idx="1826" formatCode="0.000">
                  <c:v>63.848947368421058</c:v>
                </c:pt>
                <c:pt idx="1827" formatCode="0.000">
                  <c:v>63.914210526315799</c:v>
                </c:pt>
                <c:pt idx="1828" formatCode="0.000">
                  <c:v>63.930000000000014</c:v>
                </c:pt>
                <c:pt idx="1829" formatCode="0.000">
                  <c:v>63.826842105263161</c:v>
                </c:pt>
                <c:pt idx="1830" formatCode="0.000">
                  <c:v>63.785789473684211</c:v>
                </c:pt>
                <c:pt idx="1831" formatCode="0.000">
                  <c:v>63.69263157894737</c:v>
                </c:pt>
                <c:pt idx="1832" formatCode="0.000">
                  <c:v>63.601052631578938</c:v>
                </c:pt>
                <c:pt idx="1833" formatCode="0.000">
                  <c:v>63.561052631578939</c:v>
                </c:pt>
                <c:pt idx="1834" formatCode="0.000">
                  <c:v>63.4863157894737</c:v>
                </c:pt>
                <c:pt idx="1835" formatCode="0.000">
                  <c:v>63.343684210526327</c:v>
                </c:pt>
                <c:pt idx="1836" formatCode="0.000">
                  <c:v>63.11684210526316</c:v>
                </c:pt>
                <c:pt idx="1837" formatCode="0.000">
                  <c:v>62.873684210526321</c:v>
                </c:pt>
                <c:pt idx="1838" formatCode="0.000">
                  <c:v>62.528947368421051</c:v>
                </c:pt>
                <c:pt idx="1839" formatCode="0.000">
                  <c:v>62.448421052631581</c:v>
                </c:pt>
                <c:pt idx="1840" formatCode="0.000">
                  <c:v>62.39947368421052</c:v>
                </c:pt>
                <c:pt idx="1841" formatCode="0.000">
                  <c:v>62.317894736842106</c:v>
                </c:pt>
                <c:pt idx="1842" formatCode="0.000">
                  <c:v>62.204210526315798</c:v>
                </c:pt>
                <c:pt idx="1843" formatCode="0.000">
                  <c:v>62.053157894736856</c:v>
                </c:pt>
                <c:pt idx="1844" formatCode="0.000">
                  <c:v>61.937894736842111</c:v>
                </c:pt>
                <c:pt idx="1845" formatCode="0.000">
                  <c:v>61.871578947368427</c:v>
                </c:pt>
                <c:pt idx="1846" formatCode="0.000">
                  <c:v>61.778421052631586</c:v>
                </c:pt>
                <c:pt idx="1847" formatCode="0.000">
                  <c:v>61.720526315789478</c:v>
                </c:pt>
                <c:pt idx="1848" formatCode="0.000">
                  <c:v>61.702631578947361</c:v>
                </c:pt>
                <c:pt idx="1849" formatCode="0.000">
                  <c:v>61.659473684210539</c:v>
                </c:pt>
                <c:pt idx="1850" formatCode="0.000">
                  <c:v>61.73368421052632</c:v>
                </c:pt>
                <c:pt idx="1851" formatCode="0.000">
                  <c:v>61.755263157894746</c:v>
                </c:pt>
                <c:pt idx="1852" formatCode="0.000">
                  <c:v>61.763684210526314</c:v>
                </c:pt>
                <c:pt idx="1853" formatCode="0.000">
                  <c:v>61.764736842105265</c:v>
                </c:pt>
                <c:pt idx="1854" formatCode="0.000">
                  <c:v>61.835263157894744</c:v>
                </c:pt>
                <c:pt idx="1855" formatCode="0.000">
                  <c:v>61.915789473684214</c:v>
                </c:pt>
                <c:pt idx="1856" formatCode="0.000">
                  <c:v>61.985789473684214</c:v>
                </c:pt>
                <c:pt idx="1857" formatCode="0.000">
                  <c:v>62.151578947368428</c:v>
                </c:pt>
                <c:pt idx="1858" formatCode="0.000">
                  <c:v>62.283684210526324</c:v>
                </c:pt>
                <c:pt idx="1859" formatCode="0.000">
                  <c:v>62.464210526315789</c:v>
                </c:pt>
                <c:pt idx="1860" formatCode="0.000">
                  <c:v>62.581052631578949</c:v>
                </c:pt>
                <c:pt idx="1861" formatCode="0.000">
                  <c:v>62.677368421052613</c:v>
                </c:pt>
                <c:pt idx="1862" formatCode="0.000">
                  <c:v>62.695789473684201</c:v>
                </c:pt>
                <c:pt idx="1863" formatCode="0.000">
                  <c:v>62.668421052631558</c:v>
                </c:pt>
                <c:pt idx="1864" formatCode="0.000">
                  <c:v>62.592105263157869</c:v>
                </c:pt>
                <c:pt idx="1865" formatCode="0.000">
                  <c:v>62.554210526315778</c:v>
                </c:pt>
                <c:pt idx="1866" formatCode="0.000">
                  <c:v>62.603157894736846</c:v>
                </c:pt>
                <c:pt idx="1867" formatCode="0.000">
                  <c:v>62.617894736842103</c:v>
                </c:pt>
                <c:pt idx="1868" formatCode="0.000">
                  <c:v>62.67842105263157</c:v>
                </c:pt>
                <c:pt idx="1869" formatCode="0.000">
                  <c:v>62.667368421052636</c:v>
                </c:pt>
                <c:pt idx="1870" formatCode="0.000">
                  <c:v>62.73263157894737</c:v>
                </c:pt>
                <c:pt idx="1871" formatCode="0.000">
                  <c:v>62.744736842105269</c:v>
                </c:pt>
                <c:pt idx="1872" formatCode="0.000">
                  <c:v>62.797894736842125</c:v>
                </c:pt>
                <c:pt idx="1873" formatCode="0.000">
                  <c:v>62.82578947368421</c:v>
                </c:pt>
                <c:pt idx="1874" formatCode="0.000">
                  <c:v>62.848947368421058</c:v>
                </c:pt>
                <c:pt idx="1875" formatCode="0.000">
                  <c:v>62.864736842105266</c:v>
                </c:pt>
                <c:pt idx="1876" formatCode="0.000">
                  <c:v>62.9</c:v>
                </c:pt>
                <c:pt idx="1877" formatCode="0.000">
                  <c:v>62.977368421052617</c:v>
                </c:pt>
                <c:pt idx="1878" formatCode="0.000">
                  <c:v>63.015263157894736</c:v>
                </c:pt>
                <c:pt idx="1879" formatCode="0.000">
                  <c:v>63.123157894736835</c:v>
                </c:pt>
                <c:pt idx="1880" formatCode="0.000">
                  <c:v>63.226842105263152</c:v>
                </c:pt>
                <c:pt idx="1881" formatCode="0.000">
                  <c:v>63.412631578947362</c:v>
                </c:pt>
                <c:pt idx="1882" formatCode="0.000">
                  <c:v>63.597894736842086</c:v>
                </c:pt>
                <c:pt idx="1883" formatCode="0.000">
                  <c:v>63.788947368421056</c:v>
                </c:pt>
                <c:pt idx="1884" formatCode="0.000">
                  <c:v>63.945789473684215</c:v>
                </c:pt>
                <c:pt idx="1885" formatCode="0.000">
                  <c:v>63.997894736842106</c:v>
                </c:pt>
                <c:pt idx="1886" formatCode="0.000">
                  <c:v>64.06421052631579</c:v>
                </c:pt>
                <c:pt idx="1887" formatCode="0.000">
                  <c:v>64.08</c:v>
                </c:pt>
                <c:pt idx="1888" formatCode="0.000">
                  <c:v>64.106315789473683</c:v>
                </c:pt>
                <c:pt idx="1889" formatCode="0.000">
                  <c:v>64.032105263157888</c:v>
                </c:pt>
                <c:pt idx="1890" formatCode="0.000">
                  <c:v>63.984210526315778</c:v>
                </c:pt>
                <c:pt idx="1891" formatCode="0.000">
                  <c:v>63.891052631578951</c:v>
                </c:pt>
                <c:pt idx="1892" formatCode="0.000">
                  <c:v>63.787894736842105</c:v>
                </c:pt>
                <c:pt idx="1893" formatCode="0.000">
                  <c:v>63.715263157894746</c:v>
                </c:pt>
                <c:pt idx="1894" formatCode="0.000">
                  <c:v>63.619473684210526</c:v>
                </c:pt>
                <c:pt idx="1895" formatCode="0.000">
                  <c:v>63.521052631578961</c:v>
                </c:pt>
                <c:pt idx="1896" formatCode="0.000">
                  <c:v>63.450526315789482</c:v>
                </c:pt>
                <c:pt idx="1897" formatCode="0.000">
                  <c:v>63.392631578947359</c:v>
                </c:pt>
                <c:pt idx="1898" formatCode="0.000">
                  <c:v>63.319999999999986</c:v>
                </c:pt>
                <c:pt idx="1899" formatCode="0.000">
                  <c:v>63.214736842105246</c:v>
                </c:pt>
                <c:pt idx="1900" formatCode="0.000">
                  <c:v>62.974736842105266</c:v>
                </c:pt>
                <c:pt idx="1901" formatCode="0.000">
                  <c:v>62.759473684210526</c:v>
                </c:pt>
                <c:pt idx="1902" formatCode="0.000">
                  <c:v>62.46</c:v>
                </c:pt>
                <c:pt idx="1903" formatCode="0.000">
                  <c:v>62.163684210526313</c:v>
                </c:pt>
                <c:pt idx="1904" formatCode="0.000">
                  <c:v>61.942105263157885</c:v>
                </c:pt>
                <c:pt idx="1905" formatCode="0.000">
                  <c:v>61.712105263157895</c:v>
                </c:pt>
                <c:pt idx="1906" formatCode="0.000">
                  <c:v>61.451052631578953</c:v>
                </c:pt>
                <c:pt idx="1907" formatCode="0.000">
                  <c:v>61.166315789473686</c:v>
                </c:pt>
                <c:pt idx="1908" formatCode="0.000">
                  <c:v>60.928947368421042</c:v>
                </c:pt>
                <c:pt idx="1909" formatCode="0.000">
                  <c:v>60.673157894736825</c:v>
                </c:pt>
                <c:pt idx="1910" formatCode="0.000">
                  <c:v>60.369473684210512</c:v>
                </c:pt>
                <c:pt idx="1911" formatCode="0.000">
                  <c:v>60.120526315789469</c:v>
                </c:pt>
                <c:pt idx="1912" formatCode="0.000">
                  <c:v>59.834736842105258</c:v>
                </c:pt>
                <c:pt idx="1913" formatCode="0.000">
                  <c:v>59.564736842105262</c:v>
                </c:pt>
                <c:pt idx="1914" formatCode="0.000">
                  <c:v>59.326315789473696</c:v>
                </c:pt>
                <c:pt idx="1915" formatCode="0.000">
                  <c:v>59.03526315789474</c:v>
                </c:pt>
                <c:pt idx="1916" formatCode="0.000">
                  <c:v>58.725789473684223</c:v>
                </c:pt>
                <c:pt idx="1917" formatCode="0.000">
                  <c:v>58.342105263157897</c:v>
                </c:pt>
                <c:pt idx="1918" formatCode="0.000">
                  <c:v>57.921578947368424</c:v>
                </c:pt>
                <c:pt idx="1919" formatCode="0.000">
                  <c:v>57.601578947368424</c:v>
                </c:pt>
                <c:pt idx="1920" formatCode="0.000">
                  <c:v>57.269473684210531</c:v>
                </c:pt>
                <c:pt idx="1921" formatCode="0.000">
                  <c:v>57.038421052631577</c:v>
                </c:pt>
                <c:pt idx="1922" formatCode="0.000">
                  <c:v>56.845263157894735</c:v>
                </c:pt>
                <c:pt idx="1923" formatCode="0.000">
                  <c:v>56.581578947368421</c:v>
                </c:pt>
                <c:pt idx="1924" formatCode="0.000">
                  <c:v>56.359999999999992</c:v>
                </c:pt>
                <c:pt idx="1925" formatCode="0.000">
                  <c:v>56.204210526315784</c:v>
                </c:pt>
                <c:pt idx="1926" formatCode="0.000">
                  <c:v>56.030526315789473</c:v>
                </c:pt>
                <c:pt idx="1927" formatCode="0.000">
                  <c:v>55.845263157894735</c:v>
                </c:pt>
                <c:pt idx="1928" formatCode="0.000">
                  <c:v>55.744736842105269</c:v>
                </c:pt>
                <c:pt idx="1929" formatCode="0.000">
                  <c:v>55.807368421052637</c:v>
                </c:pt>
                <c:pt idx="1930" formatCode="0.000">
                  <c:v>55.911052631578954</c:v>
                </c:pt>
                <c:pt idx="1931" formatCode="0.000">
                  <c:v>56.059473684210545</c:v>
                </c:pt>
                <c:pt idx="1932" formatCode="0.000">
                  <c:v>56.244210526315804</c:v>
                </c:pt>
                <c:pt idx="1933" formatCode="0.000">
                  <c:v>56.460526315789487</c:v>
                </c:pt>
                <c:pt idx="1934" formatCode="0.000">
                  <c:v>56.622105263157906</c:v>
                </c:pt>
                <c:pt idx="1935" formatCode="0.000">
                  <c:v>56.801052631578962</c:v>
                </c:pt>
                <c:pt idx="1936" formatCode="0.000">
                  <c:v>57</c:v>
                </c:pt>
                <c:pt idx="1937" formatCode="0.000">
                  <c:v>57.224736842105266</c:v>
                </c:pt>
                <c:pt idx="1938" formatCode="0.000">
                  <c:v>57.48105263157894</c:v>
                </c:pt>
                <c:pt idx="1939" formatCode="0.000">
                  <c:v>57.744736842105254</c:v>
                </c:pt>
                <c:pt idx="1940" formatCode="0.000">
                  <c:v>57.979473684210518</c:v>
                </c:pt>
                <c:pt idx="1941" formatCode="0.000">
                  <c:v>58.132105263157882</c:v>
                </c:pt>
                <c:pt idx="1942" formatCode="0.000">
                  <c:v>58.44263157894737</c:v>
                </c:pt>
                <c:pt idx="1943" formatCode="0.000">
                  <c:v>58.738947368421051</c:v>
                </c:pt>
                <c:pt idx="1944" formatCode="0.000">
                  <c:v>58.96473684210526</c:v>
                </c:pt>
                <c:pt idx="1945" formatCode="0.000">
                  <c:v>59.210526315789473</c:v>
                </c:pt>
                <c:pt idx="1946" formatCode="0.000">
                  <c:v>59.496842105263163</c:v>
                </c:pt>
                <c:pt idx="1947" formatCode="0.000">
                  <c:v>59.74684210526317</c:v>
                </c:pt>
                <c:pt idx="1948" formatCode="0.000">
                  <c:v>59.934736842105274</c:v>
                </c:pt>
                <c:pt idx="1949" formatCode="0.000">
                  <c:v>60.09947368421053</c:v>
                </c:pt>
                <c:pt idx="1950" formatCode="0.000">
                  <c:v>60.255263157894731</c:v>
                </c:pt>
                <c:pt idx="1951" formatCode="0.000">
                  <c:v>60.418421052631594</c:v>
                </c:pt>
                <c:pt idx="1952" formatCode="0.000">
                  <c:v>60.520000000000017</c:v>
                </c:pt>
                <c:pt idx="1953" formatCode="0.000">
                  <c:v>60.670000000000016</c:v>
                </c:pt>
                <c:pt idx="1954" formatCode="0.000">
                  <c:v>60.819473684210536</c:v>
                </c:pt>
                <c:pt idx="1955" formatCode="0.000">
                  <c:v>61.072105263157901</c:v>
                </c:pt>
                <c:pt idx="1956" formatCode="0.000">
                  <c:v>61.335789473684216</c:v>
                </c:pt>
                <c:pt idx="1957" formatCode="0.000">
                  <c:v>61.603684210526303</c:v>
                </c:pt>
                <c:pt idx="1958" formatCode="0.000">
                  <c:v>61.813157894736847</c:v>
                </c:pt>
                <c:pt idx="1959" formatCode="0.000">
                  <c:v>62.015263157894744</c:v>
                </c:pt>
                <c:pt idx="1960" formatCode="0.000">
                  <c:v>62.26631578947368</c:v>
                </c:pt>
                <c:pt idx="1961" formatCode="0.000">
                  <c:v>62.420526315789473</c:v>
                </c:pt>
                <c:pt idx="1962" formatCode="0.000">
                  <c:v>62.516315789473694</c:v>
                </c:pt>
                <c:pt idx="1963" formatCode="0.000">
                  <c:v>62.686842105263167</c:v>
                </c:pt>
                <c:pt idx="1964" formatCode="0.000">
                  <c:v>62.863684210526323</c:v>
                </c:pt>
                <c:pt idx="1965" formatCode="0.000">
                  <c:v>63.046315789473681</c:v>
                </c:pt>
                <c:pt idx="1966" formatCode="0.000">
                  <c:v>63.172631578947353</c:v>
                </c:pt>
                <c:pt idx="1967" formatCode="0.000">
                  <c:v>63.257368421052625</c:v>
                </c:pt>
                <c:pt idx="1968" formatCode="0.000">
                  <c:v>63.297368421052624</c:v>
                </c:pt>
                <c:pt idx="1969" formatCode="0.000">
                  <c:v>63.320526315789472</c:v>
                </c:pt>
                <c:pt idx="1970" formatCode="0.000">
                  <c:v>63.382105263157897</c:v>
                </c:pt>
                <c:pt idx="1971" formatCode="0.000">
                  <c:v>63.416315789473686</c:v>
                </c:pt>
                <c:pt idx="1972" formatCode="0.000">
                  <c:v>63.475263157894737</c:v>
                </c:pt>
                <c:pt idx="1973" formatCode="0.000">
                  <c:v>63.566315789473684</c:v>
                </c:pt>
                <c:pt idx="1974" formatCode="0.000">
                  <c:v>63.56421052631579</c:v>
                </c:pt>
                <c:pt idx="1975" formatCode="0.000">
                  <c:v>63.572631578947373</c:v>
                </c:pt>
                <c:pt idx="1976" formatCode="0.000">
                  <c:v>63.533684210526324</c:v>
                </c:pt>
                <c:pt idx="1977" formatCode="0.000">
                  <c:v>63.506315789473689</c:v>
                </c:pt>
                <c:pt idx="1978" formatCode="0.000">
                  <c:v>63.478947368421061</c:v>
                </c:pt>
                <c:pt idx="1979" formatCode="0.000">
                  <c:v>63.408421052631589</c:v>
                </c:pt>
                <c:pt idx="1980" formatCode="0.000">
                  <c:v>63.386842105263177</c:v>
                </c:pt>
                <c:pt idx="1981" formatCode="0.000">
                  <c:v>63.358947368421063</c:v>
                </c:pt>
                <c:pt idx="1982" formatCode="0.000">
                  <c:v>63.262105263157906</c:v>
                </c:pt>
                <c:pt idx="1983" formatCode="0.000">
                  <c:v>63.157894736842117</c:v>
                </c:pt>
                <c:pt idx="1984" formatCode="0.000">
                  <c:v>63.011578947368434</c:v>
                </c:pt>
                <c:pt idx="1985" formatCode="0.000">
                  <c:v>62.923157894736853</c:v>
                </c:pt>
                <c:pt idx="1986" formatCode="0.000">
                  <c:v>62.86684210526316</c:v>
                </c:pt>
                <c:pt idx="1987" formatCode="0.000">
                  <c:v>62.707368421052635</c:v>
                </c:pt>
                <c:pt idx="1988" formatCode="0.000">
                  <c:v>62.545789473684202</c:v>
                </c:pt>
                <c:pt idx="1989" formatCode="0.000">
                  <c:v>62.349999999999994</c:v>
                </c:pt>
                <c:pt idx="1990" formatCode="0.000">
                  <c:v>62.186315789473682</c:v>
                </c:pt>
                <c:pt idx="1991" formatCode="0.000">
                  <c:v>62.014210526315779</c:v>
                </c:pt>
                <c:pt idx="1992" formatCode="0.000">
                  <c:v>61.841578947368419</c:v>
                </c:pt>
                <c:pt idx="1993" formatCode="0.000">
                  <c:v>61.696315789473687</c:v>
                </c:pt>
                <c:pt idx="1994" formatCode="0.000">
                  <c:v>61.514210526315779</c:v>
                </c:pt>
                <c:pt idx="1995" formatCode="0.000">
                  <c:v>61.357894736842105</c:v>
                </c:pt>
                <c:pt idx="1996" formatCode="0.000">
                  <c:v>61.27210526315789</c:v>
                </c:pt>
                <c:pt idx="1997" formatCode="0.000">
                  <c:v>61.188421052631575</c:v>
                </c:pt>
                <c:pt idx="1998" formatCode="0.000">
                  <c:v>61.087368421052624</c:v>
                </c:pt>
                <c:pt idx="1999" formatCode="0.000">
                  <c:v>60.89947368421052</c:v>
                </c:pt>
                <c:pt idx="2000" formatCode="0.000">
                  <c:v>60.771052631578954</c:v>
                </c:pt>
                <c:pt idx="2001" formatCode="0.000">
                  <c:v>60.662631578947376</c:v>
                </c:pt>
                <c:pt idx="2002" formatCode="0.000">
                  <c:v>60.542105263157907</c:v>
                </c:pt>
                <c:pt idx="2003" formatCode="0.000">
                  <c:v>60.458421052631579</c:v>
                </c:pt>
                <c:pt idx="2004" formatCode="0.000">
                  <c:v>60.363157894736837</c:v>
                </c:pt>
                <c:pt idx="2005" formatCode="0.000">
                  <c:v>60.306315789473679</c:v>
                </c:pt>
                <c:pt idx="2006" formatCode="0.000">
                  <c:v>60.294736842105259</c:v>
                </c:pt>
                <c:pt idx="2007" formatCode="0.000">
                  <c:v>60.287894736842098</c:v>
                </c:pt>
                <c:pt idx="2008" formatCode="0.000">
                  <c:v>60.242631578947361</c:v>
                </c:pt>
                <c:pt idx="2009" formatCode="0.000">
                  <c:v>60.236842105263158</c:v>
                </c:pt>
                <c:pt idx="2010" formatCode="0.000">
                  <c:v>60.19736842105263</c:v>
                </c:pt>
                <c:pt idx="2011" formatCode="0.000">
                  <c:v>60.14736842105264</c:v>
                </c:pt>
                <c:pt idx="2012" formatCode="0.000">
                  <c:v>60.109473684210521</c:v>
                </c:pt>
                <c:pt idx="2013" formatCode="0.000">
                  <c:v>60.075263157894739</c:v>
                </c:pt>
                <c:pt idx="2014" formatCode="0.000">
                  <c:v>60.032105263157902</c:v>
                </c:pt>
                <c:pt idx="2015" formatCode="0.000">
                  <c:v>59.936842105263167</c:v>
                </c:pt>
                <c:pt idx="2016" formatCode="0.000">
                  <c:v>59.806842105263165</c:v>
                </c:pt>
                <c:pt idx="2017" formatCode="0.000">
                  <c:v>59.777368421052643</c:v>
                </c:pt>
                <c:pt idx="2018" formatCode="0.000">
                  <c:v>59.756842105263161</c:v>
                </c:pt>
                <c:pt idx="2019" formatCode="0.000">
                  <c:v>59.766842105263166</c:v>
                </c:pt>
                <c:pt idx="2020" formatCode="0.000">
                  <c:v>59.763684210526314</c:v>
                </c:pt>
                <c:pt idx="2021" formatCode="0.000">
                  <c:v>59.78052631578948</c:v>
                </c:pt>
                <c:pt idx="2022" formatCode="0.000">
                  <c:v>59.772105263157911</c:v>
                </c:pt>
                <c:pt idx="2023" formatCode="0.000">
                  <c:v>59.750526315789472</c:v>
                </c:pt>
                <c:pt idx="2024" formatCode="0.000">
                  <c:v>59.708947368421057</c:v>
                </c:pt>
                <c:pt idx="2025" formatCode="0.000">
                  <c:v>59.732105263157912</c:v>
                </c:pt>
                <c:pt idx="2026" formatCode="0.000">
                  <c:v>59.776315789473685</c:v>
                </c:pt>
                <c:pt idx="2027" formatCode="0.000">
                  <c:v>59.83315789473685</c:v>
                </c:pt>
                <c:pt idx="2028" formatCode="0.000">
                  <c:v>59.827894736842104</c:v>
                </c:pt>
                <c:pt idx="2029" formatCode="0.000">
                  <c:v>59.87</c:v>
                </c:pt>
                <c:pt idx="2030" formatCode="0.000">
                  <c:v>59.8878947368421</c:v>
                </c:pt>
                <c:pt idx="2031" formatCode="0.000">
                  <c:v>59.885789473684206</c:v>
                </c:pt>
                <c:pt idx="2032" formatCode="0.000">
                  <c:v>59.890000000000008</c:v>
                </c:pt>
                <c:pt idx="2033" formatCode="0.000">
                  <c:v>59.946842105263158</c:v>
                </c:pt>
                <c:pt idx="2034" formatCode="0.000">
                  <c:v>60.043684210526301</c:v>
                </c:pt>
                <c:pt idx="2035" formatCode="0.000">
                  <c:v>60.17842105263157</c:v>
                </c:pt>
                <c:pt idx="2036" formatCode="0.000">
                  <c:v>60.291052631578935</c:v>
                </c:pt>
                <c:pt idx="2037" formatCode="0.000">
                  <c:v>60.417894736842094</c:v>
                </c:pt>
                <c:pt idx="2038" formatCode="0.000">
                  <c:v>60.505789473684196</c:v>
                </c:pt>
                <c:pt idx="2039" formatCode="0.000">
                  <c:v>60.631578947368418</c:v>
                </c:pt>
                <c:pt idx="2040" formatCode="0.000">
                  <c:v>60.745789473684212</c:v>
                </c:pt>
                <c:pt idx="2041" formatCode="0.000">
                  <c:v>60.921578947368424</c:v>
                </c:pt>
                <c:pt idx="2042" formatCode="0.000">
                  <c:v>61.112631578947365</c:v>
                </c:pt>
                <c:pt idx="2043" formatCode="0.000">
                  <c:v>61.264210526315786</c:v>
                </c:pt>
                <c:pt idx="2044" formatCode="0.000">
                  <c:v>61.398421052631576</c:v>
                </c:pt>
                <c:pt idx="2045" formatCode="0.000">
                  <c:v>61.51736842105263</c:v>
                </c:pt>
                <c:pt idx="2046" formatCode="0.000">
                  <c:v>61.667368421052636</c:v>
                </c:pt>
                <c:pt idx="2047" formatCode="0.000">
                  <c:v>61.826842105263161</c:v>
                </c:pt>
                <c:pt idx="2048" formatCode="0.000">
                  <c:v>61.977368421052638</c:v>
                </c:pt>
                <c:pt idx="2049" formatCode="0.000">
                  <c:v>62.147894736842105</c:v>
                </c:pt>
                <c:pt idx="2050" formatCode="0.000">
                  <c:v>62.338947368421046</c:v>
                </c:pt>
                <c:pt idx="2051" formatCode="0.000">
                  <c:v>62.551578947368434</c:v>
                </c:pt>
                <c:pt idx="2052" formatCode="0.000">
                  <c:v>62.71736842105264</c:v>
                </c:pt>
                <c:pt idx="2053" formatCode="0.000">
                  <c:v>62.854210526315775</c:v>
                </c:pt>
                <c:pt idx="2054" formatCode="0.000">
                  <c:v>62.982105263157898</c:v>
                </c:pt>
                <c:pt idx="2055" formatCode="0.000">
                  <c:v>63.071052631578929</c:v>
                </c:pt>
                <c:pt idx="2056" formatCode="0.000">
                  <c:v>63.167368421052636</c:v>
                </c:pt>
                <c:pt idx="2057" formatCode="0.000">
                  <c:v>63.278947368421065</c:v>
                </c:pt>
                <c:pt idx="2058" formatCode="0.000">
                  <c:v>63.378947368421052</c:v>
                </c:pt>
                <c:pt idx="2059" formatCode="0.000">
                  <c:v>63.473684210526301</c:v>
                </c:pt>
                <c:pt idx="2060" formatCode="0.000">
                  <c:v>63.518421052631574</c:v>
                </c:pt>
                <c:pt idx="2061" formatCode="0.000">
                  <c:v>63.564736842105262</c:v>
                </c:pt>
                <c:pt idx="2062" formatCode="0.000">
                  <c:v>63.634736842105262</c:v>
                </c:pt>
                <c:pt idx="2063" formatCode="0.000">
                  <c:v>63.705263157894727</c:v>
                </c:pt>
                <c:pt idx="2064" formatCode="0.000">
                  <c:v>63.742105263157889</c:v>
                </c:pt>
                <c:pt idx="2065" formatCode="0.000">
                  <c:v>63.760526315789477</c:v>
                </c:pt>
                <c:pt idx="2066" formatCode="0.000">
                  <c:v>63.803157894736827</c:v>
                </c:pt>
                <c:pt idx="2067" formatCode="0.000">
                  <c:v>63.837368421052624</c:v>
                </c:pt>
                <c:pt idx="2068" formatCode="0.000">
                  <c:v>63.85736842105262</c:v>
                </c:pt>
                <c:pt idx="2069" formatCode="0.000">
                  <c:v>63.833157894736836</c:v>
                </c:pt>
                <c:pt idx="2070" formatCode="0.000">
                  <c:v>63.790526315789485</c:v>
                </c:pt>
                <c:pt idx="2071" formatCode="0.000">
                  <c:v>63.724736842105266</c:v>
                </c:pt>
                <c:pt idx="2072" formatCode="0.000">
                  <c:v>63.665789473684207</c:v>
                </c:pt>
                <c:pt idx="2073" formatCode="0.000">
                  <c:v>63.542631578947365</c:v>
                </c:pt>
                <c:pt idx="2074" formatCode="0.000">
                  <c:v>63.429473684210528</c:v>
                </c:pt>
                <c:pt idx="2075" formatCode="0.000">
                  <c:v>63.282105263157902</c:v>
                </c:pt>
                <c:pt idx="2076" formatCode="0.000">
                  <c:v>63.085263157894758</c:v>
                </c:pt>
                <c:pt idx="2077" formatCode="0.000">
                  <c:v>62.872631578947363</c:v>
                </c:pt>
                <c:pt idx="2078" formatCode="0.000">
                  <c:v>62.65</c:v>
                </c:pt>
                <c:pt idx="2079" formatCode="0.000">
                  <c:v>62.440000000000005</c:v>
                </c:pt>
                <c:pt idx="2080" formatCode="0.000">
                  <c:v>62.244210526315797</c:v>
                </c:pt>
                <c:pt idx="2081" formatCode="0.000">
                  <c:v>62.093684210526312</c:v>
                </c:pt>
                <c:pt idx="2082" formatCode="0.000">
                  <c:v>61.926842105263155</c:v>
                </c:pt>
                <c:pt idx="2083" formatCode="0.000">
                  <c:v>61.764736842105251</c:v>
                </c:pt>
                <c:pt idx="2084" formatCode="0.000">
                  <c:v>61.592105263157883</c:v>
                </c:pt>
                <c:pt idx="2085" formatCode="0.000">
                  <c:v>61.408421052631567</c:v>
                </c:pt>
                <c:pt idx="2086" formatCode="0.000">
                  <c:v>61.216842105263154</c:v>
                </c:pt>
                <c:pt idx="2087" formatCode="0.000">
                  <c:v>61.020526315789468</c:v>
                </c:pt>
                <c:pt idx="2088" formatCode="0.000">
                  <c:v>60.874736842105257</c:v>
                </c:pt>
                <c:pt idx="2089" formatCode="0.000">
                  <c:v>60.754210526315788</c:v>
                </c:pt>
                <c:pt idx="2090" formatCode="0.000">
                  <c:v>60.67157894736841</c:v>
                </c:pt>
                <c:pt idx="2091" formatCode="0.000">
                  <c:v>60.610526315789478</c:v>
                </c:pt>
                <c:pt idx="2092" formatCode="0.000">
                  <c:v>60.597368421052636</c:v>
                </c:pt>
                <c:pt idx="2093" formatCode="0.000">
                  <c:v>60.598947368421072</c:v>
                </c:pt>
                <c:pt idx="2094" formatCode="0.000">
                  <c:v>60.650000000000006</c:v>
                </c:pt>
                <c:pt idx="2095" formatCode="0.000">
                  <c:v>60.691578947368427</c:v>
                </c:pt>
                <c:pt idx="2096" formatCode="0.000">
                  <c:v>60.742105263157903</c:v>
                </c:pt>
                <c:pt idx="2097" formatCode="0.000">
                  <c:v>60.811052631578953</c:v>
                </c:pt>
                <c:pt idx="2098" formatCode="0.000">
                  <c:v>60.856315789473669</c:v>
                </c:pt>
                <c:pt idx="2099" formatCode="0.000">
                  <c:v>60.857368421052627</c:v>
                </c:pt>
                <c:pt idx="2100" formatCode="0.000">
                  <c:v>60.807894736842115</c:v>
                </c:pt>
                <c:pt idx="2101" formatCode="0.000">
                  <c:v>60.798947368421054</c:v>
                </c:pt>
                <c:pt idx="2102" formatCode="0.000">
                  <c:v>60.836842105263166</c:v>
                </c:pt>
                <c:pt idx="2103" formatCode="0.000">
                  <c:v>60.854736842105261</c:v>
                </c:pt>
                <c:pt idx="2104" formatCode="0.000">
                  <c:v>60.822631578947373</c:v>
                </c:pt>
                <c:pt idx="2105" formatCode="0.000">
                  <c:v>60.76157894736842</c:v>
                </c:pt>
                <c:pt idx="2106" formatCode="0.000">
                  <c:v>60.725263157894737</c:v>
                </c:pt>
                <c:pt idx="2107" formatCode="0.000">
                  <c:v>60.693157894736835</c:v>
                </c:pt>
                <c:pt idx="2108" formatCode="0.000">
                  <c:v>60.666315789473678</c:v>
                </c:pt>
                <c:pt idx="2109" formatCode="0.000">
                  <c:v>60.648947368421048</c:v>
                </c:pt>
                <c:pt idx="2110" formatCode="0.000">
                  <c:v>60.603684210526318</c:v>
                </c:pt>
                <c:pt idx="2111" formatCode="0.000">
                  <c:v>60.567368421052628</c:v>
                </c:pt>
                <c:pt idx="2112" formatCode="0.000">
                  <c:v>60.578421052631576</c:v>
                </c:pt>
                <c:pt idx="2113" formatCode="0.000">
                  <c:v>60.606842105263169</c:v>
                </c:pt>
                <c:pt idx="2114" formatCode="0.000">
                  <c:v>60.672105263157917</c:v>
                </c:pt>
                <c:pt idx="2115" formatCode="0.000">
                  <c:v>60.737368421052643</c:v>
                </c:pt>
                <c:pt idx="2116" formatCode="0.000">
                  <c:v>60.798421052631582</c:v>
                </c:pt>
                <c:pt idx="2117" formatCode="0.000">
                  <c:v>60.931578947368415</c:v>
                </c:pt>
                <c:pt idx="2118" formatCode="0.000">
                  <c:v>61.058947368421045</c:v>
                </c:pt>
                <c:pt idx="2119" formatCode="0.000">
                  <c:v>61.177894736842113</c:v>
                </c:pt>
                <c:pt idx="2120" formatCode="0.000">
                  <c:v>61.248947368421057</c:v>
                </c:pt>
                <c:pt idx="2121" formatCode="0.000">
                  <c:v>61.287894736842105</c:v>
                </c:pt>
                <c:pt idx="2122" formatCode="0.000">
                  <c:v>61.361578947368429</c:v>
                </c:pt>
                <c:pt idx="2123" formatCode="0.000">
                  <c:v>61.460526315789487</c:v>
                </c:pt>
                <c:pt idx="2124" formatCode="0.000">
                  <c:v>61.534210526315796</c:v>
                </c:pt>
                <c:pt idx="2125" formatCode="0.000">
                  <c:v>61.622105263157891</c:v>
                </c:pt>
                <c:pt idx="2126" formatCode="0.000">
                  <c:v>61.678947368421056</c:v>
                </c:pt>
                <c:pt idx="2127" formatCode="0.000">
                  <c:v>61.71631578947369</c:v>
                </c:pt>
                <c:pt idx="2128" formatCode="0.000">
                  <c:v>61.71736842105264</c:v>
                </c:pt>
                <c:pt idx="2129" formatCode="0.000">
                  <c:v>61.7363157894737</c:v>
                </c:pt>
                <c:pt idx="2130" formatCode="0.000">
                  <c:v>61.752631578947387</c:v>
                </c:pt>
                <c:pt idx="2131" formatCode="0.000">
                  <c:v>61.691052631578955</c:v>
                </c:pt>
                <c:pt idx="2132" formatCode="0.000">
                  <c:v>61.590526315789475</c:v>
                </c:pt>
                <c:pt idx="2133" formatCode="0.000">
                  <c:v>61.494210526315783</c:v>
                </c:pt>
                <c:pt idx="2134" formatCode="0.000">
                  <c:v>61.414736842105242</c:v>
                </c:pt>
                <c:pt idx="2135" formatCode="0.000">
                  <c:v>61.31894736842105</c:v>
                </c:pt>
                <c:pt idx="2136" formatCode="0.000">
                  <c:v>61.161578947368419</c:v>
                </c:pt>
                <c:pt idx="2137" formatCode="0.000">
                  <c:v>61.047368421052639</c:v>
                </c:pt>
                <c:pt idx="2138" formatCode="0.000">
                  <c:v>60.922631578947367</c:v>
                </c:pt>
                <c:pt idx="2139" formatCode="0.000">
                  <c:v>60.841578947368419</c:v>
                </c:pt>
                <c:pt idx="2140" formatCode="0.000">
                  <c:v>60.777894736842107</c:v>
                </c:pt>
                <c:pt idx="2141" formatCode="0.000">
                  <c:v>60.701052631578946</c:v>
                </c:pt>
                <c:pt idx="2142" formatCode="0.000">
                  <c:v>60.639473684210529</c:v>
                </c:pt>
                <c:pt idx="2143" formatCode="0.000">
                  <c:v>60.593157894736841</c:v>
                </c:pt>
                <c:pt idx="2144" formatCode="0.000">
                  <c:v>60.494210526315783</c:v>
                </c:pt>
                <c:pt idx="2145" formatCode="0.000">
                  <c:v>60.383684210526305</c:v>
                </c:pt>
                <c:pt idx="2146" formatCode="0.000">
                  <c:v>60.263684210526314</c:v>
                </c:pt>
                <c:pt idx="2147" formatCode="0.000">
                  <c:v>60.127368421052637</c:v>
                </c:pt>
                <c:pt idx="2148" formatCode="0.000">
                  <c:v>59.97789473684211</c:v>
                </c:pt>
                <c:pt idx="2149" formatCode="0.000">
                  <c:v>59.872631578947377</c:v>
                </c:pt>
                <c:pt idx="2150" formatCode="0.000">
                  <c:v>59.758421052631583</c:v>
                </c:pt>
                <c:pt idx="2151" formatCode="0.000">
                  <c:v>59.651052631578956</c:v>
                </c:pt>
                <c:pt idx="2152" formatCode="0.000">
                  <c:v>59.537894736842119</c:v>
                </c:pt>
                <c:pt idx="2153" formatCode="0.000">
                  <c:v>59.379473684210538</c:v>
                </c:pt>
                <c:pt idx="2154" formatCode="0.000">
                  <c:v>59.267368421052637</c:v>
                </c:pt>
                <c:pt idx="2155" formatCode="0.000">
                  <c:v>59.168421052631579</c:v>
                </c:pt>
                <c:pt idx="2156" formatCode="0.000">
                  <c:v>59.072105263157901</c:v>
                </c:pt>
                <c:pt idx="2157" formatCode="0.000">
                  <c:v>58.936842105263153</c:v>
                </c:pt>
                <c:pt idx="2158" formatCode="0.000">
                  <c:v>58.789999999999985</c:v>
                </c:pt>
                <c:pt idx="2159" formatCode="0.000">
                  <c:v>58.60263157894736</c:v>
                </c:pt>
                <c:pt idx="2160" formatCode="0.000">
                  <c:v>58.393684210526303</c:v>
                </c:pt>
                <c:pt idx="2161" formatCode="0.000">
                  <c:v>58.155789473684216</c:v>
                </c:pt>
                <c:pt idx="2162" formatCode="0.000">
                  <c:v>57.944210526315771</c:v>
                </c:pt>
                <c:pt idx="2163" formatCode="0.000">
                  <c:v>57.768947368421045</c:v>
                </c:pt>
                <c:pt idx="2164" formatCode="0.000">
                  <c:v>57.593157894736841</c:v>
                </c:pt>
                <c:pt idx="2165" formatCode="0.000">
                  <c:v>57.387894736842114</c:v>
                </c:pt>
                <c:pt idx="2166" formatCode="0.000">
                  <c:v>57.214736842105275</c:v>
                </c:pt>
                <c:pt idx="2167" formatCode="0.000">
                  <c:v>56.901578947368442</c:v>
                </c:pt>
                <c:pt idx="2168" formatCode="0.000">
                  <c:v>56.59947368421053</c:v>
                </c:pt>
                <c:pt idx="2169" formatCode="0.000">
                  <c:v>56.31421052631579</c:v>
                </c:pt>
                <c:pt idx="2170" formatCode="0.000">
                  <c:v>56.082105263157892</c:v>
                </c:pt>
                <c:pt idx="2171" formatCode="0.000">
                  <c:v>55.832105263157892</c:v>
                </c:pt>
                <c:pt idx="2172" formatCode="0.000">
                  <c:v>55.562105263157896</c:v>
                </c:pt>
                <c:pt idx="2173" formatCode="0.000">
                  <c:v>55.277368421052628</c:v>
                </c:pt>
                <c:pt idx="2174" formatCode="0.000">
                  <c:v>55.027368421052628</c:v>
                </c:pt>
                <c:pt idx="2175" formatCode="0.000">
                  <c:v>54.797368421052624</c:v>
                </c:pt>
                <c:pt idx="2176" formatCode="0.000">
                  <c:v>54.613684210526323</c:v>
                </c:pt>
                <c:pt idx="2177" formatCode="0.000">
                  <c:v>54.44263157894737</c:v>
                </c:pt>
                <c:pt idx="2178" formatCode="0.000">
                  <c:v>54.314736842105262</c:v>
                </c:pt>
                <c:pt idx="2179" formatCode="0.000">
                  <c:v>54.185789473684224</c:v>
                </c:pt>
                <c:pt idx="2180" formatCode="0.000">
                  <c:v>54.169473684210537</c:v>
                </c:pt>
                <c:pt idx="2181" formatCode="0.000">
                  <c:v>54.18578947368421</c:v>
                </c:pt>
                <c:pt idx="2182" formatCode="0.000">
                  <c:v>54.175263157894747</c:v>
                </c:pt>
                <c:pt idx="2183" formatCode="0.000">
                  <c:v>54.162631578947362</c:v>
                </c:pt>
                <c:pt idx="2184" formatCode="0.000">
                  <c:v>54.229473684210532</c:v>
                </c:pt>
                <c:pt idx="2185" formatCode="0.000">
                  <c:v>54.305789473684207</c:v>
                </c:pt>
                <c:pt idx="2186" formatCode="0.000">
                  <c:v>54.519473684210531</c:v>
                </c:pt>
                <c:pt idx="2187" formatCode="0.000">
                  <c:v>54.727368421052631</c:v>
                </c:pt>
                <c:pt idx="2188" formatCode="0.000">
                  <c:v>54.930526315789464</c:v>
                </c:pt>
                <c:pt idx="2189" formatCode="0.000">
                  <c:v>55.08526315789473</c:v>
                </c:pt>
                <c:pt idx="2190" formatCode="0.000">
                  <c:v>55.267894736842102</c:v>
                </c:pt>
                <c:pt idx="2191" formatCode="0.000">
                  <c:v>55.493157894736839</c:v>
                </c:pt>
                <c:pt idx="2192" formatCode="0.000">
                  <c:v>55.691578947368427</c:v>
                </c:pt>
                <c:pt idx="2193" formatCode="0.000">
                  <c:v>55.864736842105266</c:v>
                </c:pt>
                <c:pt idx="2194" formatCode="0.000">
                  <c:v>56.015263157894744</c:v>
                </c:pt>
                <c:pt idx="2195" formatCode="0.000">
                  <c:v>56.175789473684205</c:v>
                </c:pt>
                <c:pt idx="2196" formatCode="0.000">
                  <c:v>56.326315789473689</c:v>
                </c:pt>
                <c:pt idx="2197" formatCode="0.000">
                  <c:v>56.462105263157895</c:v>
                </c:pt>
                <c:pt idx="2198" formatCode="0.000">
                  <c:v>56.629473684210531</c:v>
                </c:pt>
                <c:pt idx="2199" formatCode="0.000">
                  <c:v>56.722105263157893</c:v>
                </c:pt>
                <c:pt idx="2200" formatCode="0.000">
                  <c:v>56.822631578947373</c:v>
                </c:pt>
                <c:pt idx="2201" formatCode="0.000">
                  <c:v>56.961578947368423</c:v>
                </c:pt>
                <c:pt idx="2202" formatCode="0.000">
                  <c:v>57.136842105263156</c:v>
                </c:pt>
                <c:pt idx="2203" formatCode="0.000">
                  <c:v>57.258421052631569</c:v>
                </c:pt>
                <c:pt idx="2204" formatCode="0.000">
                  <c:v>57.368421052631568</c:v>
                </c:pt>
                <c:pt idx="2205" formatCode="0.000">
                  <c:v>57.462631578947367</c:v>
                </c:pt>
                <c:pt idx="2206" formatCode="0.000">
                  <c:v>57.533684210526324</c:v>
                </c:pt>
                <c:pt idx="2207" formatCode="0.000">
                  <c:v>57.633684210526326</c:v>
                </c:pt>
                <c:pt idx="2208" formatCode="0.000">
                  <c:v>57.717894736842112</c:v>
                </c:pt>
                <c:pt idx="2209" formatCode="0.000">
                  <c:v>57.795789473684216</c:v>
                </c:pt>
                <c:pt idx="2210" formatCode="0.000">
                  <c:v>57.875263157894743</c:v>
                </c:pt>
                <c:pt idx="2211" formatCode="0.000">
                  <c:v>57.984736842105264</c:v>
                </c:pt>
                <c:pt idx="2212" formatCode="0.000">
                  <c:v>58.084210526315793</c:v>
                </c:pt>
                <c:pt idx="2213" formatCode="0.000">
                  <c:v>58.195263157894736</c:v>
                </c:pt>
                <c:pt idx="2214" formatCode="0.000">
                  <c:v>58.317368421052642</c:v>
                </c:pt>
                <c:pt idx="2215" formatCode="0.000">
                  <c:v>58.460526315789473</c:v>
                </c:pt>
                <c:pt idx="2216" formatCode="0.000">
                  <c:v>58.559999999999995</c:v>
                </c:pt>
                <c:pt idx="2217" formatCode="0.000">
                  <c:v>58.63052631578946</c:v>
                </c:pt>
                <c:pt idx="2218" formatCode="0.000">
                  <c:v>58.715789473684204</c:v>
                </c:pt>
                <c:pt idx="2219" formatCode="0.000">
                  <c:v>58.757894736842097</c:v>
                </c:pt>
                <c:pt idx="2220" formatCode="0.000">
                  <c:v>58.715263157894718</c:v>
                </c:pt>
                <c:pt idx="2221" formatCode="0.000">
                  <c:v>58.684736842105252</c:v>
                </c:pt>
                <c:pt idx="2222" formatCode="0.000">
                  <c:v>58.677368421052627</c:v>
                </c:pt>
                <c:pt idx="2223" formatCode="0.000">
                  <c:v>58.676315789473676</c:v>
                </c:pt>
                <c:pt idx="2224" formatCode="0.000">
                  <c:v>58.701578947368432</c:v>
                </c:pt>
                <c:pt idx="2225" formatCode="0.000">
                  <c:v>58.717894736842112</c:v>
                </c:pt>
                <c:pt idx="2226" formatCode="0.000">
                  <c:v>58.733157894736856</c:v>
                </c:pt>
                <c:pt idx="2227" formatCode="0.000">
                  <c:v>58.798947368421068</c:v>
                </c:pt>
                <c:pt idx="2228" formatCode="0.000">
                  <c:v>58.867368421052646</c:v>
                </c:pt>
                <c:pt idx="2229" formatCode="0.000">
                  <c:v>58.928421052631585</c:v>
                </c:pt>
                <c:pt idx="2230" formatCode="0.000">
                  <c:v>58.977368421052638</c:v>
                </c:pt>
                <c:pt idx="2231" formatCode="0.000">
                  <c:v>59.056315789473693</c:v>
                </c:pt>
                <c:pt idx="2232" formatCode="0.000">
                  <c:v>59.106842105263155</c:v>
                </c:pt>
                <c:pt idx="2233" formatCode="0.000">
                  <c:v>59.147894736842112</c:v>
                </c:pt>
                <c:pt idx="2234" formatCode="0.000">
                  <c:v>59.141578947368423</c:v>
                </c:pt>
                <c:pt idx="2235" formatCode="0.000">
                  <c:v>59.212631578947381</c:v>
                </c:pt>
                <c:pt idx="2236" formatCode="0.000">
                  <c:v>59.285789473684211</c:v>
                </c:pt>
                <c:pt idx="2237" formatCode="0.000">
                  <c:v>59.336842105263152</c:v>
                </c:pt>
                <c:pt idx="2238" formatCode="0.000">
                  <c:v>59.406842105263159</c:v>
                </c:pt>
                <c:pt idx="2239" formatCode="0.000">
                  <c:v>59.523684210526319</c:v>
                </c:pt>
                <c:pt idx="2240" formatCode="0.000">
                  <c:v>59.606842105263148</c:v>
                </c:pt>
                <c:pt idx="2241" formatCode="0.000">
                  <c:v>59.687368421052632</c:v>
                </c:pt>
                <c:pt idx="2242" formatCode="0.000">
                  <c:v>59.705789473684213</c:v>
                </c:pt>
                <c:pt idx="2243" formatCode="0.000">
                  <c:v>59.729473684210532</c:v>
                </c:pt>
                <c:pt idx="2244" formatCode="0.000">
                  <c:v>59.762105263157899</c:v>
                </c:pt>
                <c:pt idx="2245" formatCode="0.000">
                  <c:v>59.804210526315785</c:v>
                </c:pt>
                <c:pt idx="2246" formatCode="0.000">
                  <c:v>59.808421052631587</c:v>
                </c:pt>
                <c:pt idx="2247" formatCode="0.000">
                  <c:v>59.783684210526324</c:v>
                </c:pt>
                <c:pt idx="2248" formatCode="0.000">
                  <c:v>59.847894736842115</c:v>
                </c:pt>
                <c:pt idx="2249" formatCode="0.000">
                  <c:v>59.893684210526317</c:v>
                </c:pt>
                <c:pt idx="2250" formatCode="0.000">
                  <c:v>59.889999999999993</c:v>
                </c:pt>
                <c:pt idx="2251" formatCode="0.000">
                  <c:v>59.886842105263156</c:v>
                </c:pt>
                <c:pt idx="2252" formatCode="0.000">
                  <c:v>59.8757894736842</c:v>
                </c:pt>
                <c:pt idx="2253" formatCode="0.000">
                  <c:v>59.876842105263151</c:v>
                </c:pt>
                <c:pt idx="2254" formatCode="0.000">
                  <c:v>59.833157894736829</c:v>
                </c:pt>
                <c:pt idx="2255" formatCode="0.000">
                  <c:v>59.817894736842113</c:v>
                </c:pt>
                <c:pt idx="2256" formatCode="0.000">
                  <c:v>59.784210526315796</c:v>
                </c:pt>
                <c:pt idx="2257" formatCode="0.000">
                  <c:v>59.73842105263158</c:v>
                </c:pt>
                <c:pt idx="2258" formatCode="0.000">
                  <c:v>59.715789473684218</c:v>
                </c:pt>
                <c:pt idx="2259" formatCode="0.000">
                  <c:v>59.706315789473685</c:v>
                </c:pt>
                <c:pt idx="2260" formatCode="0.000">
                  <c:v>59.751052631578958</c:v>
                </c:pt>
                <c:pt idx="2261" formatCode="0.000">
                  <c:v>59.873684210526321</c:v>
                </c:pt>
                <c:pt idx="2262" formatCode="0.000">
                  <c:v>59.978421052631589</c:v>
                </c:pt>
                <c:pt idx="2263" formatCode="0.000">
                  <c:v>60.074736842105267</c:v>
                </c:pt>
                <c:pt idx="2264" formatCode="0.000">
                  <c:v>60.126315789473686</c:v>
                </c:pt>
                <c:pt idx="2265" formatCode="0.000">
                  <c:v>60.14947368421052</c:v>
                </c:pt>
                <c:pt idx="2266" formatCode="0.000">
                  <c:v>60.19736842105263</c:v>
                </c:pt>
                <c:pt idx="2267" formatCode="0.000">
                  <c:v>60.146842105263168</c:v>
                </c:pt>
                <c:pt idx="2268" formatCode="0.000">
                  <c:v>60.093684210526327</c:v>
                </c:pt>
                <c:pt idx="2269" formatCode="0.000">
                  <c:v>60.081578947368428</c:v>
                </c:pt>
                <c:pt idx="2270" formatCode="0.000">
                  <c:v>60.059473684210531</c:v>
                </c:pt>
                <c:pt idx="2271" formatCode="0.000">
                  <c:v>60.036315789473676</c:v>
                </c:pt>
                <c:pt idx="2272" formatCode="0.000">
                  <c:v>60.015789473684208</c:v>
                </c:pt>
                <c:pt idx="2273" formatCode="0.000">
                  <c:v>60.013684210526314</c:v>
                </c:pt>
                <c:pt idx="2274" formatCode="0.000">
                  <c:v>60.042105263157893</c:v>
                </c:pt>
                <c:pt idx="2275" formatCode="0.000">
                  <c:v>60.10263157894736</c:v>
                </c:pt>
                <c:pt idx="2276" formatCode="0.000">
                  <c:v>60.198947368421038</c:v>
                </c:pt>
                <c:pt idx="2277" formatCode="0.000">
                  <c:v>60.256842105263154</c:v>
                </c:pt>
                <c:pt idx="2278" formatCode="0.000">
                  <c:v>60.28263157894736</c:v>
                </c:pt>
                <c:pt idx="2279" formatCode="0.000">
                  <c:v>60.25263157894738</c:v>
                </c:pt>
                <c:pt idx="2280" formatCode="0.000">
                  <c:v>60.199473684210538</c:v>
                </c:pt>
                <c:pt idx="2281" formatCode="0.000">
                  <c:v>60.17842105263157</c:v>
                </c:pt>
                <c:pt idx="2282" formatCode="0.000">
                  <c:v>60.140000000000008</c:v>
                </c:pt>
                <c:pt idx="2283" formatCode="0.000">
                  <c:v>60.12842105263158</c:v>
                </c:pt>
                <c:pt idx="2284" formatCode="0.000">
                  <c:v>60.131578947368418</c:v>
                </c:pt>
                <c:pt idx="2285" formatCode="0.000">
                  <c:v>60.138947368421057</c:v>
                </c:pt>
                <c:pt idx="2286" formatCode="0.000">
                  <c:v>60.192105263157899</c:v>
                </c:pt>
                <c:pt idx="2287" formatCode="0.000">
                  <c:v>60.278947368421065</c:v>
                </c:pt>
                <c:pt idx="2288" formatCode="0.000">
                  <c:v>60.324736842105267</c:v>
                </c:pt>
                <c:pt idx="2289" formatCode="0.000">
                  <c:v>60.357894736842113</c:v>
                </c:pt>
                <c:pt idx="2290" formatCode="0.000">
                  <c:v>60.372631578947363</c:v>
                </c:pt>
                <c:pt idx="2291" formatCode="0.000">
                  <c:v>60.365263157894731</c:v>
                </c:pt>
                <c:pt idx="2292" formatCode="0.000">
                  <c:v>60.364736842105252</c:v>
                </c:pt>
                <c:pt idx="2293" formatCode="0.000">
                  <c:v>60.313684210526304</c:v>
                </c:pt>
                <c:pt idx="2294" formatCode="0.000">
                  <c:v>60.272631578947362</c:v>
                </c:pt>
                <c:pt idx="2295" formatCode="0.000">
                  <c:v>60.156842105263159</c:v>
                </c:pt>
                <c:pt idx="2296" formatCode="0.000">
                  <c:v>60.08052631578947</c:v>
                </c:pt>
                <c:pt idx="2297" formatCode="0.000">
                  <c:v>59.996315789473677</c:v>
                </c:pt>
                <c:pt idx="2298" formatCode="0.000">
                  <c:v>59.891578947368423</c:v>
                </c:pt>
                <c:pt idx="2299" formatCode="0.000">
                  <c:v>59.777368421052628</c:v>
                </c:pt>
                <c:pt idx="2300" formatCode="0.000">
                  <c:v>59.659473684210511</c:v>
                </c:pt>
                <c:pt idx="2301" formatCode="0.000">
                  <c:v>59.577368421052618</c:v>
                </c:pt>
                <c:pt idx="2302" formatCode="0.000">
                  <c:v>59.560526315789481</c:v>
                </c:pt>
                <c:pt idx="2303" formatCode="0.000">
                  <c:v>59.568421052631564</c:v>
                </c:pt>
                <c:pt idx="2304" formatCode="0.000">
                  <c:v>59.573684210526309</c:v>
                </c:pt>
                <c:pt idx="2305" formatCode="0.000">
                  <c:v>59.601052631578938</c:v>
                </c:pt>
                <c:pt idx="2306" formatCode="0.000">
                  <c:v>59.63052631578946</c:v>
                </c:pt>
                <c:pt idx="2307" formatCode="0.000">
                  <c:v>59.686315789473667</c:v>
                </c:pt>
                <c:pt idx="2308" formatCode="0.000">
                  <c:v>59.78578947368419</c:v>
                </c:pt>
                <c:pt idx="2309" formatCode="0.000">
                  <c:v>59.8878947368421</c:v>
                </c:pt>
                <c:pt idx="2310" formatCode="0.000">
                  <c:v>60.026315789473685</c:v>
                </c:pt>
                <c:pt idx="2311" formatCode="0.000">
                  <c:v>60.156842105263145</c:v>
                </c:pt>
                <c:pt idx="2312" formatCode="0.000">
                  <c:v>60.309473684210523</c:v>
                </c:pt>
                <c:pt idx="2313" formatCode="0.000">
                  <c:v>60.447894736842095</c:v>
                </c:pt>
                <c:pt idx="2314" formatCode="0.000">
                  <c:v>60.642631578947359</c:v>
                </c:pt>
                <c:pt idx="2315" formatCode="0.000">
                  <c:v>60.842631578947341</c:v>
                </c:pt>
                <c:pt idx="2316" formatCode="0.000">
                  <c:v>61.084736842105258</c:v>
                </c:pt>
                <c:pt idx="2317" formatCode="0.000">
                  <c:v>61.354210526315789</c:v>
                </c:pt>
                <c:pt idx="2318" formatCode="0.000">
                  <c:v>61.64473684210526</c:v>
                </c:pt>
                <c:pt idx="2319" formatCode="0.000">
                  <c:v>61.886315789473677</c:v>
                </c:pt>
                <c:pt idx="2320" formatCode="0.000">
                  <c:v>62.108421052631577</c:v>
                </c:pt>
                <c:pt idx="2321" formatCode="0.000">
                  <c:v>62.274210526315791</c:v>
                </c:pt>
                <c:pt idx="2322" formatCode="0.000">
                  <c:v>62.404736842105265</c:v>
                </c:pt>
                <c:pt idx="2323" formatCode="0.000">
                  <c:v>62.506315789473682</c:v>
                </c:pt>
                <c:pt idx="2324" formatCode="0.000">
                  <c:v>62.577894736842119</c:v>
                </c:pt>
                <c:pt idx="2325" formatCode="0.000">
                  <c:v>62.644210526315803</c:v>
                </c:pt>
                <c:pt idx="2326" formatCode="0.000">
                  <c:v>62.662631578947376</c:v>
                </c:pt>
                <c:pt idx="2327" formatCode="0.000">
                  <c:v>62.660526315789468</c:v>
                </c:pt>
                <c:pt idx="2328" formatCode="0.000">
                  <c:v>62.663157894736834</c:v>
                </c:pt>
                <c:pt idx="2329" formatCode="0.000">
                  <c:v>62.651052631578942</c:v>
                </c:pt>
                <c:pt idx="2330" formatCode="0.000">
                  <c:v>62.650000000000006</c:v>
                </c:pt>
                <c:pt idx="2331" formatCode="0.000">
                  <c:v>62.690000000000005</c:v>
                </c:pt>
                <c:pt idx="2332" formatCode="0.000">
                  <c:v>62.720526315789492</c:v>
                </c:pt>
                <c:pt idx="2333" formatCode="0.000">
                  <c:v>62.790000000000013</c:v>
                </c:pt>
                <c:pt idx="2334" formatCode="0.000">
                  <c:v>62.846315789473692</c:v>
                </c:pt>
                <c:pt idx="2335" formatCode="0.000">
                  <c:v>62.913157894736848</c:v>
                </c:pt>
                <c:pt idx="2336" formatCode="0.000">
                  <c:v>62.947368421052644</c:v>
                </c:pt>
                <c:pt idx="2337" formatCode="0.000">
                  <c:v>62.947894736842102</c:v>
                </c:pt>
                <c:pt idx="2338" formatCode="0.000">
                  <c:v>62.971578947368421</c:v>
                </c:pt>
                <c:pt idx="2339" formatCode="0.000">
                  <c:v>62.958421052631572</c:v>
                </c:pt>
                <c:pt idx="2340" formatCode="0.000">
                  <c:v>62.941052631578941</c:v>
                </c:pt>
                <c:pt idx="2341" formatCode="0.000">
                  <c:v>62.915789473684207</c:v>
                </c:pt>
                <c:pt idx="2342" formatCode="0.000">
                  <c:v>62.918421052631558</c:v>
                </c:pt>
                <c:pt idx="2343" formatCode="0.000">
                  <c:v>62.903684210526322</c:v>
                </c:pt>
                <c:pt idx="2344" formatCode="0.000">
                  <c:v>62.860526315789478</c:v>
                </c:pt>
                <c:pt idx="2345" formatCode="0.000">
                  <c:v>62.896315789473682</c:v>
                </c:pt>
                <c:pt idx="2346" formatCode="0.000">
                  <c:v>63</c:v>
                </c:pt>
                <c:pt idx="2347" formatCode="0.000">
                  <c:v>63.106315789473683</c:v>
                </c:pt>
                <c:pt idx="2348" formatCode="0.000">
                  <c:v>63.229999999999983</c:v>
                </c:pt>
                <c:pt idx="2349" formatCode="0.000">
                  <c:v>63.332105263157892</c:v>
                </c:pt>
                <c:pt idx="2350" formatCode="0.000">
                  <c:v>63.370000000000012</c:v>
                </c:pt>
                <c:pt idx="2351" formatCode="0.000">
                  <c:v>63.388421052631585</c:v>
                </c:pt>
                <c:pt idx="2352" formatCode="0.000">
                  <c:v>63.346842105263157</c:v>
                </c:pt>
                <c:pt idx="2353" formatCode="0.000">
                  <c:v>63.315789473684212</c:v>
                </c:pt>
                <c:pt idx="2354" formatCode="0.000">
                  <c:v>63.29526315789473</c:v>
                </c:pt>
                <c:pt idx="2355" formatCode="0.000">
                  <c:v>63.245263157894726</c:v>
                </c:pt>
                <c:pt idx="2356" formatCode="0.000">
                  <c:v>63.197894736842102</c:v>
                </c:pt>
                <c:pt idx="2357" formatCode="0.000">
                  <c:v>63.16</c:v>
                </c:pt>
                <c:pt idx="2358" formatCode="0.000">
                  <c:v>63.17157894736841</c:v>
                </c:pt>
                <c:pt idx="2359" formatCode="0.000">
                  <c:v>63.208947368421057</c:v>
                </c:pt>
                <c:pt idx="2360" formatCode="0.000">
                  <c:v>63.254210526315795</c:v>
                </c:pt>
                <c:pt idx="2361" formatCode="0.000">
                  <c:v>63.341052631578961</c:v>
                </c:pt>
                <c:pt idx="2362" formatCode="0.000">
                  <c:v>63.476842105263167</c:v>
                </c:pt>
                <c:pt idx="2363" formatCode="0.000">
                  <c:v>63.635263157894748</c:v>
                </c:pt>
                <c:pt idx="2364" formatCode="0.000">
                  <c:v>63.767894736842116</c:v>
                </c:pt>
                <c:pt idx="2365" formatCode="0.000">
                  <c:v>63.809999999999995</c:v>
                </c:pt>
                <c:pt idx="2366" formatCode="0.000">
                  <c:v>63.868947368421054</c:v>
                </c:pt>
                <c:pt idx="2367" formatCode="0.000">
                  <c:v>63.961578947368423</c:v>
                </c:pt>
                <c:pt idx="2368" formatCode="0.000">
                  <c:v>64.075263157894724</c:v>
                </c:pt>
                <c:pt idx="2369" formatCode="0.000">
                  <c:v>64.254210526315774</c:v>
                </c:pt>
                <c:pt idx="2370" formatCode="0.000">
                  <c:v>64.441052631578927</c:v>
                </c:pt>
                <c:pt idx="2371" formatCode="0.000">
                  <c:v>64.679473684210521</c:v>
                </c:pt>
                <c:pt idx="2372" formatCode="0.000">
                  <c:v>64.858947368421056</c:v>
                </c:pt>
                <c:pt idx="2373" formatCode="0.000">
                  <c:v>65.08</c:v>
                </c:pt>
                <c:pt idx="2374" formatCode="0.000">
                  <c:v>65.415263157894728</c:v>
                </c:pt>
                <c:pt idx="2375" formatCode="0.000">
                  <c:v>65.699999999999989</c:v>
                </c:pt>
                <c:pt idx="2376" formatCode="0.000">
                  <c:v>65.974736842105244</c:v>
                </c:pt>
                <c:pt idx="2377" formatCode="0.000">
                  <c:v>66.256842105263146</c:v>
                </c:pt>
                <c:pt idx="2378" formatCode="0.000">
                  <c:v>66.521578947368425</c:v>
                </c:pt>
                <c:pt idx="2379" formatCode="0.000">
                  <c:v>66.798947368421054</c:v>
                </c:pt>
                <c:pt idx="2380" formatCode="0.000">
                  <c:v>67.004210526315802</c:v>
                </c:pt>
                <c:pt idx="2381" formatCode="0.000">
                  <c:v>67.175263157894761</c:v>
                </c:pt>
                <c:pt idx="2382" formatCode="0.000">
                  <c:v>67.353684210526325</c:v>
                </c:pt>
                <c:pt idx="2383" formatCode="0.000">
                  <c:v>67.530526315789487</c:v>
                </c:pt>
                <c:pt idx="2384" formatCode="0.000">
                  <c:v>67.762631578947364</c:v>
                </c:pt>
                <c:pt idx="2385" formatCode="0.000">
                  <c:v>67.974210526315801</c:v>
                </c:pt>
                <c:pt idx="2386" formatCode="0.000">
                  <c:v>68.162105263157912</c:v>
                </c:pt>
                <c:pt idx="2387" formatCode="0.000">
                  <c:v>68.346315789473664</c:v>
                </c:pt>
                <c:pt idx="2388" formatCode="0.000">
                  <c:v>68.466315789473683</c:v>
                </c:pt>
                <c:pt idx="2389" formatCode="0.000">
                  <c:v>68.622105263157891</c:v>
                </c:pt>
                <c:pt idx="2390" formatCode="0.000">
                  <c:v>68.788421052631563</c:v>
                </c:pt>
                <c:pt idx="2391" formatCode="0.000">
                  <c:v>69.038947368421049</c:v>
                </c:pt>
                <c:pt idx="2392" formatCode="0.000">
                  <c:v>69.23842105263158</c:v>
                </c:pt>
                <c:pt idx="2393" formatCode="0.000">
                  <c:v>69.381578947368425</c:v>
                </c:pt>
                <c:pt idx="2394" formatCode="0.000">
                  <c:v>69.611578947368429</c:v>
                </c:pt>
                <c:pt idx="2395" formatCode="0.000">
                  <c:v>69.872631578947377</c:v>
                </c:pt>
                <c:pt idx="2396" formatCode="0.000">
                  <c:v>70.088421052631574</c:v>
                </c:pt>
                <c:pt idx="2397" formatCode="0.000">
                  <c:v>70.216842105263154</c:v>
                </c:pt>
                <c:pt idx="2398" formatCode="0.000">
                  <c:v>70.346315789473692</c:v>
                </c:pt>
                <c:pt idx="2399" formatCode="0.000">
                  <c:v>70.540000000000006</c:v>
                </c:pt>
                <c:pt idx="2400" formatCode="0.000">
                  <c:v>70.702631578947376</c:v>
                </c:pt>
                <c:pt idx="2401" formatCode="0.000">
                  <c:v>70.834210526315786</c:v>
                </c:pt>
                <c:pt idx="2402" formatCode="0.000">
                  <c:v>70.969999999999985</c:v>
                </c:pt>
                <c:pt idx="2403" formatCode="0.000">
                  <c:v>71.087368421052631</c:v>
                </c:pt>
                <c:pt idx="2404" formatCode="0.000">
                  <c:v>71.251578947368415</c:v>
                </c:pt>
                <c:pt idx="2405" formatCode="0.000">
                  <c:v>71.378947368421038</c:v>
                </c:pt>
                <c:pt idx="2406" formatCode="0.000">
                  <c:v>71.493684210526311</c:v>
                </c:pt>
                <c:pt idx="2407" formatCode="0.000">
                  <c:v>71.561578947368432</c:v>
                </c:pt>
                <c:pt idx="2408" formatCode="0.000">
                  <c:v>71.658947368421067</c:v>
                </c:pt>
                <c:pt idx="2409" formatCode="0.000">
                  <c:v>71.70578947368422</c:v>
                </c:pt>
                <c:pt idx="2410" formatCode="0.000">
                  <c:v>71.696842105263158</c:v>
                </c:pt>
                <c:pt idx="2411" formatCode="0.000">
                  <c:v>71.68105263157895</c:v>
                </c:pt>
                <c:pt idx="2412" formatCode="0.000">
                  <c:v>71.646842105263161</c:v>
                </c:pt>
                <c:pt idx="2413" formatCode="0.000">
                  <c:v>71.611052631578943</c:v>
                </c:pt>
                <c:pt idx="2414" formatCode="0.000">
                  <c:v>71.550526315789469</c:v>
                </c:pt>
                <c:pt idx="2415" formatCode="0.000">
                  <c:v>71.505789473684203</c:v>
                </c:pt>
                <c:pt idx="2416" formatCode="0.000">
                  <c:v>71.497368421052627</c:v>
                </c:pt>
                <c:pt idx="2417" formatCode="0.000">
                  <c:v>71.464736842105253</c:v>
                </c:pt>
                <c:pt idx="2418" formatCode="0.000">
                  <c:v>71.376315789473693</c:v>
                </c:pt>
                <c:pt idx="2419" formatCode="0.000">
                  <c:v>71.242631578947382</c:v>
                </c:pt>
                <c:pt idx="2420" formatCode="0.000">
                  <c:v>71.142631578947388</c:v>
                </c:pt>
                <c:pt idx="2421" formatCode="0.000">
                  <c:v>71.055263157894743</c:v>
                </c:pt>
                <c:pt idx="2422" formatCode="0.000">
                  <c:v>70.941578947368413</c:v>
                </c:pt>
                <c:pt idx="2423" formatCode="0.000">
                  <c:v>70.808421052631573</c:v>
                </c:pt>
                <c:pt idx="2424" formatCode="0.000">
                  <c:v>70.731578947368405</c:v>
                </c:pt>
                <c:pt idx="2425" formatCode="0.000">
                  <c:v>70.65736842105261</c:v>
                </c:pt>
                <c:pt idx="2426" formatCode="0.000">
                  <c:v>70.654736842105237</c:v>
                </c:pt>
                <c:pt idx="2427" formatCode="0.000">
                  <c:v>70.563157894736818</c:v>
                </c:pt>
                <c:pt idx="2428" formatCode="0.000">
                  <c:v>70.495263157894726</c:v>
                </c:pt>
                <c:pt idx="2429" formatCode="0.000">
                  <c:v>70.39631578947369</c:v>
                </c:pt>
                <c:pt idx="2430" formatCode="0.000">
                  <c:v>70.291052631578964</c:v>
                </c:pt>
                <c:pt idx="2431" formatCode="0.000">
                  <c:v>70.112631578947372</c:v>
                </c:pt>
                <c:pt idx="2432" formatCode="0.000">
                  <c:v>69.876315789473679</c:v>
                </c:pt>
                <c:pt idx="2433" formatCode="0.000">
                  <c:v>69.616315789473688</c:v>
                </c:pt>
                <c:pt idx="2434" formatCode="0.000">
                  <c:v>69.351052631578952</c:v>
                </c:pt>
                <c:pt idx="2435" formatCode="0.000">
                  <c:v>69.06421052631579</c:v>
                </c:pt>
                <c:pt idx="2436" formatCode="0.000">
                  <c:v>68.822105263157894</c:v>
                </c:pt>
                <c:pt idx="2437" formatCode="0.000">
                  <c:v>68.566315789473677</c:v>
                </c:pt>
                <c:pt idx="2438" formatCode="0.000">
                  <c:v>68.355789473684212</c:v>
                </c:pt>
                <c:pt idx="2439" formatCode="0.000">
                  <c:v>68.141578947368416</c:v>
                </c:pt>
                <c:pt idx="2440" formatCode="0.000">
                  <c:v>67.920526315789459</c:v>
                </c:pt>
                <c:pt idx="2441" formatCode="0.000">
                  <c:v>67.628421052631566</c:v>
                </c:pt>
                <c:pt idx="2442" formatCode="0.000">
                  <c:v>67.31736842105262</c:v>
                </c:pt>
                <c:pt idx="2443" formatCode="0.000">
                  <c:v>66.979473684210532</c:v>
                </c:pt>
                <c:pt idx="2444" formatCode="0.000">
                  <c:v>66.6121052631579</c:v>
                </c:pt>
                <c:pt idx="2445" formatCode="0.000">
                  <c:v>66.224210526315801</c:v>
                </c:pt>
                <c:pt idx="2446" formatCode="0.000">
                  <c:v>65.861052631578943</c:v>
                </c:pt>
                <c:pt idx="2447" formatCode="0.000">
                  <c:v>65.445789473684215</c:v>
                </c:pt>
                <c:pt idx="2448" formatCode="0.000">
                  <c:v>65.040000000000006</c:v>
                </c:pt>
                <c:pt idx="2449" formatCode="0.000">
                  <c:v>64.640526315789472</c:v>
                </c:pt>
                <c:pt idx="2450" formatCode="0.000">
                  <c:v>64.355263157894726</c:v>
                </c:pt>
                <c:pt idx="2451" formatCode="0.000">
                  <c:v>64.128421052631566</c:v>
                </c:pt>
                <c:pt idx="2452" formatCode="0.000">
                  <c:v>63.962105263157895</c:v>
                </c:pt>
                <c:pt idx="2453" formatCode="0.000">
                  <c:v>63.817368421052628</c:v>
                </c:pt>
                <c:pt idx="2454" formatCode="0.000">
                  <c:v>63.755263157894753</c:v>
                </c:pt>
                <c:pt idx="2455" formatCode="0.000">
                  <c:v>63.68315789473683</c:v>
                </c:pt>
                <c:pt idx="2456" formatCode="0.000">
                  <c:v>63.636842105263156</c:v>
                </c:pt>
                <c:pt idx="2457" formatCode="0.000">
                  <c:v>63.587894736842109</c:v>
                </c:pt>
                <c:pt idx="2458" formatCode="0.000">
                  <c:v>63.511052631578949</c:v>
                </c:pt>
                <c:pt idx="2459" formatCode="0.000">
                  <c:v>63.413684210526313</c:v>
                </c:pt>
                <c:pt idx="2460" formatCode="0.000">
                  <c:v>63.33526315789473</c:v>
                </c:pt>
                <c:pt idx="2461" formatCode="0.000">
                  <c:v>63.296315789473688</c:v>
                </c:pt>
                <c:pt idx="2462" formatCode="0.000">
                  <c:v>63.223157894736843</c:v>
                </c:pt>
                <c:pt idx="2463" formatCode="0.000">
                  <c:v>63.183157894736844</c:v>
                </c:pt>
                <c:pt idx="2464" formatCode="0.000">
                  <c:v>63.167894736842108</c:v>
                </c:pt>
                <c:pt idx="2465" formatCode="0.000">
                  <c:v>63.148947368421062</c:v>
                </c:pt>
                <c:pt idx="2466" formatCode="0.000">
                  <c:v>63.216842105263161</c:v>
                </c:pt>
                <c:pt idx="2467" formatCode="0.000">
                  <c:v>63.289473684210513</c:v>
                </c:pt>
                <c:pt idx="2468" formatCode="0.000">
                  <c:v>63.325789473684203</c:v>
                </c:pt>
                <c:pt idx="2469" formatCode="0.000">
                  <c:v>63.368421052631582</c:v>
                </c:pt>
                <c:pt idx="2470" formatCode="0.000">
                  <c:v>63.361052631578943</c:v>
                </c:pt>
                <c:pt idx="2471" formatCode="0.000">
                  <c:v>63.292105263157893</c:v>
                </c:pt>
                <c:pt idx="2472" formatCode="0.000">
                  <c:v>63.219999999999992</c:v>
                </c:pt>
                <c:pt idx="2473" formatCode="0.000">
                  <c:v>63.114736842105266</c:v>
                </c:pt>
                <c:pt idx="2474" formatCode="0.000">
                  <c:v>63.024736842105263</c:v>
                </c:pt>
                <c:pt idx="2475" formatCode="0.000">
                  <c:v>62.926842105263155</c:v>
                </c:pt>
                <c:pt idx="2476" formatCode="0.000">
                  <c:v>62.841052631578947</c:v>
                </c:pt>
                <c:pt idx="2477" formatCode="0.000">
                  <c:v>62.755789473684217</c:v>
                </c:pt>
                <c:pt idx="2478" formatCode="0.000">
                  <c:v>62.689473684210519</c:v>
                </c:pt>
                <c:pt idx="2479" formatCode="0.000">
                  <c:v>62.670000000000016</c:v>
                </c:pt>
                <c:pt idx="2480" formatCode="0.000">
                  <c:v>62.608421052631577</c:v>
                </c:pt>
                <c:pt idx="2481" formatCode="0.000">
                  <c:v>62.517894736842102</c:v>
                </c:pt>
                <c:pt idx="2482" formatCode="0.000">
                  <c:v>62.425263157894733</c:v>
                </c:pt>
                <c:pt idx="2483" formatCode="0.000">
                  <c:v>62.3621052631579</c:v>
                </c:pt>
                <c:pt idx="2484" formatCode="0.000">
                  <c:v>62.279473684210522</c:v>
                </c:pt>
                <c:pt idx="2485" formatCode="0.000">
                  <c:v>62.164210526315799</c:v>
                </c:pt>
                <c:pt idx="2486" formatCode="0.000">
                  <c:v>62.107368421052641</c:v>
                </c:pt>
                <c:pt idx="2487" formatCode="0.000">
                  <c:v>62.066315789473698</c:v>
                </c:pt>
                <c:pt idx="2488" formatCode="0.000">
                  <c:v>62.005789473684217</c:v>
                </c:pt>
                <c:pt idx="2489" formatCode="0.000">
                  <c:v>61.998421052631592</c:v>
                </c:pt>
                <c:pt idx="2490" formatCode="0.000">
                  <c:v>61.996842105263163</c:v>
                </c:pt>
                <c:pt idx="2491" formatCode="0.000">
                  <c:v>61.956315789473685</c:v>
                </c:pt>
                <c:pt idx="2492" formatCode="0.000">
                  <c:v>61.911578947368419</c:v>
                </c:pt>
                <c:pt idx="2493" formatCode="0.000">
                  <c:v>61.863157894736844</c:v>
                </c:pt>
                <c:pt idx="2494" formatCode="0.000">
                  <c:v>61.931578947368415</c:v>
                </c:pt>
                <c:pt idx="2495" formatCode="0.000">
                  <c:v>61.926842105263141</c:v>
                </c:pt>
                <c:pt idx="2496" formatCode="0.000">
                  <c:v>61.968947368421034</c:v>
                </c:pt>
                <c:pt idx="2497" formatCode="0.000">
                  <c:v>62.063157894736833</c:v>
                </c:pt>
                <c:pt idx="2498" formatCode="0.000">
                  <c:v>62.14947368421052</c:v>
                </c:pt>
                <c:pt idx="2499" formatCode="0.000">
                  <c:v>62.233684210526306</c:v>
                </c:pt>
                <c:pt idx="2500" formatCode="0.000">
                  <c:v>62.331578947368406</c:v>
                </c:pt>
                <c:pt idx="2501" formatCode="0.000">
                  <c:v>62.451578947368418</c:v>
                </c:pt>
                <c:pt idx="2502" formatCode="0.000">
                  <c:v>62.53842105263157</c:v>
                </c:pt>
                <c:pt idx="2503" formatCode="0.000">
                  <c:v>62.68421052631578</c:v>
                </c:pt>
                <c:pt idx="2504" formatCode="0.000">
                  <c:v>62.836842105263152</c:v>
                </c:pt>
                <c:pt idx="2505" formatCode="0.000">
                  <c:v>63.129473684210517</c:v>
                </c:pt>
                <c:pt idx="2506" formatCode="0.000">
                  <c:v>63.494736842105269</c:v>
                </c:pt>
                <c:pt idx="2507" formatCode="0.000">
                  <c:v>63.876315789473686</c:v>
                </c:pt>
                <c:pt idx="2508" formatCode="0.000">
                  <c:v>64.200526315789475</c:v>
                </c:pt>
                <c:pt idx="2509" formatCode="0.000">
                  <c:v>64.549473684210511</c:v>
                </c:pt>
                <c:pt idx="2510" formatCode="0.000">
                  <c:v>64.985789473684207</c:v>
                </c:pt>
                <c:pt idx="2511" formatCode="0.000">
                  <c:v>65.433684210526309</c:v>
                </c:pt>
                <c:pt idx="2512" formatCode="0.000">
                  <c:v>65.929999999999993</c:v>
                </c:pt>
                <c:pt idx="2513" formatCode="0.000">
                  <c:v>66.283684210526303</c:v>
                </c:pt>
                <c:pt idx="2514" formatCode="0.000">
                  <c:v>66.764210526315779</c:v>
                </c:pt>
                <c:pt idx="2515" formatCode="0.000">
                  <c:v>67.183684210526309</c:v>
                </c:pt>
                <c:pt idx="2516" formatCode="0.000">
                  <c:v>67.542631578947365</c:v>
                </c:pt>
              </c:numCache>
            </c:numRef>
          </c:val>
        </c:ser>
        <c:ser>
          <c:idx val="2"/>
          <c:order val="2"/>
          <c:tx>
            <c:strRef>
              <c:f>'Coca-Cola Stock Price History'!$L$5</c:f>
              <c:strCache>
                <c:ptCount val="1"/>
                <c:pt idx="0">
                  <c:v>MA50</c:v>
                </c:pt>
              </c:strCache>
            </c:strRef>
          </c:tx>
          <c:marker>
            <c:symbol val="none"/>
          </c:marker>
          <c:cat>
            <c:numRef>
              <c:f>'Coca-Cola Stock Price History'!$B$6:$B$2522</c:f>
              <c:numCache>
                <c:formatCode>mm/dd/yy;@</c:formatCode>
                <c:ptCount val="2517"/>
                <c:pt idx="1">
                  <c:v>42065</c:v>
                </c:pt>
                <c:pt idx="2">
                  <c:v>42066</c:v>
                </c:pt>
                <c:pt idx="3">
                  <c:v>42067</c:v>
                </c:pt>
                <c:pt idx="4">
                  <c:v>42068</c:v>
                </c:pt>
                <c:pt idx="5">
                  <c:v>42069</c:v>
                </c:pt>
                <c:pt idx="6">
                  <c:v>42072</c:v>
                </c:pt>
                <c:pt idx="7">
                  <c:v>42073</c:v>
                </c:pt>
                <c:pt idx="8">
                  <c:v>42074</c:v>
                </c:pt>
                <c:pt idx="9">
                  <c:v>42075</c:v>
                </c:pt>
                <c:pt idx="10">
                  <c:v>42076</c:v>
                </c:pt>
                <c:pt idx="11">
                  <c:v>42079</c:v>
                </c:pt>
                <c:pt idx="12">
                  <c:v>42080</c:v>
                </c:pt>
                <c:pt idx="13">
                  <c:v>42081</c:v>
                </c:pt>
                <c:pt idx="14">
                  <c:v>42082</c:v>
                </c:pt>
                <c:pt idx="15">
                  <c:v>42083</c:v>
                </c:pt>
                <c:pt idx="16">
                  <c:v>42086</c:v>
                </c:pt>
                <c:pt idx="17">
                  <c:v>42087</c:v>
                </c:pt>
                <c:pt idx="18">
                  <c:v>42088</c:v>
                </c:pt>
                <c:pt idx="19">
                  <c:v>42089</c:v>
                </c:pt>
                <c:pt idx="20">
                  <c:v>42090</c:v>
                </c:pt>
                <c:pt idx="21">
                  <c:v>42093</c:v>
                </c:pt>
                <c:pt idx="22">
                  <c:v>42094</c:v>
                </c:pt>
                <c:pt idx="23">
                  <c:v>42095</c:v>
                </c:pt>
                <c:pt idx="24">
                  <c:v>42096</c:v>
                </c:pt>
                <c:pt idx="25">
                  <c:v>42100</c:v>
                </c:pt>
                <c:pt idx="26">
                  <c:v>42101</c:v>
                </c:pt>
                <c:pt idx="27">
                  <c:v>42102</c:v>
                </c:pt>
                <c:pt idx="28">
                  <c:v>42103</c:v>
                </c:pt>
                <c:pt idx="29">
                  <c:v>42104</c:v>
                </c:pt>
                <c:pt idx="30">
                  <c:v>42107</c:v>
                </c:pt>
                <c:pt idx="31">
                  <c:v>42108</c:v>
                </c:pt>
                <c:pt idx="32">
                  <c:v>42109</c:v>
                </c:pt>
                <c:pt idx="33">
                  <c:v>42110</c:v>
                </c:pt>
                <c:pt idx="34">
                  <c:v>42111</c:v>
                </c:pt>
                <c:pt idx="35">
                  <c:v>42114</c:v>
                </c:pt>
                <c:pt idx="36">
                  <c:v>42115</c:v>
                </c:pt>
                <c:pt idx="37">
                  <c:v>42116</c:v>
                </c:pt>
                <c:pt idx="38">
                  <c:v>42117</c:v>
                </c:pt>
                <c:pt idx="39">
                  <c:v>42118</c:v>
                </c:pt>
                <c:pt idx="40">
                  <c:v>42121</c:v>
                </c:pt>
                <c:pt idx="41">
                  <c:v>42122</c:v>
                </c:pt>
                <c:pt idx="42">
                  <c:v>42123</c:v>
                </c:pt>
                <c:pt idx="43">
                  <c:v>42124</c:v>
                </c:pt>
                <c:pt idx="44">
                  <c:v>42125</c:v>
                </c:pt>
                <c:pt idx="45">
                  <c:v>42128</c:v>
                </c:pt>
                <c:pt idx="46">
                  <c:v>42129</c:v>
                </c:pt>
                <c:pt idx="47">
                  <c:v>42130</c:v>
                </c:pt>
                <c:pt idx="48">
                  <c:v>42131</c:v>
                </c:pt>
                <c:pt idx="49">
                  <c:v>42132</c:v>
                </c:pt>
                <c:pt idx="50">
                  <c:v>42135</c:v>
                </c:pt>
                <c:pt idx="51">
                  <c:v>42136</c:v>
                </c:pt>
                <c:pt idx="52">
                  <c:v>42137</c:v>
                </c:pt>
                <c:pt idx="53">
                  <c:v>42138</c:v>
                </c:pt>
                <c:pt idx="54">
                  <c:v>42139</c:v>
                </c:pt>
                <c:pt idx="55">
                  <c:v>42142</c:v>
                </c:pt>
                <c:pt idx="56">
                  <c:v>42143</c:v>
                </c:pt>
                <c:pt idx="57">
                  <c:v>42144</c:v>
                </c:pt>
                <c:pt idx="58">
                  <c:v>42145</c:v>
                </c:pt>
                <c:pt idx="59">
                  <c:v>42146</c:v>
                </c:pt>
                <c:pt idx="60">
                  <c:v>42150</c:v>
                </c:pt>
                <c:pt idx="61">
                  <c:v>42151</c:v>
                </c:pt>
                <c:pt idx="62">
                  <c:v>42152</c:v>
                </c:pt>
                <c:pt idx="63">
                  <c:v>42153</c:v>
                </c:pt>
                <c:pt idx="64">
                  <c:v>42156</c:v>
                </c:pt>
                <c:pt idx="65">
                  <c:v>42157</c:v>
                </c:pt>
                <c:pt idx="66">
                  <c:v>42158</c:v>
                </c:pt>
                <c:pt idx="67">
                  <c:v>42159</c:v>
                </c:pt>
                <c:pt idx="68">
                  <c:v>42160</c:v>
                </c:pt>
                <c:pt idx="69">
                  <c:v>42163</c:v>
                </c:pt>
                <c:pt idx="70">
                  <c:v>42164</c:v>
                </c:pt>
                <c:pt idx="71">
                  <c:v>42165</c:v>
                </c:pt>
                <c:pt idx="72">
                  <c:v>42166</c:v>
                </c:pt>
                <c:pt idx="73">
                  <c:v>42167</c:v>
                </c:pt>
                <c:pt idx="74">
                  <c:v>42170</c:v>
                </c:pt>
                <c:pt idx="75">
                  <c:v>42171</c:v>
                </c:pt>
                <c:pt idx="76">
                  <c:v>42172</c:v>
                </c:pt>
                <c:pt idx="77">
                  <c:v>42173</c:v>
                </c:pt>
                <c:pt idx="78">
                  <c:v>42174</c:v>
                </c:pt>
                <c:pt idx="79">
                  <c:v>42177</c:v>
                </c:pt>
                <c:pt idx="80">
                  <c:v>42178</c:v>
                </c:pt>
                <c:pt idx="81">
                  <c:v>42179</c:v>
                </c:pt>
                <c:pt idx="82">
                  <c:v>42180</c:v>
                </c:pt>
                <c:pt idx="83">
                  <c:v>42181</c:v>
                </c:pt>
                <c:pt idx="84">
                  <c:v>42184</c:v>
                </c:pt>
                <c:pt idx="85">
                  <c:v>42185</c:v>
                </c:pt>
                <c:pt idx="86">
                  <c:v>42186</c:v>
                </c:pt>
                <c:pt idx="87">
                  <c:v>42187</c:v>
                </c:pt>
                <c:pt idx="88">
                  <c:v>42191</c:v>
                </c:pt>
                <c:pt idx="89">
                  <c:v>42192</c:v>
                </c:pt>
                <c:pt idx="90">
                  <c:v>42193</c:v>
                </c:pt>
                <c:pt idx="91">
                  <c:v>42194</c:v>
                </c:pt>
                <c:pt idx="92">
                  <c:v>42195</c:v>
                </c:pt>
                <c:pt idx="93">
                  <c:v>42198</c:v>
                </c:pt>
                <c:pt idx="94">
                  <c:v>42199</c:v>
                </c:pt>
                <c:pt idx="95">
                  <c:v>42200</c:v>
                </c:pt>
                <c:pt idx="96">
                  <c:v>42201</c:v>
                </c:pt>
                <c:pt idx="97">
                  <c:v>42202</c:v>
                </c:pt>
                <c:pt idx="98">
                  <c:v>42205</c:v>
                </c:pt>
                <c:pt idx="99">
                  <c:v>42206</c:v>
                </c:pt>
                <c:pt idx="100">
                  <c:v>42207</c:v>
                </c:pt>
                <c:pt idx="101">
                  <c:v>42208</c:v>
                </c:pt>
                <c:pt idx="102">
                  <c:v>42209</c:v>
                </c:pt>
                <c:pt idx="103">
                  <c:v>42212</c:v>
                </c:pt>
                <c:pt idx="104">
                  <c:v>42213</c:v>
                </c:pt>
                <c:pt idx="105">
                  <c:v>42214</c:v>
                </c:pt>
                <c:pt idx="106">
                  <c:v>42215</c:v>
                </c:pt>
                <c:pt idx="107">
                  <c:v>42216</c:v>
                </c:pt>
                <c:pt idx="108">
                  <c:v>42219</c:v>
                </c:pt>
                <c:pt idx="109">
                  <c:v>42220</c:v>
                </c:pt>
                <c:pt idx="110">
                  <c:v>42221</c:v>
                </c:pt>
                <c:pt idx="111">
                  <c:v>42222</c:v>
                </c:pt>
                <c:pt idx="112">
                  <c:v>42223</c:v>
                </c:pt>
                <c:pt idx="113">
                  <c:v>42226</c:v>
                </c:pt>
                <c:pt idx="114">
                  <c:v>42227</c:v>
                </c:pt>
                <c:pt idx="115">
                  <c:v>42228</c:v>
                </c:pt>
                <c:pt idx="116">
                  <c:v>42229</c:v>
                </c:pt>
                <c:pt idx="117">
                  <c:v>42230</c:v>
                </c:pt>
                <c:pt idx="118">
                  <c:v>42233</c:v>
                </c:pt>
                <c:pt idx="119">
                  <c:v>42234</c:v>
                </c:pt>
                <c:pt idx="120">
                  <c:v>42235</c:v>
                </c:pt>
                <c:pt idx="121">
                  <c:v>42236</c:v>
                </c:pt>
                <c:pt idx="122">
                  <c:v>42237</c:v>
                </c:pt>
                <c:pt idx="123">
                  <c:v>42240</c:v>
                </c:pt>
                <c:pt idx="124">
                  <c:v>42241</c:v>
                </c:pt>
                <c:pt idx="125">
                  <c:v>42242</c:v>
                </c:pt>
                <c:pt idx="126">
                  <c:v>42243</c:v>
                </c:pt>
                <c:pt idx="127">
                  <c:v>42244</c:v>
                </c:pt>
                <c:pt idx="128">
                  <c:v>42247</c:v>
                </c:pt>
                <c:pt idx="129">
                  <c:v>42248</c:v>
                </c:pt>
                <c:pt idx="130">
                  <c:v>42249</c:v>
                </c:pt>
                <c:pt idx="131">
                  <c:v>42250</c:v>
                </c:pt>
                <c:pt idx="132">
                  <c:v>42251</c:v>
                </c:pt>
                <c:pt idx="133">
                  <c:v>42255</c:v>
                </c:pt>
                <c:pt idx="134">
                  <c:v>42256</c:v>
                </c:pt>
                <c:pt idx="135">
                  <c:v>42257</c:v>
                </c:pt>
                <c:pt idx="136">
                  <c:v>42258</c:v>
                </c:pt>
                <c:pt idx="137">
                  <c:v>42261</c:v>
                </c:pt>
                <c:pt idx="138">
                  <c:v>42262</c:v>
                </c:pt>
                <c:pt idx="139">
                  <c:v>42263</c:v>
                </c:pt>
                <c:pt idx="140">
                  <c:v>42264</c:v>
                </c:pt>
                <c:pt idx="141">
                  <c:v>42265</c:v>
                </c:pt>
                <c:pt idx="142">
                  <c:v>42268</c:v>
                </c:pt>
                <c:pt idx="143">
                  <c:v>42269</c:v>
                </c:pt>
                <c:pt idx="144">
                  <c:v>42270</c:v>
                </c:pt>
                <c:pt idx="145">
                  <c:v>42271</c:v>
                </c:pt>
                <c:pt idx="146">
                  <c:v>42272</c:v>
                </c:pt>
                <c:pt idx="147">
                  <c:v>42275</c:v>
                </c:pt>
                <c:pt idx="148">
                  <c:v>42276</c:v>
                </c:pt>
                <c:pt idx="149">
                  <c:v>42277</c:v>
                </c:pt>
                <c:pt idx="150">
                  <c:v>42278</c:v>
                </c:pt>
                <c:pt idx="151">
                  <c:v>42279</c:v>
                </c:pt>
                <c:pt idx="152">
                  <c:v>42282</c:v>
                </c:pt>
                <c:pt idx="153">
                  <c:v>42283</c:v>
                </c:pt>
                <c:pt idx="154">
                  <c:v>42284</c:v>
                </c:pt>
                <c:pt idx="155">
                  <c:v>42285</c:v>
                </c:pt>
                <c:pt idx="156">
                  <c:v>42286</c:v>
                </c:pt>
                <c:pt idx="157">
                  <c:v>42289</c:v>
                </c:pt>
                <c:pt idx="158">
                  <c:v>42290</c:v>
                </c:pt>
                <c:pt idx="159">
                  <c:v>42291</c:v>
                </c:pt>
                <c:pt idx="160">
                  <c:v>42292</c:v>
                </c:pt>
                <c:pt idx="161">
                  <c:v>42293</c:v>
                </c:pt>
                <c:pt idx="162">
                  <c:v>42296</c:v>
                </c:pt>
                <c:pt idx="163">
                  <c:v>42297</c:v>
                </c:pt>
                <c:pt idx="164">
                  <c:v>42298</c:v>
                </c:pt>
                <c:pt idx="165">
                  <c:v>42299</c:v>
                </c:pt>
                <c:pt idx="166">
                  <c:v>42300</c:v>
                </c:pt>
                <c:pt idx="167">
                  <c:v>42303</c:v>
                </c:pt>
                <c:pt idx="168">
                  <c:v>42304</c:v>
                </c:pt>
                <c:pt idx="169">
                  <c:v>42305</c:v>
                </c:pt>
                <c:pt idx="170">
                  <c:v>42306</c:v>
                </c:pt>
                <c:pt idx="171">
                  <c:v>42307</c:v>
                </c:pt>
                <c:pt idx="172">
                  <c:v>42310</c:v>
                </c:pt>
                <c:pt idx="173">
                  <c:v>42311</c:v>
                </c:pt>
                <c:pt idx="174">
                  <c:v>42312</c:v>
                </c:pt>
                <c:pt idx="175">
                  <c:v>42313</c:v>
                </c:pt>
                <c:pt idx="176">
                  <c:v>42314</c:v>
                </c:pt>
                <c:pt idx="177">
                  <c:v>42317</c:v>
                </c:pt>
                <c:pt idx="178">
                  <c:v>42318</c:v>
                </c:pt>
                <c:pt idx="179">
                  <c:v>42319</c:v>
                </c:pt>
                <c:pt idx="180">
                  <c:v>42320</c:v>
                </c:pt>
                <c:pt idx="181">
                  <c:v>42321</c:v>
                </c:pt>
                <c:pt idx="182">
                  <c:v>42324</c:v>
                </c:pt>
                <c:pt idx="183">
                  <c:v>42325</c:v>
                </c:pt>
                <c:pt idx="184">
                  <c:v>42326</c:v>
                </c:pt>
                <c:pt idx="185">
                  <c:v>42327</c:v>
                </c:pt>
                <c:pt idx="186">
                  <c:v>42328</c:v>
                </c:pt>
                <c:pt idx="187">
                  <c:v>42331</c:v>
                </c:pt>
                <c:pt idx="188">
                  <c:v>42332</c:v>
                </c:pt>
                <c:pt idx="189">
                  <c:v>42333</c:v>
                </c:pt>
                <c:pt idx="190">
                  <c:v>42335</c:v>
                </c:pt>
                <c:pt idx="191">
                  <c:v>42338</c:v>
                </c:pt>
                <c:pt idx="192">
                  <c:v>42339</c:v>
                </c:pt>
                <c:pt idx="193">
                  <c:v>42340</c:v>
                </c:pt>
                <c:pt idx="194">
                  <c:v>42341</c:v>
                </c:pt>
                <c:pt idx="195">
                  <c:v>42342</c:v>
                </c:pt>
                <c:pt idx="196">
                  <c:v>42345</c:v>
                </c:pt>
                <c:pt idx="197">
                  <c:v>42346</c:v>
                </c:pt>
                <c:pt idx="198">
                  <c:v>42347</c:v>
                </c:pt>
                <c:pt idx="199">
                  <c:v>42348</c:v>
                </c:pt>
                <c:pt idx="200">
                  <c:v>42349</c:v>
                </c:pt>
                <c:pt idx="201">
                  <c:v>42352</c:v>
                </c:pt>
                <c:pt idx="202">
                  <c:v>42353</c:v>
                </c:pt>
                <c:pt idx="203">
                  <c:v>42354</c:v>
                </c:pt>
                <c:pt idx="204">
                  <c:v>42355</c:v>
                </c:pt>
                <c:pt idx="205">
                  <c:v>42356</c:v>
                </c:pt>
                <c:pt idx="206">
                  <c:v>42359</c:v>
                </c:pt>
                <c:pt idx="207">
                  <c:v>42360</c:v>
                </c:pt>
                <c:pt idx="208">
                  <c:v>42361</c:v>
                </c:pt>
                <c:pt idx="209">
                  <c:v>42362</c:v>
                </c:pt>
                <c:pt idx="210">
                  <c:v>42366</c:v>
                </c:pt>
                <c:pt idx="211">
                  <c:v>42367</c:v>
                </c:pt>
                <c:pt idx="212">
                  <c:v>42368</c:v>
                </c:pt>
                <c:pt idx="213">
                  <c:v>42369</c:v>
                </c:pt>
                <c:pt idx="214">
                  <c:v>42373</c:v>
                </c:pt>
                <c:pt idx="215">
                  <c:v>42374</c:v>
                </c:pt>
                <c:pt idx="216">
                  <c:v>42375</c:v>
                </c:pt>
                <c:pt idx="217">
                  <c:v>42376</c:v>
                </c:pt>
                <c:pt idx="218">
                  <c:v>42377</c:v>
                </c:pt>
                <c:pt idx="219">
                  <c:v>42380</c:v>
                </c:pt>
                <c:pt idx="220">
                  <c:v>42381</c:v>
                </c:pt>
                <c:pt idx="221">
                  <c:v>42382</c:v>
                </c:pt>
                <c:pt idx="222">
                  <c:v>42383</c:v>
                </c:pt>
                <c:pt idx="223">
                  <c:v>42384</c:v>
                </c:pt>
                <c:pt idx="224">
                  <c:v>42388</c:v>
                </c:pt>
                <c:pt idx="225">
                  <c:v>42389</c:v>
                </c:pt>
                <c:pt idx="226">
                  <c:v>42390</c:v>
                </c:pt>
                <c:pt idx="227">
                  <c:v>42391</c:v>
                </c:pt>
                <c:pt idx="228">
                  <c:v>42394</c:v>
                </c:pt>
                <c:pt idx="229">
                  <c:v>42395</c:v>
                </c:pt>
                <c:pt idx="230">
                  <c:v>42396</c:v>
                </c:pt>
                <c:pt idx="231">
                  <c:v>42397</c:v>
                </c:pt>
                <c:pt idx="232">
                  <c:v>42398</c:v>
                </c:pt>
                <c:pt idx="233">
                  <c:v>42401</c:v>
                </c:pt>
                <c:pt idx="234">
                  <c:v>42402</c:v>
                </c:pt>
                <c:pt idx="235">
                  <c:v>42403</c:v>
                </c:pt>
                <c:pt idx="236">
                  <c:v>42404</c:v>
                </c:pt>
                <c:pt idx="237">
                  <c:v>42405</c:v>
                </c:pt>
                <c:pt idx="238">
                  <c:v>42408</c:v>
                </c:pt>
                <c:pt idx="239">
                  <c:v>42409</c:v>
                </c:pt>
                <c:pt idx="240">
                  <c:v>42410</c:v>
                </c:pt>
                <c:pt idx="241">
                  <c:v>42411</c:v>
                </c:pt>
                <c:pt idx="242">
                  <c:v>42412</c:v>
                </c:pt>
                <c:pt idx="243">
                  <c:v>42416</c:v>
                </c:pt>
                <c:pt idx="244">
                  <c:v>42417</c:v>
                </c:pt>
                <c:pt idx="245">
                  <c:v>42418</c:v>
                </c:pt>
                <c:pt idx="246">
                  <c:v>42419</c:v>
                </c:pt>
                <c:pt idx="247">
                  <c:v>42422</c:v>
                </c:pt>
                <c:pt idx="248">
                  <c:v>42423</c:v>
                </c:pt>
                <c:pt idx="249">
                  <c:v>42424</c:v>
                </c:pt>
                <c:pt idx="250">
                  <c:v>42425</c:v>
                </c:pt>
                <c:pt idx="251">
                  <c:v>42426</c:v>
                </c:pt>
                <c:pt idx="252">
                  <c:v>42429</c:v>
                </c:pt>
                <c:pt idx="253">
                  <c:v>42430</c:v>
                </c:pt>
                <c:pt idx="254">
                  <c:v>42431</c:v>
                </c:pt>
                <c:pt idx="255">
                  <c:v>42432</c:v>
                </c:pt>
                <c:pt idx="256">
                  <c:v>42433</c:v>
                </c:pt>
                <c:pt idx="257">
                  <c:v>42436</c:v>
                </c:pt>
                <c:pt idx="258">
                  <c:v>42437</c:v>
                </c:pt>
                <c:pt idx="259">
                  <c:v>42438</c:v>
                </c:pt>
                <c:pt idx="260">
                  <c:v>42439</c:v>
                </c:pt>
                <c:pt idx="261">
                  <c:v>42440</c:v>
                </c:pt>
                <c:pt idx="262">
                  <c:v>42443</c:v>
                </c:pt>
                <c:pt idx="263">
                  <c:v>42444</c:v>
                </c:pt>
                <c:pt idx="264">
                  <c:v>42445</c:v>
                </c:pt>
                <c:pt idx="265">
                  <c:v>42446</c:v>
                </c:pt>
                <c:pt idx="266">
                  <c:v>42447</c:v>
                </c:pt>
                <c:pt idx="267">
                  <c:v>42450</c:v>
                </c:pt>
                <c:pt idx="268">
                  <c:v>42451</c:v>
                </c:pt>
                <c:pt idx="269">
                  <c:v>42452</c:v>
                </c:pt>
                <c:pt idx="270">
                  <c:v>42453</c:v>
                </c:pt>
                <c:pt idx="271">
                  <c:v>42457</c:v>
                </c:pt>
                <c:pt idx="272">
                  <c:v>42458</c:v>
                </c:pt>
                <c:pt idx="273">
                  <c:v>42459</c:v>
                </c:pt>
                <c:pt idx="274">
                  <c:v>42460</c:v>
                </c:pt>
                <c:pt idx="275">
                  <c:v>42461</c:v>
                </c:pt>
                <c:pt idx="276">
                  <c:v>42464</c:v>
                </c:pt>
                <c:pt idx="277">
                  <c:v>42465</c:v>
                </c:pt>
                <c:pt idx="278">
                  <c:v>42466</c:v>
                </c:pt>
                <c:pt idx="279">
                  <c:v>42467</c:v>
                </c:pt>
                <c:pt idx="280">
                  <c:v>42468</c:v>
                </c:pt>
                <c:pt idx="281">
                  <c:v>42471</c:v>
                </c:pt>
                <c:pt idx="282">
                  <c:v>42472</c:v>
                </c:pt>
                <c:pt idx="283">
                  <c:v>42473</c:v>
                </c:pt>
                <c:pt idx="284">
                  <c:v>42474</c:v>
                </c:pt>
                <c:pt idx="285">
                  <c:v>42475</c:v>
                </c:pt>
                <c:pt idx="286">
                  <c:v>42478</c:v>
                </c:pt>
                <c:pt idx="287">
                  <c:v>42479</c:v>
                </c:pt>
                <c:pt idx="288">
                  <c:v>42480</c:v>
                </c:pt>
                <c:pt idx="289">
                  <c:v>42481</c:v>
                </c:pt>
                <c:pt idx="290">
                  <c:v>42482</c:v>
                </c:pt>
                <c:pt idx="291">
                  <c:v>42485</c:v>
                </c:pt>
                <c:pt idx="292">
                  <c:v>42486</c:v>
                </c:pt>
                <c:pt idx="293">
                  <c:v>42487</c:v>
                </c:pt>
                <c:pt idx="294">
                  <c:v>42488</c:v>
                </c:pt>
                <c:pt idx="295">
                  <c:v>42489</c:v>
                </c:pt>
                <c:pt idx="296">
                  <c:v>42492</c:v>
                </c:pt>
                <c:pt idx="297">
                  <c:v>42493</c:v>
                </c:pt>
                <c:pt idx="298">
                  <c:v>42494</c:v>
                </c:pt>
                <c:pt idx="299">
                  <c:v>42495</c:v>
                </c:pt>
                <c:pt idx="300">
                  <c:v>42496</c:v>
                </c:pt>
                <c:pt idx="301">
                  <c:v>42499</c:v>
                </c:pt>
                <c:pt idx="302">
                  <c:v>42500</c:v>
                </c:pt>
                <c:pt idx="303">
                  <c:v>42501</c:v>
                </c:pt>
                <c:pt idx="304">
                  <c:v>42502</c:v>
                </c:pt>
                <c:pt idx="305">
                  <c:v>42503</c:v>
                </c:pt>
                <c:pt idx="306">
                  <c:v>42506</c:v>
                </c:pt>
                <c:pt idx="307">
                  <c:v>42507</c:v>
                </c:pt>
                <c:pt idx="308">
                  <c:v>42508</c:v>
                </c:pt>
                <c:pt idx="309">
                  <c:v>42509</c:v>
                </c:pt>
                <c:pt idx="310">
                  <c:v>42510</c:v>
                </c:pt>
                <c:pt idx="311">
                  <c:v>42513</c:v>
                </c:pt>
                <c:pt idx="312">
                  <c:v>42514</c:v>
                </c:pt>
                <c:pt idx="313">
                  <c:v>42515</c:v>
                </c:pt>
                <c:pt idx="314">
                  <c:v>42516</c:v>
                </c:pt>
                <c:pt idx="315">
                  <c:v>42517</c:v>
                </c:pt>
                <c:pt idx="316">
                  <c:v>42521</c:v>
                </c:pt>
                <c:pt idx="317">
                  <c:v>42522</c:v>
                </c:pt>
                <c:pt idx="318">
                  <c:v>42523</c:v>
                </c:pt>
                <c:pt idx="319">
                  <c:v>42524</c:v>
                </c:pt>
                <c:pt idx="320">
                  <c:v>42527</c:v>
                </c:pt>
                <c:pt idx="321">
                  <c:v>42528</c:v>
                </c:pt>
                <c:pt idx="322">
                  <c:v>42529</c:v>
                </c:pt>
                <c:pt idx="323">
                  <c:v>42530</c:v>
                </c:pt>
                <c:pt idx="324">
                  <c:v>42531</c:v>
                </c:pt>
                <c:pt idx="325">
                  <c:v>42534</c:v>
                </c:pt>
                <c:pt idx="326">
                  <c:v>42535</c:v>
                </c:pt>
                <c:pt idx="327">
                  <c:v>42536</c:v>
                </c:pt>
                <c:pt idx="328">
                  <c:v>42537</c:v>
                </c:pt>
                <c:pt idx="329">
                  <c:v>42538</c:v>
                </c:pt>
                <c:pt idx="330">
                  <c:v>42541</c:v>
                </c:pt>
                <c:pt idx="331">
                  <c:v>42542</c:v>
                </c:pt>
                <c:pt idx="332">
                  <c:v>42543</c:v>
                </c:pt>
                <c:pt idx="333">
                  <c:v>42544</c:v>
                </c:pt>
                <c:pt idx="334">
                  <c:v>42545</c:v>
                </c:pt>
                <c:pt idx="335">
                  <c:v>42548</c:v>
                </c:pt>
                <c:pt idx="336">
                  <c:v>42549</c:v>
                </c:pt>
                <c:pt idx="337">
                  <c:v>42550</c:v>
                </c:pt>
                <c:pt idx="338">
                  <c:v>42551</c:v>
                </c:pt>
                <c:pt idx="339">
                  <c:v>42552</c:v>
                </c:pt>
                <c:pt idx="340">
                  <c:v>42556</c:v>
                </c:pt>
                <c:pt idx="341">
                  <c:v>42557</c:v>
                </c:pt>
                <c:pt idx="342">
                  <c:v>42558</c:v>
                </c:pt>
                <c:pt idx="343">
                  <c:v>42559</c:v>
                </c:pt>
                <c:pt idx="344">
                  <c:v>42562</c:v>
                </c:pt>
                <c:pt idx="345">
                  <c:v>42563</c:v>
                </c:pt>
                <c:pt idx="346">
                  <c:v>42564</c:v>
                </c:pt>
                <c:pt idx="347">
                  <c:v>42565</c:v>
                </c:pt>
                <c:pt idx="348">
                  <c:v>42566</c:v>
                </c:pt>
                <c:pt idx="349">
                  <c:v>42569</c:v>
                </c:pt>
                <c:pt idx="350">
                  <c:v>42570</c:v>
                </c:pt>
                <c:pt idx="351">
                  <c:v>42571</c:v>
                </c:pt>
                <c:pt idx="352">
                  <c:v>42572</c:v>
                </c:pt>
                <c:pt idx="353">
                  <c:v>42573</c:v>
                </c:pt>
                <c:pt idx="354">
                  <c:v>42576</c:v>
                </c:pt>
                <c:pt idx="355">
                  <c:v>42577</c:v>
                </c:pt>
                <c:pt idx="356">
                  <c:v>42578</c:v>
                </c:pt>
                <c:pt idx="357">
                  <c:v>42579</c:v>
                </c:pt>
                <c:pt idx="358">
                  <c:v>42580</c:v>
                </c:pt>
                <c:pt idx="359">
                  <c:v>42583</c:v>
                </c:pt>
                <c:pt idx="360">
                  <c:v>42584</c:v>
                </c:pt>
                <c:pt idx="361">
                  <c:v>42585</c:v>
                </c:pt>
                <c:pt idx="362">
                  <c:v>42586</c:v>
                </c:pt>
                <c:pt idx="363">
                  <c:v>42587</c:v>
                </c:pt>
                <c:pt idx="364">
                  <c:v>42590</c:v>
                </c:pt>
                <c:pt idx="365">
                  <c:v>42591</c:v>
                </c:pt>
                <c:pt idx="366">
                  <c:v>42592</c:v>
                </c:pt>
                <c:pt idx="367">
                  <c:v>42593</c:v>
                </c:pt>
                <c:pt idx="368">
                  <c:v>42594</c:v>
                </c:pt>
                <c:pt idx="369">
                  <c:v>42597</c:v>
                </c:pt>
                <c:pt idx="370">
                  <c:v>42598</c:v>
                </c:pt>
                <c:pt idx="371">
                  <c:v>42599</c:v>
                </c:pt>
                <c:pt idx="372">
                  <c:v>42600</c:v>
                </c:pt>
                <c:pt idx="373">
                  <c:v>42601</c:v>
                </c:pt>
                <c:pt idx="374">
                  <c:v>42604</c:v>
                </c:pt>
                <c:pt idx="375">
                  <c:v>42605</c:v>
                </c:pt>
                <c:pt idx="376">
                  <c:v>42606</c:v>
                </c:pt>
                <c:pt idx="377">
                  <c:v>42607</c:v>
                </c:pt>
                <c:pt idx="378">
                  <c:v>42608</c:v>
                </c:pt>
                <c:pt idx="379">
                  <c:v>42611</c:v>
                </c:pt>
                <c:pt idx="380">
                  <c:v>42612</c:v>
                </c:pt>
                <c:pt idx="381">
                  <c:v>42613</c:v>
                </c:pt>
                <c:pt idx="382">
                  <c:v>42614</c:v>
                </c:pt>
                <c:pt idx="383">
                  <c:v>42615</c:v>
                </c:pt>
                <c:pt idx="384">
                  <c:v>42619</c:v>
                </c:pt>
                <c:pt idx="385">
                  <c:v>42620</c:v>
                </c:pt>
                <c:pt idx="386">
                  <c:v>42621</c:v>
                </c:pt>
                <c:pt idx="387">
                  <c:v>42622</c:v>
                </c:pt>
                <c:pt idx="388">
                  <c:v>42625</c:v>
                </c:pt>
                <c:pt idx="389">
                  <c:v>42626</c:v>
                </c:pt>
                <c:pt idx="390">
                  <c:v>42627</c:v>
                </c:pt>
                <c:pt idx="391">
                  <c:v>42628</c:v>
                </c:pt>
                <c:pt idx="392">
                  <c:v>42629</c:v>
                </c:pt>
                <c:pt idx="393">
                  <c:v>42632</c:v>
                </c:pt>
                <c:pt idx="394">
                  <c:v>42633</c:v>
                </c:pt>
                <c:pt idx="395">
                  <c:v>42634</c:v>
                </c:pt>
                <c:pt idx="396">
                  <c:v>42635</c:v>
                </c:pt>
                <c:pt idx="397">
                  <c:v>42636</c:v>
                </c:pt>
                <c:pt idx="398">
                  <c:v>42639</c:v>
                </c:pt>
                <c:pt idx="399">
                  <c:v>42640</c:v>
                </c:pt>
                <c:pt idx="400">
                  <c:v>42641</c:v>
                </c:pt>
                <c:pt idx="401">
                  <c:v>42642</c:v>
                </c:pt>
                <c:pt idx="402">
                  <c:v>42643</c:v>
                </c:pt>
                <c:pt idx="403">
                  <c:v>42646</c:v>
                </c:pt>
                <c:pt idx="404">
                  <c:v>42647</c:v>
                </c:pt>
                <c:pt idx="405">
                  <c:v>42648</c:v>
                </c:pt>
                <c:pt idx="406">
                  <c:v>42649</c:v>
                </c:pt>
                <c:pt idx="407">
                  <c:v>42650</c:v>
                </c:pt>
                <c:pt idx="408">
                  <c:v>42653</c:v>
                </c:pt>
                <c:pt idx="409">
                  <c:v>42654</c:v>
                </c:pt>
                <c:pt idx="410">
                  <c:v>42655</c:v>
                </c:pt>
                <c:pt idx="411">
                  <c:v>42656</c:v>
                </c:pt>
                <c:pt idx="412">
                  <c:v>42657</c:v>
                </c:pt>
                <c:pt idx="413">
                  <c:v>42660</c:v>
                </c:pt>
                <c:pt idx="414">
                  <c:v>42661</c:v>
                </c:pt>
                <c:pt idx="415">
                  <c:v>42662</c:v>
                </c:pt>
                <c:pt idx="416">
                  <c:v>42663</c:v>
                </c:pt>
                <c:pt idx="417">
                  <c:v>42664</c:v>
                </c:pt>
                <c:pt idx="418">
                  <c:v>42667</c:v>
                </c:pt>
                <c:pt idx="419">
                  <c:v>42668</c:v>
                </c:pt>
                <c:pt idx="420">
                  <c:v>42669</c:v>
                </c:pt>
                <c:pt idx="421">
                  <c:v>42670</c:v>
                </c:pt>
                <c:pt idx="422">
                  <c:v>42671</c:v>
                </c:pt>
                <c:pt idx="423">
                  <c:v>42674</c:v>
                </c:pt>
                <c:pt idx="424">
                  <c:v>42675</c:v>
                </c:pt>
                <c:pt idx="425">
                  <c:v>42676</c:v>
                </c:pt>
                <c:pt idx="426">
                  <c:v>42677</c:v>
                </c:pt>
                <c:pt idx="427">
                  <c:v>42678</c:v>
                </c:pt>
                <c:pt idx="428">
                  <c:v>42681</c:v>
                </c:pt>
                <c:pt idx="429">
                  <c:v>42682</c:v>
                </c:pt>
                <c:pt idx="430">
                  <c:v>42683</c:v>
                </c:pt>
                <c:pt idx="431">
                  <c:v>42684</c:v>
                </c:pt>
                <c:pt idx="432">
                  <c:v>42685</c:v>
                </c:pt>
                <c:pt idx="433">
                  <c:v>42688</c:v>
                </c:pt>
                <c:pt idx="434">
                  <c:v>42689</c:v>
                </c:pt>
                <c:pt idx="435">
                  <c:v>42690</c:v>
                </c:pt>
                <c:pt idx="436">
                  <c:v>42691</c:v>
                </c:pt>
                <c:pt idx="437">
                  <c:v>42692</c:v>
                </c:pt>
                <c:pt idx="438">
                  <c:v>42695</c:v>
                </c:pt>
                <c:pt idx="439">
                  <c:v>42696</c:v>
                </c:pt>
                <c:pt idx="440">
                  <c:v>42697</c:v>
                </c:pt>
                <c:pt idx="441">
                  <c:v>42699</c:v>
                </c:pt>
                <c:pt idx="442">
                  <c:v>42702</c:v>
                </c:pt>
                <c:pt idx="443">
                  <c:v>42703</c:v>
                </c:pt>
                <c:pt idx="444">
                  <c:v>42704</c:v>
                </c:pt>
                <c:pt idx="445">
                  <c:v>42705</c:v>
                </c:pt>
                <c:pt idx="446">
                  <c:v>42706</c:v>
                </c:pt>
                <c:pt idx="447">
                  <c:v>42709</c:v>
                </c:pt>
                <c:pt idx="448">
                  <c:v>42710</c:v>
                </c:pt>
                <c:pt idx="449">
                  <c:v>42711</c:v>
                </c:pt>
                <c:pt idx="450">
                  <c:v>42712</c:v>
                </c:pt>
                <c:pt idx="451">
                  <c:v>42713</c:v>
                </c:pt>
                <c:pt idx="452">
                  <c:v>42716</c:v>
                </c:pt>
                <c:pt idx="453">
                  <c:v>42717</c:v>
                </c:pt>
                <c:pt idx="454">
                  <c:v>42718</c:v>
                </c:pt>
                <c:pt idx="455">
                  <c:v>42719</c:v>
                </c:pt>
                <c:pt idx="456">
                  <c:v>42720</c:v>
                </c:pt>
                <c:pt idx="457">
                  <c:v>42723</c:v>
                </c:pt>
                <c:pt idx="458">
                  <c:v>42724</c:v>
                </c:pt>
                <c:pt idx="459">
                  <c:v>42725</c:v>
                </c:pt>
                <c:pt idx="460">
                  <c:v>42726</c:v>
                </c:pt>
                <c:pt idx="461">
                  <c:v>42727</c:v>
                </c:pt>
                <c:pt idx="462">
                  <c:v>42731</c:v>
                </c:pt>
                <c:pt idx="463">
                  <c:v>42732</c:v>
                </c:pt>
                <c:pt idx="464">
                  <c:v>42733</c:v>
                </c:pt>
                <c:pt idx="465">
                  <c:v>42734</c:v>
                </c:pt>
                <c:pt idx="466">
                  <c:v>42738</c:v>
                </c:pt>
                <c:pt idx="467">
                  <c:v>42739</c:v>
                </c:pt>
                <c:pt idx="468">
                  <c:v>42740</c:v>
                </c:pt>
                <c:pt idx="469">
                  <c:v>42741</c:v>
                </c:pt>
                <c:pt idx="470">
                  <c:v>42744</c:v>
                </c:pt>
                <c:pt idx="471">
                  <c:v>42745</c:v>
                </c:pt>
                <c:pt idx="472">
                  <c:v>42746</c:v>
                </c:pt>
                <c:pt idx="473">
                  <c:v>42747</c:v>
                </c:pt>
                <c:pt idx="474">
                  <c:v>42748</c:v>
                </c:pt>
                <c:pt idx="475">
                  <c:v>42752</c:v>
                </c:pt>
                <c:pt idx="476">
                  <c:v>42753</c:v>
                </c:pt>
                <c:pt idx="477">
                  <c:v>42754</c:v>
                </c:pt>
                <c:pt idx="478">
                  <c:v>42755</c:v>
                </c:pt>
                <c:pt idx="479">
                  <c:v>42758</c:v>
                </c:pt>
                <c:pt idx="480">
                  <c:v>42759</c:v>
                </c:pt>
                <c:pt idx="481">
                  <c:v>42760</c:v>
                </c:pt>
                <c:pt idx="482">
                  <c:v>42761</c:v>
                </c:pt>
                <c:pt idx="483">
                  <c:v>42762</c:v>
                </c:pt>
                <c:pt idx="484">
                  <c:v>42765</c:v>
                </c:pt>
                <c:pt idx="485">
                  <c:v>42766</c:v>
                </c:pt>
                <c:pt idx="486">
                  <c:v>42767</c:v>
                </c:pt>
                <c:pt idx="487">
                  <c:v>42768</c:v>
                </c:pt>
                <c:pt idx="488">
                  <c:v>42769</c:v>
                </c:pt>
                <c:pt idx="489">
                  <c:v>42772</c:v>
                </c:pt>
                <c:pt idx="490">
                  <c:v>42773</c:v>
                </c:pt>
                <c:pt idx="491">
                  <c:v>42774</c:v>
                </c:pt>
                <c:pt idx="492">
                  <c:v>42775</c:v>
                </c:pt>
                <c:pt idx="493">
                  <c:v>42776</c:v>
                </c:pt>
                <c:pt idx="494">
                  <c:v>42779</c:v>
                </c:pt>
                <c:pt idx="495">
                  <c:v>42780</c:v>
                </c:pt>
                <c:pt idx="496">
                  <c:v>42781</c:v>
                </c:pt>
                <c:pt idx="497">
                  <c:v>42782</c:v>
                </c:pt>
                <c:pt idx="498">
                  <c:v>42783</c:v>
                </c:pt>
                <c:pt idx="499">
                  <c:v>42787</c:v>
                </c:pt>
                <c:pt idx="500">
                  <c:v>42788</c:v>
                </c:pt>
                <c:pt idx="501">
                  <c:v>42789</c:v>
                </c:pt>
                <c:pt idx="502">
                  <c:v>42790</c:v>
                </c:pt>
                <c:pt idx="503">
                  <c:v>42793</c:v>
                </c:pt>
                <c:pt idx="504">
                  <c:v>42794</c:v>
                </c:pt>
                <c:pt idx="505">
                  <c:v>42795</c:v>
                </c:pt>
                <c:pt idx="506">
                  <c:v>42796</c:v>
                </c:pt>
                <c:pt idx="507">
                  <c:v>42797</c:v>
                </c:pt>
                <c:pt idx="508">
                  <c:v>42800</c:v>
                </c:pt>
                <c:pt idx="509">
                  <c:v>42801</c:v>
                </c:pt>
                <c:pt idx="510">
                  <c:v>42802</c:v>
                </c:pt>
                <c:pt idx="511">
                  <c:v>42803</c:v>
                </c:pt>
                <c:pt idx="512">
                  <c:v>42804</c:v>
                </c:pt>
                <c:pt idx="513">
                  <c:v>42807</c:v>
                </c:pt>
                <c:pt idx="514">
                  <c:v>42808</c:v>
                </c:pt>
                <c:pt idx="515">
                  <c:v>42809</c:v>
                </c:pt>
                <c:pt idx="516">
                  <c:v>42810</c:v>
                </c:pt>
                <c:pt idx="517">
                  <c:v>42811</c:v>
                </c:pt>
                <c:pt idx="518">
                  <c:v>42814</c:v>
                </c:pt>
                <c:pt idx="519">
                  <c:v>42815</c:v>
                </c:pt>
                <c:pt idx="520">
                  <c:v>42816</c:v>
                </c:pt>
                <c:pt idx="521">
                  <c:v>42817</c:v>
                </c:pt>
                <c:pt idx="522">
                  <c:v>42818</c:v>
                </c:pt>
                <c:pt idx="523">
                  <c:v>42821</c:v>
                </c:pt>
                <c:pt idx="524">
                  <c:v>42822</c:v>
                </c:pt>
                <c:pt idx="525">
                  <c:v>42823</c:v>
                </c:pt>
                <c:pt idx="526">
                  <c:v>42824</c:v>
                </c:pt>
                <c:pt idx="527">
                  <c:v>42825</c:v>
                </c:pt>
                <c:pt idx="528">
                  <c:v>42828</c:v>
                </c:pt>
                <c:pt idx="529">
                  <c:v>42829</c:v>
                </c:pt>
                <c:pt idx="530">
                  <c:v>42830</c:v>
                </c:pt>
                <c:pt idx="531">
                  <c:v>42831</c:v>
                </c:pt>
                <c:pt idx="532">
                  <c:v>42832</c:v>
                </c:pt>
                <c:pt idx="533">
                  <c:v>42835</c:v>
                </c:pt>
                <c:pt idx="534">
                  <c:v>42836</c:v>
                </c:pt>
                <c:pt idx="535">
                  <c:v>42837</c:v>
                </c:pt>
                <c:pt idx="536">
                  <c:v>42838</c:v>
                </c:pt>
                <c:pt idx="537">
                  <c:v>42842</c:v>
                </c:pt>
                <c:pt idx="538">
                  <c:v>42843</c:v>
                </c:pt>
                <c:pt idx="539">
                  <c:v>42844</c:v>
                </c:pt>
                <c:pt idx="540">
                  <c:v>42845</c:v>
                </c:pt>
                <c:pt idx="541">
                  <c:v>42846</c:v>
                </c:pt>
                <c:pt idx="542">
                  <c:v>42849</c:v>
                </c:pt>
                <c:pt idx="543">
                  <c:v>42850</c:v>
                </c:pt>
                <c:pt idx="544">
                  <c:v>42851</c:v>
                </c:pt>
                <c:pt idx="545">
                  <c:v>42852</c:v>
                </c:pt>
                <c:pt idx="546">
                  <c:v>42853</c:v>
                </c:pt>
                <c:pt idx="547">
                  <c:v>42856</c:v>
                </c:pt>
                <c:pt idx="548">
                  <c:v>42857</c:v>
                </c:pt>
                <c:pt idx="549">
                  <c:v>42858</c:v>
                </c:pt>
                <c:pt idx="550">
                  <c:v>42859</c:v>
                </c:pt>
                <c:pt idx="551">
                  <c:v>42860</c:v>
                </c:pt>
                <c:pt idx="552">
                  <c:v>42863</c:v>
                </c:pt>
                <c:pt idx="553">
                  <c:v>42864</c:v>
                </c:pt>
                <c:pt idx="554">
                  <c:v>42865</c:v>
                </c:pt>
                <c:pt idx="555">
                  <c:v>42866</c:v>
                </c:pt>
                <c:pt idx="556">
                  <c:v>42867</c:v>
                </c:pt>
                <c:pt idx="557">
                  <c:v>42870</c:v>
                </c:pt>
                <c:pt idx="558">
                  <c:v>42871</c:v>
                </c:pt>
                <c:pt idx="559">
                  <c:v>42872</c:v>
                </c:pt>
                <c:pt idx="560">
                  <c:v>42873</c:v>
                </c:pt>
                <c:pt idx="561">
                  <c:v>42874</c:v>
                </c:pt>
                <c:pt idx="562">
                  <c:v>42877</c:v>
                </c:pt>
                <c:pt idx="563">
                  <c:v>42878</c:v>
                </c:pt>
                <c:pt idx="564">
                  <c:v>42879</c:v>
                </c:pt>
                <c:pt idx="565">
                  <c:v>42880</c:v>
                </c:pt>
                <c:pt idx="566">
                  <c:v>42881</c:v>
                </c:pt>
                <c:pt idx="567">
                  <c:v>42885</c:v>
                </c:pt>
                <c:pt idx="568">
                  <c:v>42886</c:v>
                </c:pt>
                <c:pt idx="569">
                  <c:v>42887</c:v>
                </c:pt>
                <c:pt idx="570">
                  <c:v>42888</c:v>
                </c:pt>
                <c:pt idx="571">
                  <c:v>42891</c:v>
                </c:pt>
                <c:pt idx="572">
                  <c:v>42892</c:v>
                </c:pt>
                <c:pt idx="573">
                  <c:v>42893</c:v>
                </c:pt>
                <c:pt idx="574">
                  <c:v>42894</c:v>
                </c:pt>
                <c:pt idx="575">
                  <c:v>42895</c:v>
                </c:pt>
                <c:pt idx="576">
                  <c:v>42898</c:v>
                </c:pt>
                <c:pt idx="577">
                  <c:v>42899</c:v>
                </c:pt>
                <c:pt idx="578">
                  <c:v>42900</c:v>
                </c:pt>
                <c:pt idx="579">
                  <c:v>42901</c:v>
                </c:pt>
                <c:pt idx="580">
                  <c:v>42902</c:v>
                </c:pt>
                <c:pt idx="581">
                  <c:v>42905</c:v>
                </c:pt>
                <c:pt idx="582">
                  <c:v>42906</c:v>
                </c:pt>
                <c:pt idx="583">
                  <c:v>42907</c:v>
                </c:pt>
                <c:pt idx="584">
                  <c:v>42908</c:v>
                </c:pt>
                <c:pt idx="585">
                  <c:v>42909</c:v>
                </c:pt>
                <c:pt idx="586">
                  <c:v>42912</c:v>
                </c:pt>
                <c:pt idx="587">
                  <c:v>42913</c:v>
                </c:pt>
                <c:pt idx="588">
                  <c:v>42914</c:v>
                </c:pt>
                <c:pt idx="589">
                  <c:v>42915</c:v>
                </c:pt>
                <c:pt idx="590">
                  <c:v>42916</c:v>
                </c:pt>
                <c:pt idx="591">
                  <c:v>42919</c:v>
                </c:pt>
                <c:pt idx="592">
                  <c:v>42921</c:v>
                </c:pt>
                <c:pt idx="593">
                  <c:v>42922</c:v>
                </c:pt>
                <c:pt idx="594">
                  <c:v>42923</c:v>
                </c:pt>
                <c:pt idx="595">
                  <c:v>42926</c:v>
                </c:pt>
                <c:pt idx="596">
                  <c:v>42927</c:v>
                </c:pt>
                <c:pt idx="597">
                  <c:v>42928</c:v>
                </c:pt>
                <c:pt idx="598">
                  <c:v>42929</c:v>
                </c:pt>
                <c:pt idx="599">
                  <c:v>42930</c:v>
                </c:pt>
                <c:pt idx="600">
                  <c:v>42933</c:v>
                </c:pt>
                <c:pt idx="601">
                  <c:v>42934</c:v>
                </c:pt>
                <c:pt idx="602">
                  <c:v>42935</c:v>
                </c:pt>
                <c:pt idx="603">
                  <c:v>42936</c:v>
                </c:pt>
                <c:pt idx="604">
                  <c:v>42937</c:v>
                </c:pt>
                <c:pt idx="605">
                  <c:v>42940</c:v>
                </c:pt>
                <c:pt idx="606">
                  <c:v>42941</c:v>
                </c:pt>
                <c:pt idx="607">
                  <c:v>42942</c:v>
                </c:pt>
                <c:pt idx="608">
                  <c:v>42943</c:v>
                </c:pt>
                <c:pt idx="609">
                  <c:v>42944</c:v>
                </c:pt>
                <c:pt idx="610">
                  <c:v>42947</c:v>
                </c:pt>
                <c:pt idx="611">
                  <c:v>42948</c:v>
                </c:pt>
                <c:pt idx="612">
                  <c:v>42949</c:v>
                </c:pt>
                <c:pt idx="613">
                  <c:v>42950</c:v>
                </c:pt>
                <c:pt idx="614">
                  <c:v>42951</c:v>
                </c:pt>
                <c:pt idx="615">
                  <c:v>42954</c:v>
                </c:pt>
                <c:pt idx="616">
                  <c:v>42955</c:v>
                </c:pt>
                <c:pt idx="617">
                  <c:v>42956</c:v>
                </c:pt>
                <c:pt idx="618">
                  <c:v>42957</c:v>
                </c:pt>
                <c:pt idx="619">
                  <c:v>42958</c:v>
                </c:pt>
                <c:pt idx="620">
                  <c:v>42961</c:v>
                </c:pt>
                <c:pt idx="621">
                  <c:v>42962</c:v>
                </c:pt>
                <c:pt idx="622">
                  <c:v>42963</c:v>
                </c:pt>
                <c:pt idx="623">
                  <c:v>42964</c:v>
                </c:pt>
                <c:pt idx="624">
                  <c:v>42965</c:v>
                </c:pt>
                <c:pt idx="625">
                  <c:v>42968</c:v>
                </c:pt>
                <c:pt idx="626">
                  <c:v>42969</c:v>
                </c:pt>
                <c:pt idx="627">
                  <c:v>42970</c:v>
                </c:pt>
                <c:pt idx="628">
                  <c:v>42971</c:v>
                </c:pt>
                <c:pt idx="629">
                  <c:v>42972</c:v>
                </c:pt>
                <c:pt idx="630">
                  <c:v>42975</c:v>
                </c:pt>
                <c:pt idx="631">
                  <c:v>42976</c:v>
                </c:pt>
                <c:pt idx="632">
                  <c:v>42977</c:v>
                </c:pt>
                <c:pt idx="633">
                  <c:v>42978</c:v>
                </c:pt>
                <c:pt idx="634">
                  <c:v>42979</c:v>
                </c:pt>
                <c:pt idx="635">
                  <c:v>42983</c:v>
                </c:pt>
                <c:pt idx="636">
                  <c:v>42984</c:v>
                </c:pt>
                <c:pt idx="637">
                  <c:v>42985</c:v>
                </c:pt>
                <c:pt idx="638">
                  <c:v>42986</c:v>
                </c:pt>
                <c:pt idx="639">
                  <c:v>42989</c:v>
                </c:pt>
                <c:pt idx="640">
                  <c:v>42990</c:v>
                </c:pt>
                <c:pt idx="641">
                  <c:v>42991</c:v>
                </c:pt>
                <c:pt idx="642">
                  <c:v>42992</c:v>
                </c:pt>
                <c:pt idx="643">
                  <c:v>42993</c:v>
                </c:pt>
                <c:pt idx="644">
                  <c:v>42996</c:v>
                </c:pt>
                <c:pt idx="645">
                  <c:v>42997</c:v>
                </c:pt>
                <c:pt idx="646">
                  <c:v>42998</c:v>
                </c:pt>
                <c:pt idx="647">
                  <c:v>42999</c:v>
                </c:pt>
                <c:pt idx="648">
                  <c:v>43000</c:v>
                </c:pt>
                <c:pt idx="649">
                  <c:v>43003</c:v>
                </c:pt>
                <c:pt idx="650">
                  <c:v>43004</c:v>
                </c:pt>
                <c:pt idx="651">
                  <c:v>43005</c:v>
                </c:pt>
                <c:pt idx="652">
                  <c:v>43006</c:v>
                </c:pt>
                <c:pt idx="653">
                  <c:v>43007</c:v>
                </c:pt>
                <c:pt idx="654">
                  <c:v>43010</c:v>
                </c:pt>
                <c:pt idx="655">
                  <c:v>43011</c:v>
                </c:pt>
                <c:pt idx="656">
                  <c:v>43012</c:v>
                </c:pt>
                <c:pt idx="657">
                  <c:v>43013</c:v>
                </c:pt>
                <c:pt idx="658">
                  <c:v>43014</c:v>
                </c:pt>
                <c:pt idx="659">
                  <c:v>43017</c:v>
                </c:pt>
                <c:pt idx="660">
                  <c:v>43018</c:v>
                </c:pt>
                <c:pt idx="661">
                  <c:v>43019</c:v>
                </c:pt>
                <c:pt idx="662">
                  <c:v>43020</c:v>
                </c:pt>
                <c:pt idx="663">
                  <c:v>43021</c:v>
                </c:pt>
                <c:pt idx="664">
                  <c:v>43024</c:v>
                </c:pt>
                <c:pt idx="665">
                  <c:v>43025</c:v>
                </c:pt>
                <c:pt idx="666">
                  <c:v>43026</c:v>
                </c:pt>
                <c:pt idx="667">
                  <c:v>43027</c:v>
                </c:pt>
                <c:pt idx="668">
                  <c:v>43028</c:v>
                </c:pt>
                <c:pt idx="669">
                  <c:v>43031</c:v>
                </c:pt>
                <c:pt idx="670">
                  <c:v>43032</c:v>
                </c:pt>
                <c:pt idx="671">
                  <c:v>43033</c:v>
                </c:pt>
                <c:pt idx="672">
                  <c:v>43034</c:v>
                </c:pt>
                <c:pt idx="673">
                  <c:v>43035</c:v>
                </c:pt>
                <c:pt idx="674">
                  <c:v>43038</c:v>
                </c:pt>
                <c:pt idx="675">
                  <c:v>43039</c:v>
                </c:pt>
                <c:pt idx="676">
                  <c:v>43040</c:v>
                </c:pt>
                <c:pt idx="677">
                  <c:v>43041</c:v>
                </c:pt>
                <c:pt idx="678">
                  <c:v>43042</c:v>
                </c:pt>
                <c:pt idx="679">
                  <c:v>43045</c:v>
                </c:pt>
                <c:pt idx="680">
                  <c:v>43046</c:v>
                </c:pt>
                <c:pt idx="681">
                  <c:v>43047</c:v>
                </c:pt>
                <c:pt idx="682">
                  <c:v>43048</c:v>
                </c:pt>
                <c:pt idx="683">
                  <c:v>43049</c:v>
                </c:pt>
                <c:pt idx="684">
                  <c:v>43052</c:v>
                </c:pt>
                <c:pt idx="685">
                  <c:v>43053</c:v>
                </c:pt>
                <c:pt idx="686">
                  <c:v>43054</c:v>
                </c:pt>
                <c:pt idx="687">
                  <c:v>43055</c:v>
                </c:pt>
                <c:pt idx="688">
                  <c:v>43056</c:v>
                </c:pt>
                <c:pt idx="689">
                  <c:v>43059</c:v>
                </c:pt>
                <c:pt idx="690">
                  <c:v>43060</c:v>
                </c:pt>
                <c:pt idx="691">
                  <c:v>43061</c:v>
                </c:pt>
                <c:pt idx="692">
                  <c:v>43063</c:v>
                </c:pt>
                <c:pt idx="693">
                  <c:v>43066</c:v>
                </c:pt>
                <c:pt idx="694">
                  <c:v>43067</c:v>
                </c:pt>
                <c:pt idx="695">
                  <c:v>43068</c:v>
                </c:pt>
                <c:pt idx="696">
                  <c:v>43069</c:v>
                </c:pt>
                <c:pt idx="697">
                  <c:v>43070</c:v>
                </c:pt>
                <c:pt idx="698">
                  <c:v>43073</c:v>
                </c:pt>
                <c:pt idx="699">
                  <c:v>43074</c:v>
                </c:pt>
                <c:pt idx="700">
                  <c:v>43075</c:v>
                </c:pt>
                <c:pt idx="701">
                  <c:v>43076</c:v>
                </c:pt>
                <c:pt idx="702">
                  <c:v>43077</c:v>
                </c:pt>
                <c:pt idx="703">
                  <c:v>43080</c:v>
                </c:pt>
                <c:pt idx="704">
                  <c:v>43081</c:v>
                </c:pt>
                <c:pt idx="705">
                  <c:v>43082</c:v>
                </c:pt>
                <c:pt idx="706">
                  <c:v>43083</c:v>
                </c:pt>
                <c:pt idx="707">
                  <c:v>43084</c:v>
                </c:pt>
                <c:pt idx="708">
                  <c:v>43087</c:v>
                </c:pt>
                <c:pt idx="709">
                  <c:v>43088</c:v>
                </c:pt>
                <c:pt idx="710">
                  <c:v>43089</c:v>
                </c:pt>
                <c:pt idx="711">
                  <c:v>43090</c:v>
                </c:pt>
                <c:pt idx="712">
                  <c:v>43091</c:v>
                </c:pt>
                <c:pt idx="713">
                  <c:v>43095</c:v>
                </c:pt>
                <c:pt idx="714">
                  <c:v>43096</c:v>
                </c:pt>
                <c:pt idx="715">
                  <c:v>43097</c:v>
                </c:pt>
                <c:pt idx="716">
                  <c:v>43098</c:v>
                </c:pt>
                <c:pt idx="717">
                  <c:v>43102</c:v>
                </c:pt>
                <c:pt idx="718">
                  <c:v>43103</c:v>
                </c:pt>
                <c:pt idx="719">
                  <c:v>43104</c:v>
                </c:pt>
                <c:pt idx="720">
                  <c:v>43105</c:v>
                </c:pt>
                <c:pt idx="721">
                  <c:v>43108</c:v>
                </c:pt>
                <c:pt idx="722">
                  <c:v>43109</c:v>
                </c:pt>
                <c:pt idx="723">
                  <c:v>43110</c:v>
                </c:pt>
                <c:pt idx="724">
                  <c:v>43111</c:v>
                </c:pt>
                <c:pt idx="725">
                  <c:v>43112</c:v>
                </c:pt>
                <c:pt idx="726">
                  <c:v>43116</c:v>
                </c:pt>
                <c:pt idx="727">
                  <c:v>43117</c:v>
                </c:pt>
                <c:pt idx="728">
                  <c:v>43118</c:v>
                </c:pt>
                <c:pt idx="729">
                  <c:v>43119</c:v>
                </c:pt>
                <c:pt idx="730">
                  <c:v>43122</c:v>
                </c:pt>
                <c:pt idx="731">
                  <c:v>43123</c:v>
                </c:pt>
                <c:pt idx="732">
                  <c:v>43124</c:v>
                </c:pt>
                <c:pt idx="733">
                  <c:v>43125</c:v>
                </c:pt>
                <c:pt idx="734">
                  <c:v>43126</c:v>
                </c:pt>
                <c:pt idx="735">
                  <c:v>43129</c:v>
                </c:pt>
                <c:pt idx="736">
                  <c:v>43130</c:v>
                </c:pt>
                <c:pt idx="737">
                  <c:v>43131</c:v>
                </c:pt>
                <c:pt idx="738">
                  <c:v>43132</c:v>
                </c:pt>
                <c:pt idx="739">
                  <c:v>43133</c:v>
                </c:pt>
                <c:pt idx="740">
                  <c:v>43136</c:v>
                </c:pt>
                <c:pt idx="741">
                  <c:v>43137</c:v>
                </c:pt>
                <c:pt idx="742">
                  <c:v>43138</c:v>
                </c:pt>
                <c:pt idx="743">
                  <c:v>43139</c:v>
                </c:pt>
                <c:pt idx="744">
                  <c:v>43140</c:v>
                </c:pt>
                <c:pt idx="745">
                  <c:v>43143</c:v>
                </c:pt>
                <c:pt idx="746">
                  <c:v>43144</c:v>
                </c:pt>
                <c:pt idx="747">
                  <c:v>43145</c:v>
                </c:pt>
                <c:pt idx="748">
                  <c:v>43146</c:v>
                </c:pt>
                <c:pt idx="749">
                  <c:v>43147</c:v>
                </c:pt>
                <c:pt idx="750">
                  <c:v>43151</c:v>
                </c:pt>
                <c:pt idx="751">
                  <c:v>43152</c:v>
                </c:pt>
                <c:pt idx="752">
                  <c:v>43153</c:v>
                </c:pt>
                <c:pt idx="753">
                  <c:v>43154</c:v>
                </c:pt>
                <c:pt idx="754">
                  <c:v>43157</c:v>
                </c:pt>
                <c:pt idx="755">
                  <c:v>43158</c:v>
                </c:pt>
                <c:pt idx="756">
                  <c:v>43159</c:v>
                </c:pt>
                <c:pt idx="757">
                  <c:v>43160</c:v>
                </c:pt>
                <c:pt idx="758">
                  <c:v>43161</c:v>
                </c:pt>
                <c:pt idx="759">
                  <c:v>43164</c:v>
                </c:pt>
                <c:pt idx="760">
                  <c:v>43165</c:v>
                </c:pt>
                <c:pt idx="761">
                  <c:v>43166</c:v>
                </c:pt>
                <c:pt idx="762">
                  <c:v>43167</c:v>
                </c:pt>
                <c:pt idx="763">
                  <c:v>43168</c:v>
                </c:pt>
                <c:pt idx="764">
                  <c:v>43171</c:v>
                </c:pt>
                <c:pt idx="765">
                  <c:v>43172</c:v>
                </c:pt>
                <c:pt idx="766">
                  <c:v>43173</c:v>
                </c:pt>
                <c:pt idx="767">
                  <c:v>43174</c:v>
                </c:pt>
                <c:pt idx="768">
                  <c:v>43175</c:v>
                </c:pt>
                <c:pt idx="769">
                  <c:v>43178</c:v>
                </c:pt>
                <c:pt idx="770">
                  <c:v>43179</c:v>
                </c:pt>
                <c:pt idx="771">
                  <c:v>43180</c:v>
                </c:pt>
                <c:pt idx="772">
                  <c:v>43181</c:v>
                </c:pt>
                <c:pt idx="773">
                  <c:v>43182</c:v>
                </c:pt>
                <c:pt idx="774">
                  <c:v>43185</c:v>
                </c:pt>
                <c:pt idx="775">
                  <c:v>43186</c:v>
                </c:pt>
                <c:pt idx="776">
                  <c:v>43187</c:v>
                </c:pt>
                <c:pt idx="777">
                  <c:v>43188</c:v>
                </c:pt>
                <c:pt idx="778">
                  <c:v>43192</c:v>
                </c:pt>
                <c:pt idx="779">
                  <c:v>43193</c:v>
                </c:pt>
                <c:pt idx="780">
                  <c:v>43194</c:v>
                </c:pt>
                <c:pt idx="781">
                  <c:v>43195</c:v>
                </c:pt>
                <c:pt idx="782">
                  <c:v>43196</c:v>
                </c:pt>
                <c:pt idx="783">
                  <c:v>43199</c:v>
                </c:pt>
                <c:pt idx="784">
                  <c:v>43200</c:v>
                </c:pt>
                <c:pt idx="785">
                  <c:v>43201</c:v>
                </c:pt>
                <c:pt idx="786">
                  <c:v>43202</c:v>
                </c:pt>
                <c:pt idx="787">
                  <c:v>43203</c:v>
                </c:pt>
                <c:pt idx="788">
                  <c:v>43206</c:v>
                </c:pt>
                <c:pt idx="789">
                  <c:v>43207</c:v>
                </c:pt>
                <c:pt idx="790">
                  <c:v>43208</c:v>
                </c:pt>
                <c:pt idx="791">
                  <c:v>43209</c:v>
                </c:pt>
                <c:pt idx="792">
                  <c:v>43210</c:v>
                </c:pt>
                <c:pt idx="793">
                  <c:v>43213</c:v>
                </c:pt>
                <c:pt idx="794">
                  <c:v>43214</c:v>
                </c:pt>
                <c:pt idx="795">
                  <c:v>43215</c:v>
                </c:pt>
                <c:pt idx="796">
                  <c:v>43216</c:v>
                </c:pt>
                <c:pt idx="797">
                  <c:v>43217</c:v>
                </c:pt>
                <c:pt idx="798">
                  <c:v>43220</c:v>
                </c:pt>
                <c:pt idx="799">
                  <c:v>43221</c:v>
                </c:pt>
                <c:pt idx="800">
                  <c:v>43222</c:v>
                </c:pt>
                <c:pt idx="801">
                  <c:v>43223</c:v>
                </c:pt>
                <c:pt idx="802">
                  <c:v>43224</c:v>
                </c:pt>
                <c:pt idx="803">
                  <c:v>43227</c:v>
                </c:pt>
                <c:pt idx="804">
                  <c:v>43228</c:v>
                </c:pt>
                <c:pt idx="805">
                  <c:v>43229</c:v>
                </c:pt>
                <c:pt idx="806">
                  <c:v>43230</c:v>
                </c:pt>
                <c:pt idx="807">
                  <c:v>43231</c:v>
                </c:pt>
                <c:pt idx="808">
                  <c:v>43234</c:v>
                </c:pt>
                <c:pt idx="809">
                  <c:v>43235</c:v>
                </c:pt>
                <c:pt idx="810">
                  <c:v>43236</c:v>
                </c:pt>
                <c:pt idx="811">
                  <c:v>43237</c:v>
                </c:pt>
                <c:pt idx="812">
                  <c:v>43238</c:v>
                </c:pt>
                <c:pt idx="813">
                  <c:v>43241</c:v>
                </c:pt>
                <c:pt idx="814">
                  <c:v>43242</c:v>
                </c:pt>
                <c:pt idx="815">
                  <c:v>43243</c:v>
                </c:pt>
                <c:pt idx="816">
                  <c:v>43244</c:v>
                </c:pt>
                <c:pt idx="817">
                  <c:v>43245</c:v>
                </c:pt>
                <c:pt idx="818">
                  <c:v>43249</c:v>
                </c:pt>
                <c:pt idx="819">
                  <c:v>43250</c:v>
                </c:pt>
                <c:pt idx="820">
                  <c:v>43251</c:v>
                </c:pt>
                <c:pt idx="821">
                  <c:v>43252</c:v>
                </c:pt>
                <c:pt idx="822">
                  <c:v>43255</c:v>
                </c:pt>
                <c:pt idx="823">
                  <c:v>43256</c:v>
                </c:pt>
                <c:pt idx="824">
                  <c:v>43257</c:v>
                </c:pt>
                <c:pt idx="825">
                  <c:v>43258</c:v>
                </c:pt>
                <c:pt idx="826">
                  <c:v>43259</c:v>
                </c:pt>
                <c:pt idx="827">
                  <c:v>43262</c:v>
                </c:pt>
                <c:pt idx="828">
                  <c:v>43263</c:v>
                </c:pt>
                <c:pt idx="829">
                  <c:v>43264</c:v>
                </c:pt>
                <c:pt idx="830">
                  <c:v>43265</c:v>
                </c:pt>
                <c:pt idx="831">
                  <c:v>43266</c:v>
                </c:pt>
                <c:pt idx="832">
                  <c:v>43269</c:v>
                </c:pt>
                <c:pt idx="833">
                  <c:v>43270</c:v>
                </c:pt>
                <c:pt idx="834">
                  <c:v>43271</c:v>
                </c:pt>
                <c:pt idx="835">
                  <c:v>43272</c:v>
                </c:pt>
                <c:pt idx="836">
                  <c:v>43273</c:v>
                </c:pt>
                <c:pt idx="837">
                  <c:v>43276</c:v>
                </c:pt>
                <c:pt idx="838">
                  <c:v>43277</c:v>
                </c:pt>
                <c:pt idx="839">
                  <c:v>43278</c:v>
                </c:pt>
                <c:pt idx="840">
                  <c:v>43279</c:v>
                </c:pt>
                <c:pt idx="841">
                  <c:v>43280</c:v>
                </c:pt>
                <c:pt idx="842">
                  <c:v>43283</c:v>
                </c:pt>
                <c:pt idx="843">
                  <c:v>43284</c:v>
                </c:pt>
                <c:pt idx="844">
                  <c:v>43286</c:v>
                </c:pt>
                <c:pt idx="845">
                  <c:v>43287</c:v>
                </c:pt>
                <c:pt idx="846">
                  <c:v>43290</c:v>
                </c:pt>
                <c:pt idx="847">
                  <c:v>43291</c:v>
                </c:pt>
                <c:pt idx="848">
                  <c:v>43292</c:v>
                </c:pt>
                <c:pt idx="849">
                  <c:v>43293</c:v>
                </c:pt>
                <c:pt idx="850">
                  <c:v>43294</c:v>
                </c:pt>
                <c:pt idx="851">
                  <c:v>43297</c:v>
                </c:pt>
                <c:pt idx="852">
                  <c:v>43298</c:v>
                </c:pt>
                <c:pt idx="853">
                  <c:v>43299</c:v>
                </c:pt>
                <c:pt idx="854">
                  <c:v>43300</c:v>
                </c:pt>
                <c:pt idx="855">
                  <c:v>43301</c:v>
                </c:pt>
                <c:pt idx="856">
                  <c:v>43304</c:v>
                </c:pt>
                <c:pt idx="857">
                  <c:v>43305</c:v>
                </c:pt>
                <c:pt idx="858">
                  <c:v>43306</c:v>
                </c:pt>
                <c:pt idx="859">
                  <c:v>43307</c:v>
                </c:pt>
                <c:pt idx="860">
                  <c:v>43308</c:v>
                </c:pt>
                <c:pt idx="861">
                  <c:v>43311</c:v>
                </c:pt>
                <c:pt idx="862">
                  <c:v>43312</c:v>
                </c:pt>
                <c:pt idx="863">
                  <c:v>43313</c:v>
                </c:pt>
                <c:pt idx="864">
                  <c:v>43314</c:v>
                </c:pt>
                <c:pt idx="865">
                  <c:v>43315</c:v>
                </c:pt>
                <c:pt idx="866">
                  <c:v>43318</c:v>
                </c:pt>
                <c:pt idx="867">
                  <c:v>43319</c:v>
                </c:pt>
                <c:pt idx="868">
                  <c:v>43320</c:v>
                </c:pt>
                <c:pt idx="869">
                  <c:v>43321</c:v>
                </c:pt>
                <c:pt idx="870">
                  <c:v>43322</c:v>
                </c:pt>
                <c:pt idx="871">
                  <c:v>43325</c:v>
                </c:pt>
                <c:pt idx="872">
                  <c:v>43326</c:v>
                </c:pt>
                <c:pt idx="873">
                  <c:v>43327</c:v>
                </c:pt>
                <c:pt idx="874">
                  <c:v>43328</c:v>
                </c:pt>
                <c:pt idx="875">
                  <c:v>43329</c:v>
                </c:pt>
                <c:pt idx="876">
                  <c:v>43332</c:v>
                </c:pt>
                <c:pt idx="877">
                  <c:v>43333</c:v>
                </c:pt>
                <c:pt idx="878">
                  <c:v>43334</c:v>
                </c:pt>
                <c:pt idx="879">
                  <c:v>43335</c:v>
                </c:pt>
                <c:pt idx="880">
                  <c:v>43336</c:v>
                </c:pt>
                <c:pt idx="881">
                  <c:v>43339</c:v>
                </c:pt>
                <c:pt idx="882">
                  <c:v>43340</c:v>
                </c:pt>
                <c:pt idx="883">
                  <c:v>43341</c:v>
                </c:pt>
                <c:pt idx="884">
                  <c:v>43342</c:v>
                </c:pt>
                <c:pt idx="885">
                  <c:v>43343</c:v>
                </c:pt>
                <c:pt idx="886">
                  <c:v>43347</c:v>
                </c:pt>
                <c:pt idx="887">
                  <c:v>43348</c:v>
                </c:pt>
                <c:pt idx="888">
                  <c:v>43349</c:v>
                </c:pt>
                <c:pt idx="889">
                  <c:v>43350</c:v>
                </c:pt>
                <c:pt idx="890">
                  <c:v>43353</c:v>
                </c:pt>
                <c:pt idx="891">
                  <c:v>43354</c:v>
                </c:pt>
                <c:pt idx="892">
                  <c:v>43355</c:v>
                </c:pt>
                <c:pt idx="893">
                  <c:v>43356</c:v>
                </c:pt>
                <c:pt idx="894">
                  <c:v>43357</c:v>
                </c:pt>
                <c:pt idx="895">
                  <c:v>43360</c:v>
                </c:pt>
                <c:pt idx="896">
                  <c:v>43361</c:v>
                </c:pt>
                <c:pt idx="897">
                  <c:v>43362</c:v>
                </c:pt>
                <c:pt idx="898">
                  <c:v>43363</c:v>
                </c:pt>
                <c:pt idx="899">
                  <c:v>43364</c:v>
                </c:pt>
                <c:pt idx="900">
                  <c:v>43367</c:v>
                </c:pt>
                <c:pt idx="901">
                  <c:v>43368</c:v>
                </c:pt>
                <c:pt idx="902">
                  <c:v>43369</c:v>
                </c:pt>
                <c:pt idx="903">
                  <c:v>43370</c:v>
                </c:pt>
                <c:pt idx="904">
                  <c:v>43371</c:v>
                </c:pt>
                <c:pt idx="905">
                  <c:v>43374</c:v>
                </c:pt>
                <c:pt idx="906">
                  <c:v>43375</c:v>
                </c:pt>
                <c:pt idx="907">
                  <c:v>43376</c:v>
                </c:pt>
                <c:pt idx="908">
                  <c:v>43377</c:v>
                </c:pt>
                <c:pt idx="909">
                  <c:v>43378</c:v>
                </c:pt>
                <c:pt idx="910">
                  <c:v>43381</c:v>
                </c:pt>
                <c:pt idx="911">
                  <c:v>43382</c:v>
                </c:pt>
                <c:pt idx="912">
                  <c:v>43383</c:v>
                </c:pt>
                <c:pt idx="913">
                  <c:v>43384</c:v>
                </c:pt>
                <c:pt idx="914">
                  <c:v>43385</c:v>
                </c:pt>
                <c:pt idx="915">
                  <c:v>43388</c:v>
                </c:pt>
                <c:pt idx="916">
                  <c:v>43389</c:v>
                </c:pt>
                <c:pt idx="917">
                  <c:v>43390</c:v>
                </c:pt>
                <c:pt idx="918">
                  <c:v>43391</c:v>
                </c:pt>
                <c:pt idx="919">
                  <c:v>43392</c:v>
                </c:pt>
                <c:pt idx="920">
                  <c:v>43395</c:v>
                </c:pt>
                <c:pt idx="921">
                  <c:v>43396</c:v>
                </c:pt>
                <c:pt idx="922">
                  <c:v>43397</c:v>
                </c:pt>
                <c:pt idx="923">
                  <c:v>43398</c:v>
                </c:pt>
                <c:pt idx="924">
                  <c:v>43399</c:v>
                </c:pt>
                <c:pt idx="925">
                  <c:v>43402</c:v>
                </c:pt>
                <c:pt idx="926">
                  <c:v>43403</c:v>
                </c:pt>
                <c:pt idx="927">
                  <c:v>43404</c:v>
                </c:pt>
                <c:pt idx="928">
                  <c:v>43405</c:v>
                </c:pt>
                <c:pt idx="929">
                  <c:v>43406</c:v>
                </c:pt>
                <c:pt idx="930">
                  <c:v>43409</c:v>
                </c:pt>
                <c:pt idx="931">
                  <c:v>43410</c:v>
                </c:pt>
                <c:pt idx="932">
                  <c:v>43411</c:v>
                </c:pt>
                <c:pt idx="933">
                  <c:v>43412</c:v>
                </c:pt>
                <c:pt idx="934">
                  <c:v>43413</c:v>
                </c:pt>
                <c:pt idx="935">
                  <c:v>43416</c:v>
                </c:pt>
                <c:pt idx="936">
                  <c:v>43417</c:v>
                </c:pt>
                <c:pt idx="937">
                  <c:v>43418</c:v>
                </c:pt>
                <c:pt idx="938">
                  <c:v>43419</c:v>
                </c:pt>
                <c:pt idx="939">
                  <c:v>43420</c:v>
                </c:pt>
                <c:pt idx="940">
                  <c:v>43423</c:v>
                </c:pt>
                <c:pt idx="941">
                  <c:v>43424</c:v>
                </c:pt>
                <c:pt idx="942">
                  <c:v>43425</c:v>
                </c:pt>
                <c:pt idx="943">
                  <c:v>43427</c:v>
                </c:pt>
                <c:pt idx="944">
                  <c:v>43430</c:v>
                </c:pt>
                <c:pt idx="945">
                  <c:v>43431</c:v>
                </c:pt>
                <c:pt idx="946">
                  <c:v>43432</c:v>
                </c:pt>
                <c:pt idx="947">
                  <c:v>43433</c:v>
                </c:pt>
                <c:pt idx="948">
                  <c:v>43434</c:v>
                </c:pt>
                <c:pt idx="949">
                  <c:v>43437</c:v>
                </c:pt>
                <c:pt idx="950">
                  <c:v>43438</c:v>
                </c:pt>
                <c:pt idx="951">
                  <c:v>43440</c:v>
                </c:pt>
                <c:pt idx="952">
                  <c:v>43441</c:v>
                </c:pt>
                <c:pt idx="953">
                  <c:v>43444</c:v>
                </c:pt>
                <c:pt idx="954">
                  <c:v>43445</c:v>
                </c:pt>
                <c:pt idx="955">
                  <c:v>43446</c:v>
                </c:pt>
                <c:pt idx="956">
                  <c:v>43447</c:v>
                </c:pt>
                <c:pt idx="957">
                  <c:v>43448</c:v>
                </c:pt>
                <c:pt idx="958">
                  <c:v>43451</c:v>
                </c:pt>
                <c:pt idx="959">
                  <c:v>43452</c:v>
                </c:pt>
                <c:pt idx="960">
                  <c:v>43453</c:v>
                </c:pt>
                <c:pt idx="961">
                  <c:v>43454</c:v>
                </c:pt>
                <c:pt idx="962">
                  <c:v>43455</c:v>
                </c:pt>
                <c:pt idx="963">
                  <c:v>43458</c:v>
                </c:pt>
                <c:pt idx="964">
                  <c:v>43460</c:v>
                </c:pt>
                <c:pt idx="965">
                  <c:v>43461</c:v>
                </c:pt>
                <c:pt idx="966">
                  <c:v>43462</c:v>
                </c:pt>
                <c:pt idx="967">
                  <c:v>43465</c:v>
                </c:pt>
                <c:pt idx="968">
                  <c:v>43467</c:v>
                </c:pt>
                <c:pt idx="969">
                  <c:v>43468</c:v>
                </c:pt>
                <c:pt idx="970">
                  <c:v>43469</c:v>
                </c:pt>
                <c:pt idx="971">
                  <c:v>43472</c:v>
                </c:pt>
                <c:pt idx="972">
                  <c:v>43473</c:v>
                </c:pt>
                <c:pt idx="973">
                  <c:v>43474</c:v>
                </c:pt>
                <c:pt idx="974">
                  <c:v>43475</c:v>
                </c:pt>
                <c:pt idx="975">
                  <c:v>43476</c:v>
                </c:pt>
                <c:pt idx="976">
                  <c:v>43479</c:v>
                </c:pt>
                <c:pt idx="977">
                  <c:v>43480</c:v>
                </c:pt>
                <c:pt idx="978">
                  <c:v>43481</c:v>
                </c:pt>
                <c:pt idx="979">
                  <c:v>43482</c:v>
                </c:pt>
                <c:pt idx="980">
                  <c:v>43483</c:v>
                </c:pt>
                <c:pt idx="981">
                  <c:v>43487</c:v>
                </c:pt>
                <c:pt idx="982">
                  <c:v>43488</c:v>
                </c:pt>
                <c:pt idx="983">
                  <c:v>43489</c:v>
                </c:pt>
                <c:pt idx="984">
                  <c:v>43490</c:v>
                </c:pt>
                <c:pt idx="985">
                  <c:v>43493</c:v>
                </c:pt>
                <c:pt idx="986">
                  <c:v>43494</c:v>
                </c:pt>
                <c:pt idx="987">
                  <c:v>43495</c:v>
                </c:pt>
                <c:pt idx="988">
                  <c:v>43496</c:v>
                </c:pt>
                <c:pt idx="989">
                  <c:v>43497</c:v>
                </c:pt>
                <c:pt idx="990">
                  <c:v>43500</c:v>
                </c:pt>
                <c:pt idx="991">
                  <c:v>43501</c:v>
                </c:pt>
                <c:pt idx="992">
                  <c:v>43502</c:v>
                </c:pt>
                <c:pt idx="993">
                  <c:v>43503</c:v>
                </c:pt>
                <c:pt idx="994">
                  <c:v>43504</c:v>
                </c:pt>
                <c:pt idx="995">
                  <c:v>43507</c:v>
                </c:pt>
                <c:pt idx="996">
                  <c:v>43508</c:v>
                </c:pt>
                <c:pt idx="997">
                  <c:v>43509</c:v>
                </c:pt>
                <c:pt idx="998">
                  <c:v>43510</c:v>
                </c:pt>
                <c:pt idx="999">
                  <c:v>43511</c:v>
                </c:pt>
                <c:pt idx="1000">
                  <c:v>43515</c:v>
                </c:pt>
                <c:pt idx="1001">
                  <c:v>43516</c:v>
                </c:pt>
                <c:pt idx="1002">
                  <c:v>43517</c:v>
                </c:pt>
                <c:pt idx="1003">
                  <c:v>43518</c:v>
                </c:pt>
                <c:pt idx="1004">
                  <c:v>43521</c:v>
                </c:pt>
                <c:pt idx="1005">
                  <c:v>43522</c:v>
                </c:pt>
                <c:pt idx="1006">
                  <c:v>43523</c:v>
                </c:pt>
                <c:pt idx="1007">
                  <c:v>43524</c:v>
                </c:pt>
                <c:pt idx="1008">
                  <c:v>43525</c:v>
                </c:pt>
                <c:pt idx="1009">
                  <c:v>43528</c:v>
                </c:pt>
                <c:pt idx="1010">
                  <c:v>43529</c:v>
                </c:pt>
                <c:pt idx="1011">
                  <c:v>43530</c:v>
                </c:pt>
                <c:pt idx="1012">
                  <c:v>43531</c:v>
                </c:pt>
                <c:pt idx="1013">
                  <c:v>43532</c:v>
                </c:pt>
                <c:pt idx="1014">
                  <c:v>43535</c:v>
                </c:pt>
                <c:pt idx="1015">
                  <c:v>43536</c:v>
                </c:pt>
                <c:pt idx="1016">
                  <c:v>43537</c:v>
                </c:pt>
                <c:pt idx="1017">
                  <c:v>43538</c:v>
                </c:pt>
                <c:pt idx="1018">
                  <c:v>43539</c:v>
                </c:pt>
                <c:pt idx="1019">
                  <c:v>43542</c:v>
                </c:pt>
                <c:pt idx="1020">
                  <c:v>43543</c:v>
                </c:pt>
                <c:pt idx="1021">
                  <c:v>43544</c:v>
                </c:pt>
                <c:pt idx="1022">
                  <c:v>43545</c:v>
                </c:pt>
                <c:pt idx="1023">
                  <c:v>43546</c:v>
                </c:pt>
                <c:pt idx="1024">
                  <c:v>43549</c:v>
                </c:pt>
                <c:pt idx="1025">
                  <c:v>43550</c:v>
                </c:pt>
                <c:pt idx="1026">
                  <c:v>43551</c:v>
                </c:pt>
                <c:pt idx="1027">
                  <c:v>43552</c:v>
                </c:pt>
                <c:pt idx="1028">
                  <c:v>43553</c:v>
                </c:pt>
                <c:pt idx="1029">
                  <c:v>43556</c:v>
                </c:pt>
                <c:pt idx="1030">
                  <c:v>43557</c:v>
                </c:pt>
                <c:pt idx="1031">
                  <c:v>43558</c:v>
                </c:pt>
                <c:pt idx="1032">
                  <c:v>43559</c:v>
                </c:pt>
                <c:pt idx="1033">
                  <c:v>43560</c:v>
                </c:pt>
                <c:pt idx="1034">
                  <c:v>43563</c:v>
                </c:pt>
                <c:pt idx="1035">
                  <c:v>43564</c:v>
                </c:pt>
                <c:pt idx="1036">
                  <c:v>43565</c:v>
                </c:pt>
                <c:pt idx="1037">
                  <c:v>43566</c:v>
                </c:pt>
                <c:pt idx="1038">
                  <c:v>43567</c:v>
                </c:pt>
                <c:pt idx="1039">
                  <c:v>43570</c:v>
                </c:pt>
                <c:pt idx="1040">
                  <c:v>43571</c:v>
                </c:pt>
                <c:pt idx="1041">
                  <c:v>43572</c:v>
                </c:pt>
                <c:pt idx="1042">
                  <c:v>43573</c:v>
                </c:pt>
                <c:pt idx="1043">
                  <c:v>43577</c:v>
                </c:pt>
                <c:pt idx="1044">
                  <c:v>43578</c:v>
                </c:pt>
                <c:pt idx="1045">
                  <c:v>43579</c:v>
                </c:pt>
                <c:pt idx="1046">
                  <c:v>43580</c:v>
                </c:pt>
                <c:pt idx="1047">
                  <c:v>43581</c:v>
                </c:pt>
                <c:pt idx="1048">
                  <c:v>43584</c:v>
                </c:pt>
                <c:pt idx="1049">
                  <c:v>43585</c:v>
                </c:pt>
                <c:pt idx="1050">
                  <c:v>43586</c:v>
                </c:pt>
                <c:pt idx="1051">
                  <c:v>43587</c:v>
                </c:pt>
                <c:pt idx="1052">
                  <c:v>43588</c:v>
                </c:pt>
                <c:pt idx="1053">
                  <c:v>43591</c:v>
                </c:pt>
                <c:pt idx="1054">
                  <c:v>43592</c:v>
                </c:pt>
                <c:pt idx="1055">
                  <c:v>43593</c:v>
                </c:pt>
                <c:pt idx="1056">
                  <c:v>43594</c:v>
                </c:pt>
                <c:pt idx="1057">
                  <c:v>43595</c:v>
                </c:pt>
                <c:pt idx="1058">
                  <c:v>43598</c:v>
                </c:pt>
                <c:pt idx="1059">
                  <c:v>43599</c:v>
                </c:pt>
                <c:pt idx="1060">
                  <c:v>43600</c:v>
                </c:pt>
                <c:pt idx="1061">
                  <c:v>43601</c:v>
                </c:pt>
                <c:pt idx="1062">
                  <c:v>43602</c:v>
                </c:pt>
                <c:pt idx="1063">
                  <c:v>43605</c:v>
                </c:pt>
                <c:pt idx="1064">
                  <c:v>43606</c:v>
                </c:pt>
                <c:pt idx="1065">
                  <c:v>43607</c:v>
                </c:pt>
                <c:pt idx="1066">
                  <c:v>43608</c:v>
                </c:pt>
                <c:pt idx="1067">
                  <c:v>43609</c:v>
                </c:pt>
                <c:pt idx="1068">
                  <c:v>43613</c:v>
                </c:pt>
                <c:pt idx="1069">
                  <c:v>43614</c:v>
                </c:pt>
                <c:pt idx="1070">
                  <c:v>43615</c:v>
                </c:pt>
                <c:pt idx="1071">
                  <c:v>43616</c:v>
                </c:pt>
                <c:pt idx="1072">
                  <c:v>43619</c:v>
                </c:pt>
                <c:pt idx="1073">
                  <c:v>43620</c:v>
                </c:pt>
                <c:pt idx="1074">
                  <c:v>43621</c:v>
                </c:pt>
                <c:pt idx="1075">
                  <c:v>43622</c:v>
                </c:pt>
                <c:pt idx="1076">
                  <c:v>43623</c:v>
                </c:pt>
                <c:pt idx="1077">
                  <c:v>43626</c:v>
                </c:pt>
                <c:pt idx="1078">
                  <c:v>43627</c:v>
                </c:pt>
                <c:pt idx="1079">
                  <c:v>43628</c:v>
                </c:pt>
                <c:pt idx="1080">
                  <c:v>43629</c:v>
                </c:pt>
                <c:pt idx="1081">
                  <c:v>43630</c:v>
                </c:pt>
                <c:pt idx="1082">
                  <c:v>43633</c:v>
                </c:pt>
                <c:pt idx="1083">
                  <c:v>43634</c:v>
                </c:pt>
                <c:pt idx="1084">
                  <c:v>43635</c:v>
                </c:pt>
                <c:pt idx="1085">
                  <c:v>43636</c:v>
                </c:pt>
                <c:pt idx="1086">
                  <c:v>43637</c:v>
                </c:pt>
                <c:pt idx="1087">
                  <c:v>43640</c:v>
                </c:pt>
                <c:pt idx="1088">
                  <c:v>43641</c:v>
                </c:pt>
                <c:pt idx="1089">
                  <c:v>43642</c:v>
                </c:pt>
                <c:pt idx="1090">
                  <c:v>43643</c:v>
                </c:pt>
                <c:pt idx="1091">
                  <c:v>43644</c:v>
                </c:pt>
                <c:pt idx="1092">
                  <c:v>43647</c:v>
                </c:pt>
                <c:pt idx="1093">
                  <c:v>43648</c:v>
                </c:pt>
                <c:pt idx="1094">
                  <c:v>43649</c:v>
                </c:pt>
                <c:pt idx="1095">
                  <c:v>43651</c:v>
                </c:pt>
                <c:pt idx="1096">
                  <c:v>43654</c:v>
                </c:pt>
                <c:pt idx="1097">
                  <c:v>43655</c:v>
                </c:pt>
                <c:pt idx="1098">
                  <c:v>43656</c:v>
                </c:pt>
                <c:pt idx="1099">
                  <c:v>43657</c:v>
                </c:pt>
                <c:pt idx="1100">
                  <c:v>43658</c:v>
                </c:pt>
                <c:pt idx="1101">
                  <c:v>43661</c:v>
                </c:pt>
                <c:pt idx="1102">
                  <c:v>43662</c:v>
                </c:pt>
                <c:pt idx="1103">
                  <c:v>43663</c:v>
                </c:pt>
                <c:pt idx="1104">
                  <c:v>43664</c:v>
                </c:pt>
                <c:pt idx="1105">
                  <c:v>43665</c:v>
                </c:pt>
                <c:pt idx="1106">
                  <c:v>43668</c:v>
                </c:pt>
                <c:pt idx="1107">
                  <c:v>43669</c:v>
                </c:pt>
                <c:pt idx="1108">
                  <c:v>43670</c:v>
                </c:pt>
                <c:pt idx="1109">
                  <c:v>43671</c:v>
                </c:pt>
                <c:pt idx="1110">
                  <c:v>43672</c:v>
                </c:pt>
                <c:pt idx="1111">
                  <c:v>43675</c:v>
                </c:pt>
                <c:pt idx="1112">
                  <c:v>43676</c:v>
                </c:pt>
                <c:pt idx="1113">
                  <c:v>43677</c:v>
                </c:pt>
                <c:pt idx="1114">
                  <c:v>43678</c:v>
                </c:pt>
                <c:pt idx="1115">
                  <c:v>43679</c:v>
                </c:pt>
                <c:pt idx="1116">
                  <c:v>43682</c:v>
                </c:pt>
                <c:pt idx="1117">
                  <c:v>43683</c:v>
                </c:pt>
                <c:pt idx="1118">
                  <c:v>43684</c:v>
                </c:pt>
                <c:pt idx="1119">
                  <c:v>43685</c:v>
                </c:pt>
                <c:pt idx="1120">
                  <c:v>43686</c:v>
                </c:pt>
                <c:pt idx="1121">
                  <c:v>43689</c:v>
                </c:pt>
                <c:pt idx="1122">
                  <c:v>43690</c:v>
                </c:pt>
                <c:pt idx="1123">
                  <c:v>43691</c:v>
                </c:pt>
                <c:pt idx="1124">
                  <c:v>43692</c:v>
                </c:pt>
                <c:pt idx="1125">
                  <c:v>43693</c:v>
                </c:pt>
                <c:pt idx="1126">
                  <c:v>43696</c:v>
                </c:pt>
                <c:pt idx="1127">
                  <c:v>43697</c:v>
                </c:pt>
                <c:pt idx="1128">
                  <c:v>43698</c:v>
                </c:pt>
                <c:pt idx="1129">
                  <c:v>43699</c:v>
                </c:pt>
                <c:pt idx="1130">
                  <c:v>43700</c:v>
                </c:pt>
                <c:pt idx="1131">
                  <c:v>43703</c:v>
                </c:pt>
                <c:pt idx="1132">
                  <c:v>43704</c:v>
                </c:pt>
                <c:pt idx="1133">
                  <c:v>43705</c:v>
                </c:pt>
                <c:pt idx="1134">
                  <c:v>43706</c:v>
                </c:pt>
                <c:pt idx="1135">
                  <c:v>43707</c:v>
                </c:pt>
                <c:pt idx="1136">
                  <c:v>43711</c:v>
                </c:pt>
                <c:pt idx="1137">
                  <c:v>43712</c:v>
                </c:pt>
                <c:pt idx="1138">
                  <c:v>43713</c:v>
                </c:pt>
                <c:pt idx="1139">
                  <c:v>43714</c:v>
                </c:pt>
                <c:pt idx="1140">
                  <c:v>43717</c:v>
                </c:pt>
                <c:pt idx="1141">
                  <c:v>43718</c:v>
                </c:pt>
                <c:pt idx="1142">
                  <c:v>43719</c:v>
                </c:pt>
                <c:pt idx="1143">
                  <c:v>43720</c:v>
                </c:pt>
                <c:pt idx="1144">
                  <c:v>43721</c:v>
                </c:pt>
                <c:pt idx="1145">
                  <c:v>43724</c:v>
                </c:pt>
                <c:pt idx="1146">
                  <c:v>43725</c:v>
                </c:pt>
                <c:pt idx="1147">
                  <c:v>43726</c:v>
                </c:pt>
                <c:pt idx="1148">
                  <c:v>43727</c:v>
                </c:pt>
                <c:pt idx="1149">
                  <c:v>43728</c:v>
                </c:pt>
                <c:pt idx="1150">
                  <c:v>43731</c:v>
                </c:pt>
                <c:pt idx="1151">
                  <c:v>43732</c:v>
                </c:pt>
                <c:pt idx="1152">
                  <c:v>43733</c:v>
                </c:pt>
                <c:pt idx="1153">
                  <c:v>43734</c:v>
                </c:pt>
                <c:pt idx="1154">
                  <c:v>43735</c:v>
                </c:pt>
                <c:pt idx="1155">
                  <c:v>43738</c:v>
                </c:pt>
                <c:pt idx="1156">
                  <c:v>43739</c:v>
                </c:pt>
                <c:pt idx="1157">
                  <c:v>43740</c:v>
                </c:pt>
                <c:pt idx="1158">
                  <c:v>43741</c:v>
                </c:pt>
                <c:pt idx="1159">
                  <c:v>43742</c:v>
                </c:pt>
                <c:pt idx="1160">
                  <c:v>43745</c:v>
                </c:pt>
                <c:pt idx="1161">
                  <c:v>43746</c:v>
                </c:pt>
                <c:pt idx="1162">
                  <c:v>43747</c:v>
                </c:pt>
                <c:pt idx="1163">
                  <c:v>43748</c:v>
                </c:pt>
                <c:pt idx="1164">
                  <c:v>43749</c:v>
                </c:pt>
                <c:pt idx="1165">
                  <c:v>43752</c:v>
                </c:pt>
                <c:pt idx="1166">
                  <c:v>43753</c:v>
                </c:pt>
                <c:pt idx="1167">
                  <c:v>43754</c:v>
                </c:pt>
                <c:pt idx="1168">
                  <c:v>43755</c:v>
                </c:pt>
                <c:pt idx="1169">
                  <c:v>43756</c:v>
                </c:pt>
                <c:pt idx="1170">
                  <c:v>43759</c:v>
                </c:pt>
                <c:pt idx="1171">
                  <c:v>43760</c:v>
                </c:pt>
                <c:pt idx="1172">
                  <c:v>43761</c:v>
                </c:pt>
                <c:pt idx="1173">
                  <c:v>43762</c:v>
                </c:pt>
                <c:pt idx="1174">
                  <c:v>43763</c:v>
                </c:pt>
                <c:pt idx="1175">
                  <c:v>43766</c:v>
                </c:pt>
                <c:pt idx="1176">
                  <c:v>43767</c:v>
                </c:pt>
                <c:pt idx="1177">
                  <c:v>43768</c:v>
                </c:pt>
                <c:pt idx="1178">
                  <c:v>43769</c:v>
                </c:pt>
                <c:pt idx="1179">
                  <c:v>43770</c:v>
                </c:pt>
                <c:pt idx="1180">
                  <c:v>43773</c:v>
                </c:pt>
                <c:pt idx="1181">
                  <c:v>43774</c:v>
                </c:pt>
                <c:pt idx="1182">
                  <c:v>43775</c:v>
                </c:pt>
                <c:pt idx="1183">
                  <c:v>43776</c:v>
                </c:pt>
                <c:pt idx="1184">
                  <c:v>43777</c:v>
                </c:pt>
                <c:pt idx="1185">
                  <c:v>43780</c:v>
                </c:pt>
                <c:pt idx="1186">
                  <c:v>43781</c:v>
                </c:pt>
                <c:pt idx="1187">
                  <c:v>43782</c:v>
                </c:pt>
                <c:pt idx="1188">
                  <c:v>43783</c:v>
                </c:pt>
                <c:pt idx="1189">
                  <c:v>43784</c:v>
                </c:pt>
                <c:pt idx="1190">
                  <c:v>43787</c:v>
                </c:pt>
                <c:pt idx="1191">
                  <c:v>43788</c:v>
                </c:pt>
                <c:pt idx="1192">
                  <c:v>43789</c:v>
                </c:pt>
                <c:pt idx="1193">
                  <c:v>43790</c:v>
                </c:pt>
                <c:pt idx="1194">
                  <c:v>43791</c:v>
                </c:pt>
                <c:pt idx="1195">
                  <c:v>43794</c:v>
                </c:pt>
                <c:pt idx="1196">
                  <c:v>43795</c:v>
                </c:pt>
                <c:pt idx="1197">
                  <c:v>43796</c:v>
                </c:pt>
                <c:pt idx="1198">
                  <c:v>43798</c:v>
                </c:pt>
                <c:pt idx="1199">
                  <c:v>43801</c:v>
                </c:pt>
                <c:pt idx="1200">
                  <c:v>43802</c:v>
                </c:pt>
                <c:pt idx="1201">
                  <c:v>43803</c:v>
                </c:pt>
                <c:pt idx="1202">
                  <c:v>43804</c:v>
                </c:pt>
                <c:pt idx="1203">
                  <c:v>43805</c:v>
                </c:pt>
                <c:pt idx="1204">
                  <c:v>43808</c:v>
                </c:pt>
                <c:pt idx="1205">
                  <c:v>43809</c:v>
                </c:pt>
                <c:pt idx="1206">
                  <c:v>43810</c:v>
                </c:pt>
                <c:pt idx="1207">
                  <c:v>43811</c:v>
                </c:pt>
                <c:pt idx="1208">
                  <c:v>43812</c:v>
                </c:pt>
                <c:pt idx="1209">
                  <c:v>43815</c:v>
                </c:pt>
                <c:pt idx="1210">
                  <c:v>43816</c:v>
                </c:pt>
                <c:pt idx="1211">
                  <c:v>43817</c:v>
                </c:pt>
                <c:pt idx="1212">
                  <c:v>43818</c:v>
                </c:pt>
                <c:pt idx="1213">
                  <c:v>43819</c:v>
                </c:pt>
                <c:pt idx="1214">
                  <c:v>43822</c:v>
                </c:pt>
                <c:pt idx="1215">
                  <c:v>43823</c:v>
                </c:pt>
                <c:pt idx="1216">
                  <c:v>43825</c:v>
                </c:pt>
                <c:pt idx="1217">
                  <c:v>43826</c:v>
                </c:pt>
                <c:pt idx="1218">
                  <c:v>43829</c:v>
                </c:pt>
                <c:pt idx="1219">
                  <c:v>43830</c:v>
                </c:pt>
                <c:pt idx="1220">
                  <c:v>43832</c:v>
                </c:pt>
                <c:pt idx="1221">
                  <c:v>43833</c:v>
                </c:pt>
                <c:pt idx="1222">
                  <c:v>43836</c:v>
                </c:pt>
                <c:pt idx="1223">
                  <c:v>43837</c:v>
                </c:pt>
                <c:pt idx="1224">
                  <c:v>43838</c:v>
                </c:pt>
                <c:pt idx="1225">
                  <c:v>43839</c:v>
                </c:pt>
                <c:pt idx="1226">
                  <c:v>43840</c:v>
                </c:pt>
                <c:pt idx="1227">
                  <c:v>43843</c:v>
                </c:pt>
                <c:pt idx="1228">
                  <c:v>43844</c:v>
                </c:pt>
                <c:pt idx="1229">
                  <c:v>43845</c:v>
                </c:pt>
                <c:pt idx="1230">
                  <c:v>43846</c:v>
                </c:pt>
                <c:pt idx="1231">
                  <c:v>43847</c:v>
                </c:pt>
                <c:pt idx="1232">
                  <c:v>43851</c:v>
                </c:pt>
                <c:pt idx="1233">
                  <c:v>43852</c:v>
                </c:pt>
                <c:pt idx="1234">
                  <c:v>43853</c:v>
                </c:pt>
                <c:pt idx="1235">
                  <c:v>43854</c:v>
                </c:pt>
                <c:pt idx="1236">
                  <c:v>43857</c:v>
                </c:pt>
                <c:pt idx="1237">
                  <c:v>43858</c:v>
                </c:pt>
                <c:pt idx="1238">
                  <c:v>43859</c:v>
                </c:pt>
                <c:pt idx="1239">
                  <c:v>43860</c:v>
                </c:pt>
                <c:pt idx="1240">
                  <c:v>43861</c:v>
                </c:pt>
                <c:pt idx="1241">
                  <c:v>43864</c:v>
                </c:pt>
                <c:pt idx="1242">
                  <c:v>43865</c:v>
                </c:pt>
                <c:pt idx="1243">
                  <c:v>43866</c:v>
                </c:pt>
                <c:pt idx="1244">
                  <c:v>43867</c:v>
                </c:pt>
                <c:pt idx="1245">
                  <c:v>43868</c:v>
                </c:pt>
                <c:pt idx="1246">
                  <c:v>43871</c:v>
                </c:pt>
                <c:pt idx="1247">
                  <c:v>43872</c:v>
                </c:pt>
                <c:pt idx="1248">
                  <c:v>43873</c:v>
                </c:pt>
                <c:pt idx="1249">
                  <c:v>43874</c:v>
                </c:pt>
                <c:pt idx="1250">
                  <c:v>43875</c:v>
                </c:pt>
                <c:pt idx="1251">
                  <c:v>43879</c:v>
                </c:pt>
                <c:pt idx="1252">
                  <c:v>43880</c:v>
                </c:pt>
                <c:pt idx="1253">
                  <c:v>43881</c:v>
                </c:pt>
                <c:pt idx="1254">
                  <c:v>43882</c:v>
                </c:pt>
                <c:pt idx="1255">
                  <c:v>43885</c:v>
                </c:pt>
                <c:pt idx="1256">
                  <c:v>43886</c:v>
                </c:pt>
                <c:pt idx="1257">
                  <c:v>43887</c:v>
                </c:pt>
                <c:pt idx="1258">
                  <c:v>43888</c:v>
                </c:pt>
                <c:pt idx="1259">
                  <c:v>43889</c:v>
                </c:pt>
                <c:pt idx="1260">
                  <c:v>43892</c:v>
                </c:pt>
                <c:pt idx="1261">
                  <c:v>43893</c:v>
                </c:pt>
                <c:pt idx="1262">
                  <c:v>43894</c:v>
                </c:pt>
                <c:pt idx="1263">
                  <c:v>43895</c:v>
                </c:pt>
                <c:pt idx="1264">
                  <c:v>43896</c:v>
                </c:pt>
                <c:pt idx="1265">
                  <c:v>43899</c:v>
                </c:pt>
                <c:pt idx="1266">
                  <c:v>43900</c:v>
                </c:pt>
                <c:pt idx="1267">
                  <c:v>43901</c:v>
                </c:pt>
                <c:pt idx="1268">
                  <c:v>43902</c:v>
                </c:pt>
                <c:pt idx="1269">
                  <c:v>43903</c:v>
                </c:pt>
                <c:pt idx="1270">
                  <c:v>43906</c:v>
                </c:pt>
                <c:pt idx="1271">
                  <c:v>43907</c:v>
                </c:pt>
                <c:pt idx="1272">
                  <c:v>43908</c:v>
                </c:pt>
                <c:pt idx="1273">
                  <c:v>43909</c:v>
                </c:pt>
                <c:pt idx="1274">
                  <c:v>43910</c:v>
                </c:pt>
                <c:pt idx="1275">
                  <c:v>43913</c:v>
                </c:pt>
                <c:pt idx="1276">
                  <c:v>43914</c:v>
                </c:pt>
                <c:pt idx="1277">
                  <c:v>43915</c:v>
                </c:pt>
                <c:pt idx="1278">
                  <c:v>43916</c:v>
                </c:pt>
                <c:pt idx="1279">
                  <c:v>43917</c:v>
                </c:pt>
                <c:pt idx="1280">
                  <c:v>43920</c:v>
                </c:pt>
                <c:pt idx="1281">
                  <c:v>43921</c:v>
                </c:pt>
                <c:pt idx="1282">
                  <c:v>43922</c:v>
                </c:pt>
                <c:pt idx="1283">
                  <c:v>43923</c:v>
                </c:pt>
                <c:pt idx="1284">
                  <c:v>43924</c:v>
                </c:pt>
                <c:pt idx="1285">
                  <c:v>43927</c:v>
                </c:pt>
                <c:pt idx="1286">
                  <c:v>43928</c:v>
                </c:pt>
                <c:pt idx="1287">
                  <c:v>43929</c:v>
                </c:pt>
                <c:pt idx="1288">
                  <c:v>43930</c:v>
                </c:pt>
                <c:pt idx="1289">
                  <c:v>43934</c:v>
                </c:pt>
                <c:pt idx="1290">
                  <c:v>43935</c:v>
                </c:pt>
                <c:pt idx="1291">
                  <c:v>43936</c:v>
                </c:pt>
                <c:pt idx="1292">
                  <c:v>43937</c:v>
                </c:pt>
                <c:pt idx="1293">
                  <c:v>43938</c:v>
                </c:pt>
                <c:pt idx="1294">
                  <c:v>43941</c:v>
                </c:pt>
                <c:pt idx="1295">
                  <c:v>43942</c:v>
                </c:pt>
                <c:pt idx="1296">
                  <c:v>43943</c:v>
                </c:pt>
                <c:pt idx="1297">
                  <c:v>43944</c:v>
                </c:pt>
                <c:pt idx="1298">
                  <c:v>43945</c:v>
                </c:pt>
                <c:pt idx="1299">
                  <c:v>43948</c:v>
                </c:pt>
                <c:pt idx="1300">
                  <c:v>43949</c:v>
                </c:pt>
                <c:pt idx="1301">
                  <c:v>43950</c:v>
                </c:pt>
                <c:pt idx="1302">
                  <c:v>43951</c:v>
                </c:pt>
                <c:pt idx="1303">
                  <c:v>43952</c:v>
                </c:pt>
                <c:pt idx="1304">
                  <c:v>43955</c:v>
                </c:pt>
                <c:pt idx="1305">
                  <c:v>43956</c:v>
                </c:pt>
                <c:pt idx="1306">
                  <c:v>43957</c:v>
                </c:pt>
                <c:pt idx="1307">
                  <c:v>43958</c:v>
                </c:pt>
                <c:pt idx="1308">
                  <c:v>43959</c:v>
                </c:pt>
                <c:pt idx="1309">
                  <c:v>43962</c:v>
                </c:pt>
                <c:pt idx="1310">
                  <c:v>43963</c:v>
                </c:pt>
                <c:pt idx="1311">
                  <c:v>43964</c:v>
                </c:pt>
                <c:pt idx="1312">
                  <c:v>43965</c:v>
                </c:pt>
                <c:pt idx="1313">
                  <c:v>43966</c:v>
                </c:pt>
                <c:pt idx="1314">
                  <c:v>43969</c:v>
                </c:pt>
                <c:pt idx="1315">
                  <c:v>43970</c:v>
                </c:pt>
                <c:pt idx="1316">
                  <c:v>43971</c:v>
                </c:pt>
                <c:pt idx="1317">
                  <c:v>43972</c:v>
                </c:pt>
                <c:pt idx="1318">
                  <c:v>43973</c:v>
                </c:pt>
                <c:pt idx="1319">
                  <c:v>43977</c:v>
                </c:pt>
                <c:pt idx="1320">
                  <c:v>43978</c:v>
                </c:pt>
                <c:pt idx="1321">
                  <c:v>43979</c:v>
                </c:pt>
                <c:pt idx="1322">
                  <c:v>43980</c:v>
                </c:pt>
                <c:pt idx="1323">
                  <c:v>43983</c:v>
                </c:pt>
                <c:pt idx="1324">
                  <c:v>43984</c:v>
                </c:pt>
                <c:pt idx="1325">
                  <c:v>43985</c:v>
                </c:pt>
                <c:pt idx="1326">
                  <c:v>43986</c:v>
                </c:pt>
                <c:pt idx="1327">
                  <c:v>43987</c:v>
                </c:pt>
                <c:pt idx="1328">
                  <c:v>43990</c:v>
                </c:pt>
                <c:pt idx="1329">
                  <c:v>43991</c:v>
                </c:pt>
                <c:pt idx="1330">
                  <c:v>43992</c:v>
                </c:pt>
                <c:pt idx="1331">
                  <c:v>43993</c:v>
                </c:pt>
                <c:pt idx="1332">
                  <c:v>43994</c:v>
                </c:pt>
                <c:pt idx="1333">
                  <c:v>43997</c:v>
                </c:pt>
                <c:pt idx="1334">
                  <c:v>43998</c:v>
                </c:pt>
                <c:pt idx="1335">
                  <c:v>43999</c:v>
                </c:pt>
                <c:pt idx="1336">
                  <c:v>44000</c:v>
                </c:pt>
                <c:pt idx="1337">
                  <c:v>44001</c:v>
                </c:pt>
                <c:pt idx="1338">
                  <c:v>44004</c:v>
                </c:pt>
                <c:pt idx="1339">
                  <c:v>44005</c:v>
                </c:pt>
                <c:pt idx="1340">
                  <c:v>44006</c:v>
                </c:pt>
                <c:pt idx="1341">
                  <c:v>44007</c:v>
                </c:pt>
                <c:pt idx="1342">
                  <c:v>44008</c:v>
                </c:pt>
                <c:pt idx="1343">
                  <c:v>44011</c:v>
                </c:pt>
                <c:pt idx="1344">
                  <c:v>44012</c:v>
                </c:pt>
                <c:pt idx="1345">
                  <c:v>44013</c:v>
                </c:pt>
                <c:pt idx="1346">
                  <c:v>44014</c:v>
                </c:pt>
                <c:pt idx="1347">
                  <c:v>44018</c:v>
                </c:pt>
                <c:pt idx="1348">
                  <c:v>44019</c:v>
                </c:pt>
                <c:pt idx="1349">
                  <c:v>44020</c:v>
                </c:pt>
                <c:pt idx="1350">
                  <c:v>44021</c:v>
                </c:pt>
                <c:pt idx="1351">
                  <c:v>44022</c:v>
                </c:pt>
                <c:pt idx="1352">
                  <c:v>44025</c:v>
                </c:pt>
                <c:pt idx="1353">
                  <c:v>44026</c:v>
                </c:pt>
                <c:pt idx="1354">
                  <c:v>44027</c:v>
                </c:pt>
                <c:pt idx="1355">
                  <c:v>44028</c:v>
                </c:pt>
                <c:pt idx="1356">
                  <c:v>44029</c:v>
                </c:pt>
                <c:pt idx="1357">
                  <c:v>44032</c:v>
                </c:pt>
                <c:pt idx="1358">
                  <c:v>44033</c:v>
                </c:pt>
                <c:pt idx="1359">
                  <c:v>44034</c:v>
                </c:pt>
                <c:pt idx="1360">
                  <c:v>44035</c:v>
                </c:pt>
                <c:pt idx="1361">
                  <c:v>44036</c:v>
                </c:pt>
                <c:pt idx="1362">
                  <c:v>44039</c:v>
                </c:pt>
                <c:pt idx="1363">
                  <c:v>44040</c:v>
                </c:pt>
                <c:pt idx="1364">
                  <c:v>44041</c:v>
                </c:pt>
                <c:pt idx="1365">
                  <c:v>44042</c:v>
                </c:pt>
                <c:pt idx="1366">
                  <c:v>44043</c:v>
                </c:pt>
                <c:pt idx="1367">
                  <c:v>44046</c:v>
                </c:pt>
                <c:pt idx="1368">
                  <c:v>44047</c:v>
                </c:pt>
                <c:pt idx="1369">
                  <c:v>44048</c:v>
                </c:pt>
                <c:pt idx="1370">
                  <c:v>44049</c:v>
                </c:pt>
                <c:pt idx="1371">
                  <c:v>44050</c:v>
                </c:pt>
                <c:pt idx="1372">
                  <c:v>44053</c:v>
                </c:pt>
                <c:pt idx="1373">
                  <c:v>44054</c:v>
                </c:pt>
                <c:pt idx="1374">
                  <c:v>44055</c:v>
                </c:pt>
                <c:pt idx="1375">
                  <c:v>44056</c:v>
                </c:pt>
                <c:pt idx="1376">
                  <c:v>44057</c:v>
                </c:pt>
                <c:pt idx="1377">
                  <c:v>44060</c:v>
                </c:pt>
                <c:pt idx="1378">
                  <c:v>44061</c:v>
                </c:pt>
                <c:pt idx="1379">
                  <c:v>44062</c:v>
                </c:pt>
                <c:pt idx="1380">
                  <c:v>44063</c:v>
                </c:pt>
                <c:pt idx="1381">
                  <c:v>44064</c:v>
                </c:pt>
                <c:pt idx="1382">
                  <c:v>44067</c:v>
                </c:pt>
                <c:pt idx="1383">
                  <c:v>44068</c:v>
                </c:pt>
                <c:pt idx="1384">
                  <c:v>44069</c:v>
                </c:pt>
                <c:pt idx="1385">
                  <c:v>44070</c:v>
                </c:pt>
                <c:pt idx="1386">
                  <c:v>44071</c:v>
                </c:pt>
                <c:pt idx="1387">
                  <c:v>44074</c:v>
                </c:pt>
                <c:pt idx="1388">
                  <c:v>44075</c:v>
                </c:pt>
                <c:pt idx="1389">
                  <c:v>44076</c:v>
                </c:pt>
                <c:pt idx="1390">
                  <c:v>44077</c:v>
                </c:pt>
                <c:pt idx="1391">
                  <c:v>44078</c:v>
                </c:pt>
                <c:pt idx="1392">
                  <c:v>44082</c:v>
                </c:pt>
                <c:pt idx="1393">
                  <c:v>44083</c:v>
                </c:pt>
                <c:pt idx="1394">
                  <c:v>44084</c:v>
                </c:pt>
                <c:pt idx="1395">
                  <c:v>44085</c:v>
                </c:pt>
                <c:pt idx="1396">
                  <c:v>44088</c:v>
                </c:pt>
                <c:pt idx="1397">
                  <c:v>44089</c:v>
                </c:pt>
                <c:pt idx="1398">
                  <c:v>44090</c:v>
                </c:pt>
                <c:pt idx="1399">
                  <c:v>44091</c:v>
                </c:pt>
                <c:pt idx="1400">
                  <c:v>44092</c:v>
                </c:pt>
                <c:pt idx="1401">
                  <c:v>44095</c:v>
                </c:pt>
                <c:pt idx="1402">
                  <c:v>44096</c:v>
                </c:pt>
                <c:pt idx="1403">
                  <c:v>44097</c:v>
                </c:pt>
                <c:pt idx="1404">
                  <c:v>44098</c:v>
                </c:pt>
                <c:pt idx="1405">
                  <c:v>44099</c:v>
                </c:pt>
                <c:pt idx="1406">
                  <c:v>44102</c:v>
                </c:pt>
                <c:pt idx="1407">
                  <c:v>44103</c:v>
                </c:pt>
                <c:pt idx="1408">
                  <c:v>44104</c:v>
                </c:pt>
                <c:pt idx="1409">
                  <c:v>44105</c:v>
                </c:pt>
                <c:pt idx="1410">
                  <c:v>44106</c:v>
                </c:pt>
                <c:pt idx="1411">
                  <c:v>44109</c:v>
                </c:pt>
                <c:pt idx="1412">
                  <c:v>44110</c:v>
                </c:pt>
                <c:pt idx="1413">
                  <c:v>44111</c:v>
                </c:pt>
                <c:pt idx="1414">
                  <c:v>44112</c:v>
                </c:pt>
                <c:pt idx="1415">
                  <c:v>44113</c:v>
                </c:pt>
                <c:pt idx="1416">
                  <c:v>44116</c:v>
                </c:pt>
                <c:pt idx="1417">
                  <c:v>44117</c:v>
                </c:pt>
                <c:pt idx="1418">
                  <c:v>44118</c:v>
                </c:pt>
                <c:pt idx="1419">
                  <c:v>44119</c:v>
                </c:pt>
                <c:pt idx="1420">
                  <c:v>44120</c:v>
                </c:pt>
                <c:pt idx="1421">
                  <c:v>44123</c:v>
                </c:pt>
                <c:pt idx="1422">
                  <c:v>44124</c:v>
                </c:pt>
                <c:pt idx="1423">
                  <c:v>44125</c:v>
                </c:pt>
                <c:pt idx="1424">
                  <c:v>44126</c:v>
                </c:pt>
                <c:pt idx="1425">
                  <c:v>44127</c:v>
                </c:pt>
                <c:pt idx="1426">
                  <c:v>44130</c:v>
                </c:pt>
                <c:pt idx="1427">
                  <c:v>44131</c:v>
                </c:pt>
                <c:pt idx="1428">
                  <c:v>44132</c:v>
                </c:pt>
                <c:pt idx="1429">
                  <c:v>44133</c:v>
                </c:pt>
                <c:pt idx="1430">
                  <c:v>44134</c:v>
                </c:pt>
                <c:pt idx="1431">
                  <c:v>44137</c:v>
                </c:pt>
                <c:pt idx="1432">
                  <c:v>44138</c:v>
                </c:pt>
                <c:pt idx="1433">
                  <c:v>44139</c:v>
                </c:pt>
                <c:pt idx="1434">
                  <c:v>44140</c:v>
                </c:pt>
                <c:pt idx="1435">
                  <c:v>44141</c:v>
                </c:pt>
                <c:pt idx="1436">
                  <c:v>44144</c:v>
                </c:pt>
                <c:pt idx="1437">
                  <c:v>44145</c:v>
                </c:pt>
                <c:pt idx="1438">
                  <c:v>44146</c:v>
                </c:pt>
                <c:pt idx="1439">
                  <c:v>44147</c:v>
                </c:pt>
                <c:pt idx="1440">
                  <c:v>44148</c:v>
                </c:pt>
                <c:pt idx="1441">
                  <c:v>44151</c:v>
                </c:pt>
                <c:pt idx="1442">
                  <c:v>44152</c:v>
                </c:pt>
                <c:pt idx="1443">
                  <c:v>44153</c:v>
                </c:pt>
                <c:pt idx="1444">
                  <c:v>44154</c:v>
                </c:pt>
                <c:pt idx="1445">
                  <c:v>44155</c:v>
                </c:pt>
                <c:pt idx="1446">
                  <c:v>44158</c:v>
                </c:pt>
                <c:pt idx="1447">
                  <c:v>44159</c:v>
                </c:pt>
                <c:pt idx="1448">
                  <c:v>44160</c:v>
                </c:pt>
                <c:pt idx="1449">
                  <c:v>44162</c:v>
                </c:pt>
                <c:pt idx="1450">
                  <c:v>44165</c:v>
                </c:pt>
                <c:pt idx="1451">
                  <c:v>44166</c:v>
                </c:pt>
                <c:pt idx="1452">
                  <c:v>44167</c:v>
                </c:pt>
                <c:pt idx="1453">
                  <c:v>44168</c:v>
                </c:pt>
                <c:pt idx="1454">
                  <c:v>44169</c:v>
                </c:pt>
                <c:pt idx="1455">
                  <c:v>44172</c:v>
                </c:pt>
                <c:pt idx="1456">
                  <c:v>44173</c:v>
                </c:pt>
                <c:pt idx="1457">
                  <c:v>44174</c:v>
                </c:pt>
                <c:pt idx="1458">
                  <c:v>44175</c:v>
                </c:pt>
                <c:pt idx="1459">
                  <c:v>44176</c:v>
                </c:pt>
                <c:pt idx="1460">
                  <c:v>44179</c:v>
                </c:pt>
                <c:pt idx="1461">
                  <c:v>44180</c:v>
                </c:pt>
                <c:pt idx="1462">
                  <c:v>44181</c:v>
                </c:pt>
                <c:pt idx="1463">
                  <c:v>44182</c:v>
                </c:pt>
                <c:pt idx="1464">
                  <c:v>44183</c:v>
                </c:pt>
                <c:pt idx="1465">
                  <c:v>44186</c:v>
                </c:pt>
                <c:pt idx="1466">
                  <c:v>44187</c:v>
                </c:pt>
                <c:pt idx="1467">
                  <c:v>44188</c:v>
                </c:pt>
                <c:pt idx="1468">
                  <c:v>44189</c:v>
                </c:pt>
                <c:pt idx="1469">
                  <c:v>44193</c:v>
                </c:pt>
                <c:pt idx="1470">
                  <c:v>44194</c:v>
                </c:pt>
                <c:pt idx="1471">
                  <c:v>44195</c:v>
                </c:pt>
                <c:pt idx="1472">
                  <c:v>44196</c:v>
                </c:pt>
                <c:pt idx="1473">
                  <c:v>44200</c:v>
                </c:pt>
                <c:pt idx="1474">
                  <c:v>44201</c:v>
                </c:pt>
                <c:pt idx="1475">
                  <c:v>44202</c:v>
                </c:pt>
                <c:pt idx="1476">
                  <c:v>44203</c:v>
                </c:pt>
                <c:pt idx="1477">
                  <c:v>44204</c:v>
                </c:pt>
                <c:pt idx="1478">
                  <c:v>44207</c:v>
                </c:pt>
                <c:pt idx="1479">
                  <c:v>44208</c:v>
                </c:pt>
                <c:pt idx="1480">
                  <c:v>44209</c:v>
                </c:pt>
                <c:pt idx="1481">
                  <c:v>44210</c:v>
                </c:pt>
                <c:pt idx="1482">
                  <c:v>44211</c:v>
                </c:pt>
                <c:pt idx="1483">
                  <c:v>44215</c:v>
                </c:pt>
                <c:pt idx="1484">
                  <c:v>44216</c:v>
                </c:pt>
                <c:pt idx="1485">
                  <c:v>44217</c:v>
                </c:pt>
                <c:pt idx="1486">
                  <c:v>44218</c:v>
                </c:pt>
                <c:pt idx="1487">
                  <c:v>44221</c:v>
                </c:pt>
                <c:pt idx="1488">
                  <c:v>44222</c:v>
                </c:pt>
                <c:pt idx="1489">
                  <c:v>44223</c:v>
                </c:pt>
                <c:pt idx="1490">
                  <c:v>44224</c:v>
                </c:pt>
                <c:pt idx="1491">
                  <c:v>44225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44235</c:v>
                </c:pt>
                <c:pt idx="1498">
                  <c:v>44236</c:v>
                </c:pt>
                <c:pt idx="1499">
                  <c:v>44237</c:v>
                </c:pt>
                <c:pt idx="1500">
                  <c:v>44238</c:v>
                </c:pt>
                <c:pt idx="1501">
                  <c:v>44239</c:v>
                </c:pt>
                <c:pt idx="1502">
                  <c:v>44243</c:v>
                </c:pt>
                <c:pt idx="1503">
                  <c:v>44244</c:v>
                </c:pt>
                <c:pt idx="1504">
                  <c:v>44245</c:v>
                </c:pt>
                <c:pt idx="1505">
                  <c:v>44246</c:v>
                </c:pt>
                <c:pt idx="1506">
                  <c:v>44249</c:v>
                </c:pt>
                <c:pt idx="1507">
                  <c:v>44250</c:v>
                </c:pt>
                <c:pt idx="1508">
                  <c:v>44251</c:v>
                </c:pt>
                <c:pt idx="1509">
                  <c:v>44252</c:v>
                </c:pt>
                <c:pt idx="1510">
                  <c:v>44253</c:v>
                </c:pt>
                <c:pt idx="1511">
                  <c:v>44256</c:v>
                </c:pt>
                <c:pt idx="1512">
                  <c:v>44257</c:v>
                </c:pt>
                <c:pt idx="1513">
                  <c:v>44258</c:v>
                </c:pt>
                <c:pt idx="1514">
                  <c:v>44259</c:v>
                </c:pt>
                <c:pt idx="1515">
                  <c:v>44260</c:v>
                </c:pt>
                <c:pt idx="1516">
                  <c:v>44263</c:v>
                </c:pt>
                <c:pt idx="1517">
                  <c:v>44264</c:v>
                </c:pt>
                <c:pt idx="1518">
                  <c:v>44265</c:v>
                </c:pt>
                <c:pt idx="1519">
                  <c:v>44266</c:v>
                </c:pt>
                <c:pt idx="1520">
                  <c:v>44267</c:v>
                </c:pt>
                <c:pt idx="1521">
                  <c:v>44270</c:v>
                </c:pt>
                <c:pt idx="1522">
                  <c:v>44271</c:v>
                </c:pt>
                <c:pt idx="1523">
                  <c:v>44272</c:v>
                </c:pt>
                <c:pt idx="1524">
                  <c:v>44273</c:v>
                </c:pt>
                <c:pt idx="1525">
                  <c:v>44274</c:v>
                </c:pt>
                <c:pt idx="1526">
                  <c:v>44277</c:v>
                </c:pt>
                <c:pt idx="1527">
                  <c:v>44278</c:v>
                </c:pt>
                <c:pt idx="1528">
                  <c:v>44279</c:v>
                </c:pt>
                <c:pt idx="1529">
                  <c:v>44280</c:v>
                </c:pt>
                <c:pt idx="1530">
                  <c:v>44281</c:v>
                </c:pt>
                <c:pt idx="1531">
                  <c:v>44284</c:v>
                </c:pt>
                <c:pt idx="1532">
                  <c:v>44285</c:v>
                </c:pt>
                <c:pt idx="1533">
                  <c:v>44286</c:v>
                </c:pt>
                <c:pt idx="1534">
                  <c:v>44287</c:v>
                </c:pt>
                <c:pt idx="1535">
                  <c:v>44291</c:v>
                </c:pt>
                <c:pt idx="1536">
                  <c:v>44292</c:v>
                </c:pt>
                <c:pt idx="1537">
                  <c:v>44293</c:v>
                </c:pt>
                <c:pt idx="1538">
                  <c:v>44294</c:v>
                </c:pt>
                <c:pt idx="1539">
                  <c:v>44295</c:v>
                </c:pt>
                <c:pt idx="1540">
                  <c:v>44298</c:v>
                </c:pt>
                <c:pt idx="1541">
                  <c:v>44299</c:v>
                </c:pt>
                <c:pt idx="1542">
                  <c:v>44300</c:v>
                </c:pt>
                <c:pt idx="1543">
                  <c:v>44301</c:v>
                </c:pt>
                <c:pt idx="1544">
                  <c:v>44302</c:v>
                </c:pt>
                <c:pt idx="1545">
                  <c:v>44305</c:v>
                </c:pt>
                <c:pt idx="1546">
                  <c:v>44306</c:v>
                </c:pt>
                <c:pt idx="1547">
                  <c:v>44307</c:v>
                </c:pt>
                <c:pt idx="1548">
                  <c:v>44308</c:v>
                </c:pt>
                <c:pt idx="1549">
                  <c:v>44309</c:v>
                </c:pt>
                <c:pt idx="1550">
                  <c:v>44312</c:v>
                </c:pt>
                <c:pt idx="1551">
                  <c:v>44313</c:v>
                </c:pt>
                <c:pt idx="1552">
                  <c:v>44314</c:v>
                </c:pt>
                <c:pt idx="1553">
                  <c:v>44315</c:v>
                </c:pt>
                <c:pt idx="1554">
                  <c:v>44316</c:v>
                </c:pt>
                <c:pt idx="1555">
                  <c:v>44319</c:v>
                </c:pt>
                <c:pt idx="1556">
                  <c:v>44320</c:v>
                </c:pt>
                <c:pt idx="1557">
                  <c:v>44321</c:v>
                </c:pt>
                <c:pt idx="1558">
                  <c:v>44322</c:v>
                </c:pt>
                <c:pt idx="1559">
                  <c:v>44323</c:v>
                </c:pt>
                <c:pt idx="1560">
                  <c:v>44326</c:v>
                </c:pt>
                <c:pt idx="1561">
                  <c:v>44327</c:v>
                </c:pt>
                <c:pt idx="1562">
                  <c:v>44328</c:v>
                </c:pt>
                <c:pt idx="1563">
                  <c:v>44329</c:v>
                </c:pt>
                <c:pt idx="1564">
                  <c:v>44330</c:v>
                </c:pt>
                <c:pt idx="1565">
                  <c:v>44333</c:v>
                </c:pt>
                <c:pt idx="1566">
                  <c:v>44334</c:v>
                </c:pt>
                <c:pt idx="1567">
                  <c:v>44335</c:v>
                </c:pt>
                <c:pt idx="1568">
                  <c:v>44336</c:v>
                </c:pt>
                <c:pt idx="1569">
                  <c:v>44337</c:v>
                </c:pt>
                <c:pt idx="1570">
                  <c:v>44340</c:v>
                </c:pt>
                <c:pt idx="1571">
                  <c:v>44341</c:v>
                </c:pt>
                <c:pt idx="1572">
                  <c:v>44342</c:v>
                </c:pt>
                <c:pt idx="1573">
                  <c:v>44343</c:v>
                </c:pt>
                <c:pt idx="1574">
                  <c:v>44344</c:v>
                </c:pt>
                <c:pt idx="1575">
                  <c:v>44348</c:v>
                </c:pt>
                <c:pt idx="1576">
                  <c:v>44349</c:v>
                </c:pt>
                <c:pt idx="1577">
                  <c:v>44350</c:v>
                </c:pt>
                <c:pt idx="1578">
                  <c:v>44351</c:v>
                </c:pt>
                <c:pt idx="1579">
                  <c:v>44354</c:v>
                </c:pt>
                <c:pt idx="1580">
                  <c:v>44355</c:v>
                </c:pt>
                <c:pt idx="1581">
                  <c:v>44356</c:v>
                </c:pt>
                <c:pt idx="1582">
                  <c:v>44357</c:v>
                </c:pt>
                <c:pt idx="1583">
                  <c:v>44358</c:v>
                </c:pt>
                <c:pt idx="1584">
                  <c:v>44361</c:v>
                </c:pt>
                <c:pt idx="1585">
                  <c:v>44362</c:v>
                </c:pt>
                <c:pt idx="1586">
                  <c:v>44363</c:v>
                </c:pt>
                <c:pt idx="1587">
                  <c:v>44364</c:v>
                </c:pt>
                <c:pt idx="1588">
                  <c:v>44365</c:v>
                </c:pt>
                <c:pt idx="1589">
                  <c:v>44368</c:v>
                </c:pt>
                <c:pt idx="1590">
                  <c:v>44369</c:v>
                </c:pt>
                <c:pt idx="1591">
                  <c:v>44370</c:v>
                </c:pt>
                <c:pt idx="1592">
                  <c:v>44371</c:v>
                </c:pt>
                <c:pt idx="1593">
                  <c:v>44372</c:v>
                </c:pt>
                <c:pt idx="1594">
                  <c:v>44375</c:v>
                </c:pt>
                <c:pt idx="1595">
                  <c:v>44376</c:v>
                </c:pt>
                <c:pt idx="1596">
                  <c:v>44377</c:v>
                </c:pt>
                <c:pt idx="1597">
                  <c:v>44378</c:v>
                </c:pt>
                <c:pt idx="1598">
                  <c:v>44379</c:v>
                </c:pt>
                <c:pt idx="1599">
                  <c:v>44383</c:v>
                </c:pt>
                <c:pt idx="1600">
                  <c:v>44384</c:v>
                </c:pt>
                <c:pt idx="1601">
                  <c:v>44385</c:v>
                </c:pt>
                <c:pt idx="1602">
                  <c:v>44386</c:v>
                </c:pt>
                <c:pt idx="1603">
                  <c:v>44389</c:v>
                </c:pt>
                <c:pt idx="1604">
                  <c:v>44390</c:v>
                </c:pt>
                <c:pt idx="1605">
                  <c:v>44391</c:v>
                </c:pt>
                <c:pt idx="1606">
                  <c:v>44392</c:v>
                </c:pt>
                <c:pt idx="1607">
                  <c:v>44393</c:v>
                </c:pt>
                <c:pt idx="1608">
                  <c:v>44396</c:v>
                </c:pt>
                <c:pt idx="1609">
                  <c:v>44397</c:v>
                </c:pt>
                <c:pt idx="1610">
                  <c:v>44398</c:v>
                </c:pt>
                <c:pt idx="1611">
                  <c:v>44399</c:v>
                </c:pt>
                <c:pt idx="1612">
                  <c:v>44400</c:v>
                </c:pt>
                <c:pt idx="1613">
                  <c:v>44403</c:v>
                </c:pt>
                <c:pt idx="1614">
                  <c:v>44404</c:v>
                </c:pt>
                <c:pt idx="1615">
                  <c:v>44405</c:v>
                </c:pt>
                <c:pt idx="1616">
                  <c:v>44406</c:v>
                </c:pt>
                <c:pt idx="1617">
                  <c:v>44407</c:v>
                </c:pt>
                <c:pt idx="1618">
                  <c:v>44410</c:v>
                </c:pt>
                <c:pt idx="1619">
                  <c:v>44411</c:v>
                </c:pt>
                <c:pt idx="1620">
                  <c:v>44412</c:v>
                </c:pt>
                <c:pt idx="1621">
                  <c:v>44413</c:v>
                </c:pt>
                <c:pt idx="1622">
                  <c:v>44414</c:v>
                </c:pt>
                <c:pt idx="1623">
                  <c:v>44417</c:v>
                </c:pt>
                <c:pt idx="1624">
                  <c:v>44418</c:v>
                </c:pt>
                <c:pt idx="1625">
                  <c:v>44419</c:v>
                </c:pt>
                <c:pt idx="1626">
                  <c:v>44420</c:v>
                </c:pt>
                <c:pt idx="1627">
                  <c:v>44421</c:v>
                </c:pt>
                <c:pt idx="1628">
                  <c:v>44424</c:v>
                </c:pt>
                <c:pt idx="1629">
                  <c:v>44425</c:v>
                </c:pt>
                <c:pt idx="1630">
                  <c:v>44426</c:v>
                </c:pt>
                <c:pt idx="1631">
                  <c:v>44427</c:v>
                </c:pt>
                <c:pt idx="1632">
                  <c:v>44428</c:v>
                </c:pt>
                <c:pt idx="1633">
                  <c:v>44431</c:v>
                </c:pt>
                <c:pt idx="1634">
                  <c:v>44432</c:v>
                </c:pt>
                <c:pt idx="1635">
                  <c:v>44433</c:v>
                </c:pt>
                <c:pt idx="1636">
                  <c:v>44434</c:v>
                </c:pt>
                <c:pt idx="1637">
                  <c:v>44435</c:v>
                </c:pt>
                <c:pt idx="1638">
                  <c:v>44438</c:v>
                </c:pt>
                <c:pt idx="1639">
                  <c:v>44439</c:v>
                </c:pt>
                <c:pt idx="1640">
                  <c:v>44440</c:v>
                </c:pt>
                <c:pt idx="1641">
                  <c:v>44441</c:v>
                </c:pt>
                <c:pt idx="1642">
                  <c:v>44442</c:v>
                </c:pt>
                <c:pt idx="1643">
                  <c:v>44446</c:v>
                </c:pt>
                <c:pt idx="1644">
                  <c:v>44447</c:v>
                </c:pt>
                <c:pt idx="1645">
                  <c:v>44448</c:v>
                </c:pt>
                <c:pt idx="1646">
                  <c:v>44449</c:v>
                </c:pt>
                <c:pt idx="1647">
                  <c:v>44452</c:v>
                </c:pt>
                <c:pt idx="1648">
                  <c:v>44453</c:v>
                </c:pt>
                <c:pt idx="1649">
                  <c:v>44454</c:v>
                </c:pt>
                <c:pt idx="1650">
                  <c:v>44455</c:v>
                </c:pt>
                <c:pt idx="1651">
                  <c:v>44456</c:v>
                </c:pt>
                <c:pt idx="1652">
                  <c:v>44459</c:v>
                </c:pt>
                <c:pt idx="1653">
                  <c:v>44460</c:v>
                </c:pt>
                <c:pt idx="1654">
                  <c:v>44461</c:v>
                </c:pt>
                <c:pt idx="1655">
                  <c:v>44462</c:v>
                </c:pt>
                <c:pt idx="1656">
                  <c:v>44463</c:v>
                </c:pt>
                <c:pt idx="1657">
                  <c:v>44466</c:v>
                </c:pt>
                <c:pt idx="1658">
                  <c:v>44467</c:v>
                </c:pt>
                <c:pt idx="1659">
                  <c:v>44468</c:v>
                </c:pt>
                <c:pt idx="1660">
                  <c:v>44469</c:v>
                </c:pt>
                <c:pt idx="1661">
                  <c:v>44470</c:v>
                </c:pt>
                <c:pt idx="1662">
                  <c:v>44473</c:v>
                </c:pt>
                <c:pt idx="1663">
                  <c:v>44474</c:v>
                </c:pt>
                <c:pt idx="1664">
                  <c:v>44475</c:v>
                </c:pt>
                <c:pt idx="1665">
                  <c:v>44476</c:v>
                </c:pt>
                <c:pt idx="1666">
                  <c:v>44477</c:v>
                </c:pt>
                <c:pt idx="1667">
                  <c:v>44480</c:v>
                </c:pt>
                <c:pt idx="1668">
                  <c:v>44481</c:v>
                </c:pt>
                <c:pt idx="1669">
                  <c:v>44482</c:v>
                </c:pt>
                <c:pt idx="1670">
                  <c:v>44483</c:v>
                </c:pt>
                <c:pt idx="1671">
                  <c:v>44484</c:v>
                </c:pt>
                <c:pt idx="1672">
                  <c:v>44487</c:v>
                </c:pt>
                <c:pt idx="1673">
                  <c:v>44488</c:v>
                </c:pt>
                <c:pt idx="1674">
                  <c:v>44489</c:v>
                </c:pt>
                <c:pt idx="1675">
                  <c:v>44490</c:v>
                </c:pt>
                <c:pt idx="1676">
                  <c:v>44491</c:v>
                </c:pt>
                <c:pt idx="1677">
                  <c:v>44494</c:v>
                </c:pt>
                <c:pt idx="1678">
                  <c:v>44495</c:v>
                </c:pt>
                <c:pt idx="1679">
                  <c:v>44496</c:v>
                </c:pt>
                <c:pt idx="1680">
                  <c:v>44497</c:v>
                </c:pt>
                <c:pt idx="1681">
                  <c:v>44498</c:v>
                </c:pt>
                <c:pt idx="1682">
                  <c:v>44501</c:v>
                </c:pt>
                <c:pt idx="1683">
                  <c:v>44502</c:v>
                </c:pt>
                <c:pt idx="1684">
                  <c:v>44503</c:v>
                </c:pt>
                <c:pt idx="1685">
                  <c:v>44504</c:v>
                </c:pt>
                <c:pt idx="1686">
                  <c:v>44505</c:v>
                </c:pt>
                <c:pt idx="1687">
                  <c:v>44508</c:v>
                </c:pt>
                <c:pt idx="1688">
                  <c:v>44509</c:v>
                </c:pt>
                <c:pt idx="1689">
                  <c:v>44510</c:v>
                </c:pt>
                <c:pt idx="1690">
                  <c:v>44511</c:v>
                </c:pt>
                <c:pt idx="1691">
                  <c:v>44512</c:v>
                </c:pt>
                <c:pt idx="1692">
                  <c:v>44515</c:v>
                </c:pt>
                <c:pt idx="1693">
                  <c:v>44516</c:v>
                </c:pt>
                <c:pt idx="1694">
                  <c:v>44517</c:v>
                </c:pt>
                <c:pt idx="1695">
                  <c:v>44518</c:v>
                </c:pt>
                <c:pt idx="1696">
                  <c:v>44519</c:v>
                </c:pt>
                <c:pt idx="1697">
                  <c:v>44522</c:v>
                </c:pt>
                <c:pt idx="1698">
                  <c:v>44523</c:v>
                </c:pt>
                <c:pt idx="1699">
                  <c:v>44524</c:v>
                </c:pt>
                <c:pt idx="1700">
                  <c:v>44526</c:v>
                </c:pt>
                <c:pt idx="1701">
                  <c:v>44529</c:v>
                </c:pt>
                <c:pt idx="1702">
                  <c:v>44530</c:v>
                </c:pt>
                <c:pt idx="1703">
                  <c:v>44531</c:v>
                </c:pt>
                <c:pt idx="1704">
                  <c:v>44532</c:v>
                </c:pt>
                <c:pt idx="1705">
                  <c:v>44533</c:v>
                </c:pt>
                <c:pt idx="1706">
                  <c:v>44536</c:v>
                </c:pt>
                <c:pt idx="1707">
                  <c:v>44537</c:v>
                </c:pt>
                <c:pt idx="1708">
                  <c:v>44538</c:v>
                </c:pt>
                <c:pt idx="1709">
                  <c:v>44539</c:v>
                </c:pt>
                <c:pt idx="1710">
                  <c:v>44540</c:v>
                </c:pt>
                <c:pt idx="1711">
                  <c:v>44543</c:v>
                </c:pt>
                <c:pt idx="1712">
                  <c:v>44544</c:v>
                </c:pt>
                <c:pt idx="1713">
                  <c:v>44545</c:v>
                </c:pt>
                <c:pt idx="1714">
                  <c:v>44546</c:v>
                </c:pt>
                <c:pt idx="1715">
                  <c:v>44547</c:v>
                </c:pt>
                <c:pt idx="1716">
                  <c:v>44550</c:v>
                </c:pt>
                <c:pt idx="1717">
                  <c:v>44551</c:v>
                </c:pt>
                <c:pt idx="1718">
                  <c:v>44552</c:v>
                </c:pt>
                <c:pt idx="1719">
                  <c:v>44553</c:v>
                </c:pt>
                <c:pt idx="1720">
                  <c:v>44557</c:v>
                </c:pt>
                <c:pt idx="1721">
                  <c:v>44558</c:v>
                </c:pt>
                <c:pt idx="1722">
                  <c:v>44559</c:v>
                </c:pt>
                <c:pt idx="1723">
                  <c:v>44560</c:v>
                </c:pt>
                <c:pt idx="1724">
                  <c:v>44561</c:v>
                </c:pt>
                <c:pt idx="1725">
                  <c:v>44564</c:v>
                </c:pt>
                <c:pt idx="1726">
                  <c:v>44565</c:v>
                </c:pt>
                <c:pt idx="1727">
                  <c:v>44566</c:v>
                </c:pt>
                <c:pt idx="1728">
                  <c:v>44567</c:v>
                </c:pt>
                <c:pt idx="1729">
                  <c:v>44568</c:v>
                </c:pt>
                <c:pt idx="1730">
                  <c:v>44571</c:v>
                </c:pt>
                <c:pt idx="1731">
                  <c:v>44572</c:v>
                </c:pt>
                <c:pt idx="1732">
                  <c:v>44573</c:v>
                </c:pt>
                <c:pt idx="1733">
                  <c:v>44574</c:v>
                </c:pt>
                <c:pt idx="1734">
                  <c:v>44575</c:v>
                </c:pt>
                <c:pt idx="1735">
                  <c:v>44579</c:v>
                </c:pt>
                <c:pt idx="1736">
                  <c:v>44580</c:v>
                </c:pt>
                <c:pt idx="1737">
                  <c:v>44581</c:v>
                </c:pt>
                <c:pt idx="1738">
                  <c:v>44582</c:v>
                </c:pt>
                <c:pt idx="1739">
                  <c:v>44585</c:v>
                </c:pt>
                <c:pt idx="1740">
                  <c:v>44586</c:v>
                </c:pt>
                <c:pt idx="1741">
                  <c:v>44587</c:v>
                </c:pt>
                <c:pt idx="1742">
                  <c:v>44588</c:v>
                </c:pt>
                <c:pt idx="1743">
                  <c:v>44589</c:v>
                </c:pt>
                <c:pt idx="1744">
                  <c:v>44592</c:v>
                </c:pt>
                <c:pt idx="1745">
                  <c:v>44593</c:v>
                </c:pt>
                <c:pt idx="1746">
                  <c:v>44594</c:v>
                </c:pt>
                <c:pt idx="1747">
                  <c:v>44595</c:v>
                </c:pt>
                <c:pt idx="1748">
                  <c:v>44596</c:v>
                </c:pt>
                <c:pt idx="1749">
                  <c:v>44599</c:v>
                </c:pt>
                <c:pt idx="1750">
                  <c:v>44600</c:v>
                </c:pt>
                <c:pt idx="1751">
                  <c:v>44601</c:v>
                </c:pt>
                <c:pt idx="1752">
                  <c:v>44602</c:v>
                </c:pt>
                <c:pt idx="1753">
                  <c:v>44603</c:v>
                </c:pt>
                <c:pt idx="1754">
                  <c:v>44606</c:v>
                </c:pt>
                <c:pt idx="1755">
                  <c:v>44607</c:v>
                </c:pt>
                <c:pt idx="1756">
                  <c:v>44608</c:v>
                </c:pt>
                <c:pt idx="1757">
                  <c:v>44609</c:v>
                </c:pt>
                <c:pt idx="1758">
                  <c:v>44610</c:v>
                </c:pt>
                <c:pt idx="1759">
                  <c:v>44614</c:v>
                </c:pt>
                <c:pt idx="1760">
                  <c:v>44615</c:v>
                </c:pt>
                <c:pt idx="1761">
                  <c:v>44616</c:v>
                </c:pt>
                <c:pt idx="1762">
                  <c:v>44617</c:v>
                </c:pt>
                <c:pt idx="1763">
                  <c:v>44620</c:v>
                </c:pt>
                <c:pt idx="1764">
                  <c:v>44621</c:v>
                </c:pt>
                <c:pt idx="1765">
                  <c:v>44622</c:v>
                </c:pt>
                <c:pt idx="1766">
                  <c:v>44623</c:v>
                </c:pt>
                <c:pt idx="1767">
                  <c:v>44624</c:v>
                </c:pt>
                <c:pt idx="1768">
                  <c:v>44627</c:v>
                </c:pt>
                <c:pt idx="1769">
                  <c:v>44628</c:v>
                </c:pt>
                <c:pt idx="1770">
                  <c:v>44629</c:v>
                </c:pt>
                <c:pt idx="1771">
                  <c:v>44630</c:v>
                </c:pt>
                <c:pt idx="1772">
                  <c:v>44631</c:v>
                </c:pt>
                <c:pt idx="1773">
                  <c:v>44634</c:v>
                </c:pt>
                <c:pt idx="1774">
                  <c:v>44635</c:v>
                </c:pt>
                <c:pt idx="1775">
                  <c:v>44636</c:v>
                </c:pt>
                <c:pt idx="1776">
                  <c:v>44637</c:v>
                </c:pt>
                <c:pt idx="1777">
                  <c:v>44638</c:v>
                </c:pt>
                <c:pt idx="1778">
                  <c:v>44641</c:v>
                </c:pt>
                <c:pt idx="1779">
                  <c:v>44642</c:v>
                </c:pt>
                <c:pt idx="1780">
                  <c:v>44643</c:v>
                </c:pt>
                <c:pt idx="1781">
                  <c:v>44644</c:v>
                </c:pt>
                <c:pt idx="1782">
                  <c:v>44645</c:v>
                </c:pt>
                <c:pt idx="1783">
                  <c:v>44648</c:v>
                </c:pt>
                <c:pt idx="1784">
                  <c:v>44649</c:v>
                </c:pt>
                <c:pt idx="1785">
                  <c:v>44650</c:v>
                </c:pt>
                <c:pt idx="1786">
                  <c:v>44651</c:v>
                </c:pt>
                <c:pt idx="1787">
                  <c:v>44652</c:v>
                </c:pt>
                <c:pt idx="1788">
                  <c:v>44655</c:v>
                </c:pt>
                <c:pt idx="1789">
                  <c:v>44656</c:v>
                </c:pt>
                <c:pt idx="1790">
                  <c:v>44657</c:v>
                </c:pt>
                <c:pt idx="1791">
                  <c:v>44658</c:v>
                </c:pt>
                <c:pt idx="1792">
                  <c:v>44659</c:v>
                </c:pt>
                <c:pt idx="1793">
                  <c:v>44662</c:v>
                </c:pt>
                <c:pt idx="1794">
                  <c:v>44663</c:v>
                </c:pt>
                <c:pt idx="1795">
                  <c:v>44664</c:v>
                </c:pt>
                <c:pt idx="1796">
                  <c:v>44665</c:v>
                </c:pt>
                <c:pt idx="1797">
                  <c:v>44669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44844</c:v>
                </c:pt>
                <c:pt idx="1919">
                  <c:v>44845</c:v>
                </c:pt>
                <c:pt idx="1920">
                  <c:v>44846</c:v>
                </c:pt>
                <c:pt idx="1921">
                  <c:v>44847</c:v>
                </c:pt>
                <c:pt idx="1922">
                  <c:v>44848</c:v>
                </c:pt>
                <c:pt idx="1923">
                  <c:v>44851</c:v>
                </c:pt>
                <c:pt idx="1924">
                  <c:v>44852</c:v>
                </c:pt>
                <c:pt idx="1925">
                  <c:v>44853</c:v>
                </c:pt>
                <c:pt idx="1926">
                  <c:v>44854</c:v>
                </c:pt>
                <c:pt idx="1927">
                  <c:v>44855</c:v>
                </c:pt>
                <c:pt idx="1928">
                  <c:v>44858</c:v>
                </c:pt>
                <c:pt idx="1929">
                  <c:v>44859</c:v>
                </c:pt>
                <c:pt idx="1930">
                  <c:v>44860</c:v>
                </c:pt>
                <c:pt idx="1931">
                  <c:v>44861</c:v>
                </c:pt>
                <c:pt idx="1932">
                  <c:v>44862</c:v>
                </c:pt>
                <c:pt idx="1933">
                  <c:v>44865</c:v>
                </c:pt>
                <c:pt idx="1934">
                  <c:v>44866</c:v>
                </c:pt>
                <c:pt idx="1935">
                  <c:v>44867</c:v>
                </c:pt>
                <c:pt idx="1936">
                  <c:v>44868</c:v>
                </c:pt>
                <c:pt idx="1937">
                  <c:v>44869</c:v>
                </c:pt>
                <c:pt idx="1938">
                  <c:v>44872</c:v>
                </c:pt>
                <c:pt idx="1939">
                  <c:v>44873</c:v>
                </c:pt>
                <c:pt idx="1940">
                  <c:v>44874</c:v>
                </c:pt>
                <c:pt idx="1941">
                  <c:v>44875</c:v>
                </c:pt>
                <c:pt idx="1942">
                  <c:v>44876</c:v>
                </c:pt>
                <c:pt idx="1943">
                  <c:v>44879</c:v>
                </c:pt>
                <c:pt idx="1944">
                  <c:v>44880</c:v>
                </c:pt>
                <c:pt idx="1945">
                  <c:v>44881</c:v>
                </c:pt>
                <c:pt idx="1946">
                  <c:v>44882</c:v>
                </c:pt>
                <c:pt idx="1947">
                  <c:v>44883</c:v>
                </c:pt>
                <c:pt idx="1948">
                  <c:v>44886</c:v>
                </c:pt>
                <c:pt idx="1949">
                  <c:v>44887</c:v>
                </c:pt>
                <c:pt idx="1950">
                  <c:v>44888</c:v>
                </c:pt>
                <c:pt idx="1951">
                  <c:v>44890</c:v>
                </c:pt>
                <c:pt idx="1952">
                  <c:v>44893</c:v>
                </c:pt>
                <c:pt idx="1953">
                  <c:v>44894</c:v>
                </c:pt>
                <c:pt idx="1954">
                  <c:v>44895</c:v>
                </c:pt>
                <c:pt idx="1955">
                  <c:v>44896</c:v>
                </c:pt>
                <c:pt idx="1956">
                  <c:v>44897</c:v>
                </c:pt>
                <c:pt idx="1957">
                  <c:v>44900</c:v>
                </c:pt>
                <c:pt idx="1958">
                  <c:v>44901</c:v>
                </c:pt>
                <c:pt idx="1959">
                  <c:v>44902</c:v>
                </c:pt>
                <c:pt idx="1960">
                  <c:v>44903</c:v>
                </c:pt>
                <c:pt idx="1961">
                  <c:v>44904</c:v>
                </c:pt>
                <c:pt idx="1962">
                  <c:v>44907</c:v>
                </c:pt>
                <c:pt idx="1963">
                  <c:v>44908</c:v>
                </c:pt>
                <c:pt idx="1964">
                  <c:v>44909</c:v>
                </c:pt>
                <c:pt idx="1965">
                  <c:v>44910</c:v>
                </c:pt>
                <c:pt idx="1966">
                  <c:v>44911</c:v>
                </c:pt>
                <c:pt idx="1967">
                  <c:v>44914</c:v>
                </c:pt>
                <c:pt idx="1968">
                  <c:v>44915</c:v>
                </c:pt>
                <c:pt idx="1969">
                  <c:v>44916</c:v>
                </c:pt>
                <c:pt idx="1970">
                  <c:v>44917</c:v>
                </c:pt>
                <c:pt idx="1971">
                  <c:v>44918</c:v>
                </c:pt>
                <c:pt idx="1972">
                  <c:v>44922</c:v>
                </c:pt>
                <c:pt idx="1973">
                  <c:v>44923</c:v>
                </c:pt>
                <c:pt idx="1974">
                  <c:v>44924</c:v>
                </c:pt>
                <c:pt idx="1975">
                  <c:v>44925</c:v>
                </c:pt>
                <c:pt idx="1976">
                  <c:v>44929</c:v>
                </c:pt>
                <c:pt idx="1977">
                  <c:v>44930</c:v>
                </c:pt>
                <c:pt idx="1978">
                  <c:v>44931</c:v>
                </c:pt>
                <c:pt idx="1979">
                  <c:v>44932</c:v>
                </c:pt>
                <c:pt idx="1980">
                  <c:v>44935</c:v>
                </c:pt>
                <c:pt idx="1981">
                  <c:v>44936</c:v>
                </c:pt>
                <c:pt idx="1982">
                  <c:v>44937</c:v>
                </c:pt>
                <c:pt idx="1983">
                  <c:v>44938</c:v>
                </c:pt>
                <c:pt idx="1984">
                  <c:v>44939</c:v>
                </c:pt>
                <c:pt idx="1985">
                  <c:v>44943</c:v>
                </c:pt>
                <c:pt idx="1986">
                  <c:v>44944</c:v>
                </c:pt>
                <c:pt idx="1987">
                  <c:v>44945</c:v>
                </c:pt>
                <c:pt idx="1988">
                  <c:v>44946</c:v>
                </c:pt>
                <c:pt idx="1989">
                  <c:v>44949</c:v>
                </c:pt>
                <c:pt idx="1990">
                  <c:v>44950</c:v>
                </c:pt>
                <c:pt idx="1991">
                  <c:v>44951</c:v>
                </c:pt>
                <c:pt idx="1992">
                  <c:v>44952</c:v>
                </c:pt>
                <c:pt idx="1993">
                  <c:v>44953</c:v>
                </c:pt>
                <c:pt idx="1994">
                  <c:v>44956</c:v>
                </c:pt>
                <c:pt idx="1995">
                  <c:v>44957</c:v>
                </c:pt>
                <c:pt idx="1996">
                  <c:v>44958</c:v>
                </c:pt>
                <c:pt idx="1997">
                  <c:v>44959</c:v>
                </c:pt>
                <c:pt idx="1998">
                  <c:v>44960</c:v>
                </c:pt>
                <c:pt idx="1999">
                  <c:v>44963</c:v>
                </c:pt>
                <c:pt idx="2000">
                  <c:v>44964</c:v>
                </c:pt>
                <c:pt idx="2001">
                  <c:v>44965</c:v>
                </c:pt>
                <c:pt idx="2002">
                  <c:v>44966</c:v>
                </c:pt>
                <c:pt idx="2003">
                  <c:v>44967</c:v>
                </c:pt>
                <c:pt idx="2004">
                  <c:v>44970</c:v>
                </c:pt>
                <c:pt idx="2005">
                  <c:v>44971</c:v>
                </c:pt>
                <c:pt idx="2006">
                  <c:v>44972</c:v>
                </c:pt>
                <c:pt idx="2007">
                  <c:v>44973</c:v>
                </c:pt>
                <c:pt idx="2008">
                  <c:v>44974</c:v>
                </c:pt>
                <c:pt idx="2009">
                  <c:v>44978</c:v>
                </c:pt>
                <c:pt idx="2010">
                  <c:v>44979</c:v>
                </c:pt>
                <c:pt idx="2011">
                  <c:v>44980</c:v>
                </c:pt>
                <c:pt idx="2012">
                  <c:v>44981</c:v>
                </c:pt>
                <c:pt idx="2013">
                  <c:v>44984</c:v>
                </c:pt>
                <c:pt idx="2014">
                  <c:v>44985</c:v>
                </c:pt>
                <c:pt idx="2015">
                  <c:v>44986</c:v>
                </c:pt>
                <c:pt idx="2016">
                  <c:v>44987</c:v>
                </c:pt>
                <c:pt idx="2017">
                  <c:v>44988</c:v>
                </c:pt>
                <c:pt idx="2018">
                  <c:v>44991</c:v>
                </c:pt>
                <c:pt idx="2019">
                  <c:v>44992</c:v>
                </c:pt>
                <c:pt idx="2020">
                  <c:v>44993</c:v>
                </c:pt>
                <c:pt idx="2021">
                  <c:v>44994</c:v>
                </c:pt>
                <c:pt idx="2022">
                  <c:v>44995</c:v>
                </c:pt>
                <c:pt idx="2023">
                  <c:v>44998</c:v>
                </c:pt>
                <c:pt idx="2024">
                  <c:v>44999</c:v>
                </c:pt>
                <c:pt idx="2025">
                  <c:v>45000</c:v>
                </c:pt>
                <c:pt idx="2026">
                  <c:v>45001</c:v>
                </c:pt>
                <c:pt idx="2027">
                  <c:v>45002</c:v>
                </c:pt>
                <c:pt idx="2028">
                  <c:v>45005</c:v>
                </c:pt>
                <c:pt idx="2029">
                  <c:v>45006</c:v>
                </c:pt>
                <c:pt idx="2030">
                  <c:v>45007</c:v>
                </c:pt>
                <c:pt idx="2031">
                  <c:v>45008</c:v>
                </c:pt>
                <c:pt idx="2032">
                  <c:v>45009</c:v>
                </c:pt>
                <c:pt idx="2033">
                  <c:v>45012</c:v>
                </c:pt>
                <c:pt idx="2034">
                  <c:v>45013</c:v>
                </c:pt>
                <c:pt idx="2035">
                  <c:v>45014</c:v>
                </c:pt>
                <c:pt idx="2036">
                  <c:v>45015</c:v>
                </c:pt>
                <c:pt idx="2037">
                  <c:v>45016</c:v>
                </c:pt>
                <c:pt idx="2038">
                  <c:v>45019</c:v>
                </c:pt>
                <c:pt idx="2039">
                  <c:v>45020</c:v>
                </c:pt>
                <c:pt idx="2040">
                  <c:v>45021</c:v>
                </c:pt>
                <c:pt idx="2041">
                  <c:v>45022</c:v>
                </c:pt>
                <c:pt idx="2042">
                  <c:v>45026</c:v>
                </c:pt>
                <c:pt idx="2043">
                  <c:v>45027</c:v>
                </c:pt>
                <c:pt idx="2044">
                  <c:v>45028</c:v>
                </c:pt>
                <c:pt idx="2045">
                  <c:v>45029</c:v>
                </c:pt>
                <c:pt idx="2046">
                  <c:v>45030</c:v>
                </c:pt>
                <c:pt idx="2047">
                  <c:v>45033</c:v>
                </c:pt>
                <c:pt idx="2048">
                  <c:v>45034</c:v>
                </c:pt>
                <c:pt idx="2049">
                  <c:v>45035</c:v>
                </c:pt>
                <c:pt idx="2050">
                  <c:v>45036</c:v>
                </c:pt>
                <c:pt idx="2051">
                  <c:v>45037</c:v>
                </c:pt>
                <c:pt idx="2052">
                  <c:v>45040</c:v>
                </c:pt>
                <c:pt idx="2053">
                  <c:v>45041</c:v>
                </c:pt>
                <c:pt idx="2054">
                  <c:v>45042</c:v>
                </c:pt>
                <c:pt idx="2055">
                  <c:v>45043</c:v>
                </c:pt>
                <c:pt idx="2056">
                  <c:v>45044</c:v>
                </c:pt>
                <c:pt idx="2057">
                  <c:v>45047</c:v>
                </c:pt>
                <c:pt idx="2058">
                  <c:v>45048</c:v>
                </c:pt>
                <c:pt idx="2059">
                  <c:v>45049</c:v>
                </c:pt>
                <c:pt idx="2060">
                  <c:v>45050</c:v>
                </c:pt>
                <c:pt idx="2061">
                  <c:v>45051</c:v>
                </c:pt>
                <c:pt idx="2062">
                  <c:v>45054</c:v>
                </c:pt>
                <c:pt idx="2063">
                  <c:v>45055</c:v>
                </c:pt>
                <c:pt idx="2064">
                  <c:v>45056</c:v>
                </c:pt>
                <c:pt idx="2065">
                  <c:v>45057</c:v>
                </c:pt>
                <c:pt idx="2066">
                  <c:v>45058</c:v>
                </c:pt>
                <c:pt idx="2067">
                  <c:v>45061</c:v>
                </c:pt>
                <c:pt idx="2068">
                  <c:v>45062</c:v>
                </c:pt>
                <c:pt idx="2069">
                  <c:v>45063</c:v>
                </c:pt>
                <c:pt idx="2070">
                  <c:v>45064</c:v>
                </c:pt>
                <c:pt idx="2071">
                  <c:v>45065</c:v>
                </c:pt>
                <c:pt idx="2072">
                  <c:v>45068</c:v>
                </c:pt>
                <c:pt idx="2073">
                  <c:v>45069</c:v>
                </c:pt>
                <c:pt idx="2074">
                  <c:v>45070</c:v>
                </c:pt>
                <c:pt idx="2075">
                  <c:v>45071</c:v>
                </c:pt>
                <c:pt idx="2076">
                  <c:v>45072</c:v>
                </c:pt>
                <c:pt idx="2077">
                  <c:v>45076</c:v>
                </c:pt>
                <c:pt idx="2078">
                  <c:v>45077</c:v>
                </c:pt>
                <c:pt idx="2079">
                  <c:v>45078</c:v>
                </c:pt>
                <c:pt idx="2080">
                  <c:v>45079</c:v>
                </c:pt>
                <c:pt idx="2081">
                  <c:v>45082</c:v>
                </c:pt>
                <c:pt idx="2082">
                  <c:v>45083</c:v>
                </c:pt>
                <c:pt idx="2083">
                  <c:v>45084</c:v>
                </c:pt>
                <c:pt idx="2084">
                  <c:v>45085</c:v>
                </c:pt>
                <c:pt idx="2085">
                  <c:v>45086</c:v>
                </c:pt>
                <c:pt idx="2086">
                  <c:v>45089</c:v>
                </c:pt>
                <c:pt idx="2087">
                  <c:v>45090</c:v>
                </c:pt>
                <c:pt idx="2088">
                  <c:v>45091</c:v>
                </c:pt>
                <c:pt idx="2089">
                  <c:v>45092</c:v>
                </c:pt>
                <c:pt idx="2090">
                  <c:v>45093</c:v>
                </c:pt>
                <c:pt idx="2091">
                  <c:v>45097</c:v>
                </c:pt>
                <c:pt idx="2092">
                  <c:v>45098</c:v>
                </c:pt>
                <c:pt idx="2093">
                  <c:v>45099</c:v>
                </c:pt>
                <c:pt idx="2094">
                  <c:v>45100</c:v>
                </c:pt>
                <c:pt idx="2095">
                  <c:v>45103</c:v>
                </c:pt>
                <c:pt idx="2096">
                  <c:v>45104</c:v>
                </c:pt>
                <c:pt idx="2097">
                  <c:v>45105</c:v>
                </c:pt>
                <c:pt idx="2098">
                  <c:v>45106</c:v>
                </c:pt>
                <c:pt idx="2099">
                  <c:v>45107</c:v>
                </c:pt>
                <c:pt idx="2100">
                  <c:v>45110</c:v>
                </c:pt>
                <c:pt idx="2101">
                  <c:v>45112</c:v>
                </c:pt>
                <c:pt idx="2102">
                  <c:v>45113</c:v>
                </c:pt>
                <c:pt idx="2103">
                  <c:v>45114</c:v>
                </c:pt>
                <c:pt idx="2104">
                  <c:v>45117</c:v>
                </c:pt>
                <c:pt idx="2105">
                  <c:v>45118</c:v>
                </c:pt>
                <c:pt idx="2106">
                  <c:v>45119</c:v>
                </c:pt>
                <c:pt idx="2107">
                  <c:v>45120</c:v>
                </c:pt>
                <c:pt idx="2108">
                  <c:v>45121</c:v>
                </c:pt>
                <c:pt idx="2109">
                  <c:v>45124</c:v>
                </c:pt>
                <c:pt idx="2110">
                  <c:v>45125</c:v>
                </c:pt>
                <c:pt idx="2111">
                  <c:v>45126</c:v>
                </c:pt>
                <c:pt idx="2112">
                  <c:v>45127</c:v>
                </c:pt>
                <c:pt idx="2113">
                  <c:v>45128</c:v>
                </c:pt>
                <c:pt idx="2114">
                  <c:v>45131</c:v>
                </c:pt>
                <c:pt idx="2115">
                  <c:v>45132</c:v>
                </c:pt>
                <c:pt idx="2116">
                  <c:v>45133</c:v>
                </c:pt>
                <c:pt idx="2117">
                  <c:v>45134</c:v>
                </c:pt>
                <c:pt idx="2118">
                  <c:v>45135</c:v>
                </c:pt>
                <c:pt idx="2119">
                  <c:v>45138</c:v>
                </c:pt>
                <c:pt idx="2120">
                  <c:v>45139</c:v>
                </c:pt>
                <c:pt idx="2121">
                  <c:v>45140</c:v>
                </c:pt>
                <c:pt idx="2122">
                  <c:v>45141</c:v>
                </c:pt>
                <c:pt idx="2123">
                  <c:v>45142</c:v>
                </c:pt>
                <c:pt idx="2124">
                  <c:v>45145</c:v>
                </c:pt>
                <c:pt idx="2125">
                  <c:v>45146</c:v>
                </c:pt>
                <c:pt idx="2126">
                  <c:v>45147</c:v>
                </c:pt>
                <c:pt idx="2127">
                  <c:v>45148</c:v>
                </c:pt>
                <c:pt idx="2128">
                  <c:v>45149</c:v>
                </c:pt>
                <c:pt idx="2129">
                  <c:v>45152</c:v>
                </c:pt>
                <c:pt idx="2130">
                  <c:v>45153</c:v>
                </c:pt>
                <c:pt idx="2131">
                  <c:v>45154</c:v>
                </c:pt>
                <c:pt idx="2132">
                  <c:v>45155</c:v>
                </c:pt>
                <c:pt idx="2133">
                  <c:v>45156</c:v>
                </c:pt>
                <c:pt idx="2134">
                  <c:v>45159</c:v>
                </c:pt>
                <c:pt idx="2135">
                  <c:v>45160</c:v>
                </c:pt>
                <c:pt idx="2136">
                  <c:v>45161</c:v>
                </c:pt>
                <c:pt idx="2137">
                  <c:v>45162</c:v>
                </c:pt>
                <c:pt idx="2138">
                  <c:v>45163</c:v>
                </c:pt>
                <c:pt idx="2139">
                  <c:v>45166</c:v>
                </c:pt>
                <c:pt idx="2140">
                  <c:v>45167</c:v>
                </c:pt>
                <c:pt idx="2141">
                  <c:v>45168</c:v>
                </c:pt>
                <c:pt idx="2142">
                  <c:v>45169</c:v>
                </c:pt>
                <c:pt idx="2143">
                  <c:v>45170</c:v>
                </c:pt>
                <c:pt idx="2144">
                  <c:v>45174</c:v>
                </c:pt>
                <c:pt idx="2145">
                  <c:v>45175</c:v>
                </c:pt>
                <c:pt idx="2146">
                  <c:v>45176</c:v>
                </c:pt>
                <c:pt idx="2147">
                  <c:v>45177</c:v>
                </c:pt>
                <c:pt idx="2148">
                  <c:v>45180</c:v>
                </c:pt>
                <c:pt idx="2149">
                  <c:v>45181</c:v>
                </c:pt>
                <c:pt idx="2150">
                  <c:v>45182</c:v>
                </c:pt>
                <c:pt idx="2151">
                  <c:v>45183</c:v>
                </c:pt>
                <c:pt idx="2152">
                  <c:v>45184</c:v>
                </c:pt>
                <c:pt idx="2153">
                  <c:v>45187</c:v>
                </c:pt>
                <c:pt idx="2154">
                  <c:v>45188</c:v>
                </c:pt>
                <c:pt idx="2155">
                  <c:v>45189</c:v>
                </c:pt>
                <c:pt idx="2156">
                  <c:v>45190</c:v>
                </c:pt>
                <c:pt idx="2157">
                  <c:v>45191</c:v>
                </c:pt>
                <c:pt idx="2158">
                  <c:v>45194</c:v>
                </c:pt>
                <c:pt idx="2159">
                  <c:v>45195</c:v>
                </c:pt>
                <c:pt idx="2160">
                  <c:v>45196</c:v>
                </c:pt>
                <c:pt idx="2161">
                  <c:v>45197</c:v>
                </c:pt>
                <c:pt idx="2162">
                  <c:v>45198</c:v>
                </c:pt>
                <c:pt idx="2163">
                  <c:v>45201</c:v>
                </c:pt>
                <c:pt idx="2164">
                  <c:v>45202</c:v>
                </c:pt>
                <c:pt idx="2165">
                  <c:v>45203</c:v>
                </c:pt>
                <c:pt idx="2166">
                  <c:v>45204</c:v>
                </c:pt>
                <c:pt idx="2167">
                  <c:v>45205</c:v>
                </c:pt>
                <c:pt idx="2168">
                  <c:v>45208</c:v>
                </c:pt>
                <c:pt idx="2169">
                  <c:v>45209</c:v>
                </c:pt>
                <c:pt idx="2170">
                  <c:v>45210</c:v>
                </c:pt>
                <c:pt idx="2171">
                  <c:v>45211</c:v>
                </c:pt>
                <c:pt idx="2172">
                  <c:v>45212</c:v>
                </c:pt>
                <c:pt idx="2173">
                  <c:v>45215</c:v>
                </c:pt>
                <c:pt idx="2174">
                  <c:v>45216</c:v>
                </c:pt>
                <c:pt idx="2175">
                  <c:v>45217</c:v>
                </c:pt>
                <c:pt idx="2176">
                  <c:v>45218</c:v>
                </c:pt>
                <c:pt idx="2177">
                  <c:v>45219</c:v>
                </c:pt>
                <c:pt idx="2178">
                  <c:v>45222</c:v>
                </c:pt>
                <c:pt idx="2179">
                  <c:v>45223</c:v>
                </c:pt>
                <c:pt idx="2180">
                  <c:v>45224</c:v>
                </c:pt>
                <c:pt idx="2181">
                  <c:v>45225</c:v>
                </c:pt>
                <c:pt idx="2182">
                  <c:v>45226</c:v>
                </c:pt>
                <c:pt idx="2183">
                  <c:v>45229</c:v>
                </c:pt>
                <c:pt idx="2184">
                  <c:v>45230</c:v>
                </c:pt>
                <c:pt idx="2185">
                  <c:v>45231</c:v>
                </c:pt>
                <c:pt idx="2186">
                  <c:v>45232</c:v>
                </c:pt>
                <c:pt idx="2187">
                  <c:v>45233</c:v>
                </c:pt>
                <c:pt idx="2188">
                  <c:v>45236</c:v>
                </c:pt>
                <c:pt idx="2189">
                  <c:v>45237</c:v>
                </c:pt>
                <c:pt idx="2190">
                  <c:v>45238</c:v>
                </c:pt>
                <c:pt idx="2191">
                  <c:v>45239</c:v>
                </c:pt>
                <c:pt idx="2192">
                  <c:v>45240</c:v>
                </c:pt>
                <c:pt idx="2193">
                  <c:v>45243</c:v>
                </c:pt>
                <c:pt idx="2194">
                  <c:v>45244</c:v>
                </c:pt>
                <c:pt idx="2195">
                  <c:v>45245</c:v>
                </c:pt>
                <c:pt idx="2196">
                  <c:v>45246</c:v>
                </c:pt>
                <c:pt idx="2197">
                  <c:v>45247</c:v>
                </c:pt>
                <c:pt idx="2198">
                  <c:v>45250</c:v>
                </c:pt>
                <c:pt idx="2199">
                  <c:v>45251</c:v>
                </c:pt>
                <c:pt idx="2200">
                  <c:v>45252</c:v>
                </c:pt>
                <c:pt idx="2201">
                  <c:v>45254</c:v>
                </c:pt>
                <c:pt idx="2202">
                  <c:v>45257</c:v>
                </c:pt>
                <c:pt idx="2203">
                  <c:v>45258</c:v>
                </c:pt>
                <c:pt idx="2204">
                  <c:v>45259</c:v>
                </c:pt>
                <c:pt idx="2205">
                  <c:v>45260</c:v>
                </c:pt>
                <c:pt idx="2206">
                  <c:v>45261</c:v>
                </c:pt>
                <c:pt idx="2207">
                  <c:v>45264</c:v>
                </c:pt>
                <c:pt idx="2208">
                  <c:v>45265</c:v>
                </c:pt>
                <c:pt idx="2209">
                  <c:v>45266</c:v>
                </c:pt>
                <c:pt idx="2210">
                  <c:v>45267</c:v>
                </c:pt>
                <c:pt idx="2211">
                  <c:v>45268</c:v>
                </c:pt>
                <c:pt idx="2212">
                  <c:v>45271</c:v>
                </c:pt>
                <c:pt idx="2213">
                  <c:v>45272</c:v>
                </c:pt>
                <c:pt idx="2214">
                  <c:v>45273</c:v>
                </c:pt>
                <c:pt idx="2215">
                  <c:v>45274</c:v>
                </c:pt>
                <c:pt idx="2216">
                  <c:v>45275</c:v>
                </c:pt>
                <c:pt idx="2217">
                  <c:v>45278</c:v>
                </c:pt>
                <c:pt idx="2218">
                  <c:v>45279</c:v>
                </c:pt>
                <c:pt idx="2219">
                  <c:v>45280</c:v>
                </c:pt>
                <c:pt idx="2220">
                  <c:v>45281</c:v>
                </c:pt>
                <c:pt idx="2221">
                  <c:v>45282</c:v>
                </c:pt>
                <c:pt idx="2222">
                  <c:v>45286</c:v>
                </c:pt>
                <c:pt idx="2223">
                  <c:v>45287</c:v>
                </c:pt>
                <c:pt idx="2224">
                  <c:v>45288</c:v>
                </c:pt>
                <c:pt idx="2225">
                  <c:v>45289</c:v>
                </c:pt>
                <c:pt idx="2226">
                  <c:v>45293</c:v>
                </c:pt>
                <c:pt idx="2227">
                  <c:v>45294</c:v>
                </c:pt>
                <c:pt idx="2228">
                  <c:v>45295</c:v>
                </c:pt>
                <c:pt idx="2229">
                  <c:v>45296</c:v>
                </c:pt>
                <c:pt idx="2230">
                  <c:v>45299</c:v>
                </c:pt>
                <c:pt idx="2231">
                  <c:v>45300</c:v>
                </c:pt>
                <c:pt idx="2232">
                  <c:v>45301</c:v>
                </c:pt>
                <c:pt idx="2233">
                  <c:v>45302</c:v>
                </c:pt>
                <c:pt idx="2234">
                  <c:v>45303</c:v>
                </c:pt>
                <c:pt idx="2235">
                  <c:v>45307</c:v>
                </c:pt>
                <c:pt idx="2236">
                  <c:v>45308</c:v>
                </c:pt>
                <c:pt idx="2237">
                  <c:v>45309</c:v>
                </c:pt>
                <c:pt idx="2238">
                  <c:v>45310</c:v>
                </c:pt>
                <c:pt idx="2239">
                  <c:v>45313</c:v>
                </c:pt>
                <c:pt idx="2240">
                  <c:v>45314</c:v>
                </c:pt>
                <c:pt idx="2241">
                  <c:v>45315</c:v>
                </c:pt>
                <c:pt idx="2242">
                  <c:v>45316</c:v>
                </c:pt>
                <c:pt idx="2243">
                  <c:v>45317</c:v>
                </c:pt>
                <c:pt idx="2244">
                  <c:v>45320</c:v>
                </c:pt>
                <c:pt idx="2245">
                  <c:v>45321</c:v>
                </c:pt>
                <c:pt idx="2246">
                  <c:v>45322</c:v>
                </c:pt>
                <c:pt idx="2247">
                  <c:v>45323</c:v>
                </c:pt>
                <c:pt idx="2248">
                  <c:v>45324</c:v>
                </c:pt>
                <c:pt idx="2249">
                  <c:v>45327</c:v>
                </c:pt>
                <c:pt idx="2250">
                  <c:v>45328</c:v>
                </c:pt>
                <c:pt idx="2251">
                  <c:v>45329</c:v>
                </c:pt>
                <c:pt idx="2252">
                  <c:v>45330</c:v>
                </c:pt>
                <c:pt idx="2253">
                  <c:v>45331</c:v>
                </c:pt>
                <c:pt idx="2254">
                  <c:v>45334</c:v>
                </c:pt>
                <c:pt idx="2255">
                  <c:v>45335</c:v>
                </c:pt>
                <c:pt idx="2256">
                  <c:v>45336</c:v>
                </c:pt>
                <c:pt idx="2257">
                  <c:v>45337</c:v>
                </c:pt>
                <c:pt idx="2258">
                  <c:v>45338</c:v>
                </c:pt>
                <c:pt idx="2259">
                  <c:v>45342</c:v>
                </c:pt>
                <c:pt idx="2260">
                  <c:v>45343</c:v>
                </c:pt>
                <c:pt idx="2261">
                  <c:v>45344</c:v>
                </c:pt>
                <c:pt idx="2262">
                  <c:v>45345</c:v>
                </c:pt>
                <c:pt idx="2263">
                  <c:v>45348</c:v>
                </c:pt>
                <c:pt idx="2264">
                  <c:v>45349</c:v>
                </c:pt>
                <c:pt idx="2265">
                  <c:v>45350</c:v>
                </c:pt>
                <c:pt idx="2266">
                  <c:v>45351</c:v>
                </c:pt>
                <c:pt idx="2267">
                  <c:v>45352</c:v>
                </c:pt>
                <c:pt idx="2268">
                  <c:v>45355</c:v>
                </c:pt>
                <c:pt idx="2269">
                  <c:v>45356</c:v>
                </c:pt>
                <c:pt idx="2270">
                  <c:v>45357</c:v>
                </c:pt>
                <c:pt idx="2271">
                  <c:v>45358</c:v>
                </c:pt>
                <c:pt idx="2272">
                  <c:v>45359</c:v>
                </c:pt>
                <c:pt idx="2273">
                  <c:v>45362</c:v>
                </c:pt>
                <c:pt idx="2274">
                  <c:v>45363</c:v>
                </c:pt>
                <c:pt idx="2275">
                  <c:v>45364</c:v>
                </c:pt>
                <c:pt idx="2276">
                  <c:v>45365</c:v>
                </c:pt>
                <c:pt idx="2277">
                  <c:v>45366</c:v>
                </c:pt>
                <c:pt idx="2278">
                  <c:v>45369</c:v>
                </c:pt>
                <c:pt idx="2279">
                  <c:v>45370</c:v>
                </c:pt>
                <c:pt idx="2280">
                  <c:v>45371</c:v>
                </c:pt>
                <c:pt idx="2281">
                  <c:v>45372</c:v>
                </c:pt>
                <c:pt idx="2282">
                  <c:v>45373</c:v>
                </c:pt>
                <c:pt idx="2283">
                  <c:v>45376</c:v>
                </c:pt>
                <c:pt idx="2284">
                  <c:v>45377</c:v>
                </c:pt>
                <c:pt idx="2285">
                  <c:v>45378</c:v>
                </c:pt>
                <c:pt idx="2286">
                  <c:v>45379</c:v>
                </c:pt>
                <c:pt idx="2287">
                  <c:v>45383</c:v>
                </c:pt>
                <c:pt idx="2288">
                  <c:v>45384</c:v>
                </c:pt>
                <c:pt idx="2289">
                  <c:v>45385</c:v>
                </c:pt>
                <c:pt idx="2290">
                  <c:v>45386</c:v>
                </c:pt>
                <c:pt idx="2291">
                  <c:v>45387</c:v>
                </c:pt>
                <c:pt idx="2292">
                  <c:v>45390</c:v>
                </c:pt>
                <c:pt idx="2293">
                  <c:v>45391</c:v>
                </c:pt>
                <c:pt idx="2294">
                  <c:v>45392</c:v>
                </c:pt>
                <c:pt idx="2295">
                  <c:v>45393</c:v>
                </c:pt>
                <c:pt idx="2296">
                  <c:v>45394</c:v>
                </c:pt>
                <c:pt idx="2297">
                  <c:v>45397</c:v>
                </c:pt>
                <c:pt idx="2298">
                  <c:v>45398</c:v>
                </c:pt>
                <c:pt idx="2299">
                  <c:v>45399</c:v>
                </c:pt>
                <c:pt idx="2300">
                  <c:v>45400</c:v>
                </c:pt>
                <c:pt idx="2301">
                  <c:v>45401</c:v>
                </c:pt>
                <c:pt idx="2302">
                  <c:v>45404</c:v>
                </c:pt>
                <c:pt idx="2303">
                  <c:v>45405</c:v>
                </c:pt>
                <c:pt idx="2304">
                  <c:v>45406</c:v>
                </c:pt>
                <c:pt idx="2305">
                  <c:v>45407</c:v>
                </c:pt>
                <c:pt idx="2306">
                  <c:v>45408</c:v>
                </c:pt>
                <c:pt idx="2307">
                  <c:v>45411</c:v>
                </c:pt>
                <c:pt idx="2308">
                  <c:v>45412</c:v>
                </c:pt>
                <c:pt idx="2309">
                  <c:v>45413</c:v>
                </c:pt>
                <c:pt idx="2310">
                  <c:v>45414</c:v>
                </c:pt>
                <c:pt idx="2311">
                  <c:v>45415</c:v>
                </c:pt>
                <c:pt idx="2312">
                  <c:v>45418</c:v>
                </c:pt>
                <c:pt idx="2313">
                  <c:v>45419</c:v>
                </c:pt>
                <c:pt idx="2314">
                  <c:v>45420</c:v>
                </c:pt>
                <c:pt idx="2315">
                  <c:v>45421</c:v>
                </c:pt>
                <c:pt idx="2316">
                  <c:v>45422</c:v>
                </c:pt>
                <c:pt idx="2317">
                  <c:v>45425</c:v>
                </c:pt>
                <c:pt idx="2318">
                  <c:v>45426</c:v>
                </c:pt>
                <c:pt idx="2319">
                  <c:v>45427</c:v>
                </c:pt>
                <c:pt idx="2320">
                  <c:v>45428</c:v>
                </c:pt>
                <c:pt idx="2321">
                  <c:v>45429</c:v>
                </c:pt>
                <c:pt idx="2322">
                  <c:v>45432</c:v>
                </c:pt>
                <c:pt idx="2323">
                  <c:v>45433</c:v>
                </c:pt>
                <c:pt idx="2324">
                  <c:v>45434</c:v>
                </c:pt>
                <c:pt idx="2325">
                  <c:v>45435</c:v>
                </c:pt>
                <c:pt idx="2326">
                  <c:v>45436</c:v>
                </c:pt>
                <c:pt idx="2327">
                  <c:v>45440</c:v>
                </c:pt>
                <c:pt idx="2328">
                  <c:v>45441</c:v>
                </c:pt>
                <c:pt idx="2329">
                  <c:v>45442</c:v>
                </c:pt>
                <c:pt idx="2330">
                  <c:v>45443</c:v>
                </c:pt>
                <c:pt idx="2331">
                  <c:v>45446</c:v>
                </c:pt>
                <c:pt idx="2332">
                  <c:v>45447</c:v>
                </c:pt>
                <c:pt idx="2333">
                  <c:v>45448</c:v>
                </c:pt>
                <c:pt idx="2334">
                  <c:v>45449</c:v>
                </c:pt>
                <c:pt idx="2335">
                  <c:v>45450</c:v>
                </c:pt>
                <c:pt idx="2336">
                  <c:v>45453</c:v>
                </c:pt>
                <c:pt idx="2337">
                  <c:v>45454</c:v>
                </c:pt>
                <c:pt idx="2338">
                  <c:v>45455</c:v>
                </c:pt>
                <c:pt idx="2339">
                  <c:v>45456</c:v>
                </c:pt>
                <c:pt idx="2340">
                  <c:v>45457</c:v>
                </c:pt>
                <c:pt idx="2341">
                  <c:v>45460</c:v>
                </c:pt>
                <c:pt idx="2342">
                  <c:v>45461</c:v>
                </c:pt>
                <c:pt idx="2343">
                  <c:v>45463</c:v>
                </c:pt>
                <c:pt idx="2344">
                  <c:v>45464</c:v>
                </c:pt>
                <c:pt idx="2345">
                  <c:v>45467</c:v>
                </c:pt>
                <c:pt idx="2346">
                  <c:v>45468</c:v>
                </c:pt>
                <c:pt idx="2347">
                  <c:v>45469</c:v>
                </c:pt>
                <c:pt idx="2348">
                  <c:v>45470</c:v>
                </c:pt>
                <c:pt idx="2349">
                  <c:v>45471</c:v>
                </c:pt>
                <c:pt idx="2350">
                  <c:v>45474</c:v>
                </c:pt>
                <c:pt idx="2351">
                  <c:v>45475</c:v>
                </c:pt>
                <c:pt idx="2352">
                  <c:v>45476</c:v>
                </c:pt>
                <c:pt idx="2353">
                  <c:v>45478</c:v>
                </c:pt>
                <c:pt idx="2354">
                  <c:v>45481</c:v>
                </c:pt>
                <c:pt idx="2355">
                  <c:v>45482</c:v>
                </c:pt>
                <c:pt idx="2356">
                  <c:v>45483</c:v>
                </c:pt>
                <c:pt idx="2357">
                  <c:v>45484</c:v>
                </c:pt>
                <c:pt idx="2358">
                  <c:v>45485</c:v>
                </c:pt>
                <c:pt idx="2359">
                  <c:v>45488</c:v>
                </c:pt>
                <c:pt idx="2360">
                  <c:v>45489</c:v>
                </c:pt>
                <c:pt idx="2361">
                  <c:v>45490</c:v>
                </c:pt>
                <c:pt idx="2362">
                  <c:v>45491</c:v>
                </c:pt>
                <c:pt idx="2363">
                  <c:v>45492</c:v>
                </c:pt>
                <c:pt idx="2364">
                  <c:v>45495</c:v>
                </c:pt>
                <c:pt idx="2365">
                  <c:v>45496</c:v>
                </c:pt>
                <c:pt idx="2366">
                  <c:v>45497</c:v>
                </c:pt>
                <c:pt idx="2367">
                  <c:v>45498</c:v>
                </c:pt>
                <c:pt idx="2368">
                  <c:v>45499</c:v>
                </c:pt>
                <c:pt idx="2369">
                  <c:v>45502</c:v>
                </c:pt>
                <c:pt idx="2370">
                  <c:v>45503</c:v>
                </c:pt>
                <c:pt idx="2371">
                  <c:v>45504</c:v>
                </c:pt>
                <c:pt idx="2372">
                  <c:v>45505</c:v>
                </c:pt>
                <c:pt idx="2373">
                  <c:v>45506</c:v>
                </c:pt>
                <c:pt idx="2374">
                  <c:v>45509</c:v>
                </c:pt>
                <c:pt idx="2375">
                  <c:v>45510</c:v>
                </c:pt>
                <c:pt idx="2376">
                  <c:v>45511</c:v>
                </c:pt>
                <c:pt idx="2377">
                  <c:v>45512</c:v>
                </c:pt>
                <c:pt idx="2378">
                  <c:v>45513</c:v>
                </c:pt>
                <c:pt idx="2379">
                  <c:v>45516</c:v>
                </c:pt>
                <c:pt idx="2380">
                  <c:v>45517</c:v>
                </c:pt>
                <c:pt idx="2381">
                  <c:v>45518</c:v>
                </c:pt>
                <c:pt idx="2382">
                  <c:v>45519</c:v>
                </c:pt>
                <c:pt idx="2383">
                  <c:v>45520</c:v>
                </c:pt>
                <c:pt idx="2384">
                  <c:v>45523</c:v>
                </c:pt>
                <c:pt idx="2385">
                  <c:v>45524</c:v>
                </c:pt>
                <c:pt idx="2386">
                  <c:v>45525</c:v>
                </c:pt>
                <c:pt idx="2387">
                  <c:v>45526</c:v>
                </c:pt>
                <c:pt idx="2388">
                  <c:v>45527</c:v>
                </c:pt>
                <c:pt idx="2389">
                  <c:v>45530</c:v>
                </c:pt>
                <c:pt idx="2390">
                  <c:v>45531</c:v>
                </c:pt>
                <c:pt idx="2391">
                  <c:v>45532</c:v>
                </c:pt>
                <c:pt idx="2392">
                  <c:v>45533</c:v>
                </c:pt>
                <c:pt idx="2393">
                  <c:v>45534</c:v>
                </c:pt>
                <c:pt idx="2394">
                  <c:v>45538</c:v>
                </c:pt>
                <c:pt idx="2395">
                  <c:v>45539</c:v>
                </c:pt>
                <c:pt idx="2396">
                  <c:v>45540</c:v>
                </c:pt>
                <c:pt idx="2397">
                  <c:v>45541</c:v>
                </c:pt>
                <c:pt idx="2398">
                  <c:v>45544</c:v>
                </c:pt>
                <c:pt idx="2399">
                  <c:v>45545</c:v>
                </c:pt>
                <c:pt idx="2400">
                  <c:v>45546</c:v>
                </c:pt>
                <c:pt idx="2401">
                  <c:v>45547</c:v>
                </c:pt>
                <c:pt idx="2402">
                  <c:v>45548</c:v>
                </c:pt>
                <c:pt idx="2403">
                  <c:v>45551</c:v>
                </c:pt>
                <c:pt idx="2404">
                  <c:v>45552</c:v>
                </c:pt>
                <c:pt idx="2405">
                  <c:v>45553</c:v>
                </c:pt>
                <c:pt idx="2406">
                  <c:v>45554</c:v>
                </c:pt>
                <c:pt idx="2407">
                  <c:v>45555</c:v>
                </c:pt>
                <c:pt idx="2408">
                  <c:v>45558</c:v>
                </c:pt>
                <c:pt idx="2409">
                  <c:v>45559</c:v>
                </c:pt>
                <c:pt idx="2410">
                  <c:v>45560</c:v>
                </c:pt>
                <c:pt idx="2411">
                  <c:v>45561</c:v>
                </c:pt>
                <c:pt idx="2412">
                  <c:v>45562</c:v>
                </c:pt>
                <c:pt idx="2413">
                  <c:v>45565</c:v>
                </c:pt>
                <c:pt idx="2414">
                  <c:v>45566</c:v>
                </c:pt>
                <c:pt idx="2415">
                  <c:v>45567</c:v>
                </c:pt>
                <c:pt idx="2416">
                  <c:v>45568</c:v>
                </c:pt>
                <c:pt idx="2417">
                  <c:v>45569</c:v>
                </c:pt>
                <c:pt idx="2418">
                  <c:v>45572</c:v>
                </c:pt>
                <c:pt idx="2419">
                  <c:v>45573</c:v>
                </c:pt>
                <c:pt idx="2420">
                  <c:v>45574</c:v>
                </c:pt>
                <c:pt idx="2421">
                  <c:v>45575</c:v>
                </c:pt>
                <c:pt idx="2422">
                  <c:v>45576</c:v>
                </c:pt>
                <c:pt idx="2423">
                  <c:v>45579</c:v>
                </c:pt>
                <c:pt idx="2424">
                  <c:v>45580</c:v>
                </c:pt>
                <c:pt idx="2425">
                  <c:v>45581</c:v>
                </c:pt>
                <c:pt idx="2426">
                  <c:v>45582</c:v>
                </c:pt>
                <c:pt idx="2427">
                  <c:v>45583</c:v>
                </c:pt>
                <c:pt idx="2428">
                  <c:v>45586</c:v>
                </c:pt>
                <c:pt idx="2429">
                  <c:v>45587</c:v>
                </c:pt>
                <c:pt idx="2430">
                  <c:v>45588</c:v>
                </c:pt>
                <c:pt idx="2431">
                  <c:v>45589</c:v>
                </c:pt>
                <c:pt idx="2432">
                  <c:v>45590</c:v>
                </c:pt>
                <c:pt idx="2433">
                  <c:v>45593</c:v>
                </c:pt>
                <c:pt idx="2434">
                  <c:v>45594</c:v>
                </c:pt>
                <c:pt idx="2435">
                  <c:v>45595</c:v>
                </c:pt>
                <c:pt idx="2436">
                  <c:v>45596</c:v>
                </c:pt>
                <c:pt idx="2437">
                  <c:v>45597</c:v>
                </c:pt>
                <c:pt idx="2438">
                  <c:v>45600</c:v>
                </c:pt>
                <c:pt idx="2439">
                  <c:v>45601</c:v>
                </c:pt>
                <c:pt idx="2440">
                  <c:v>45602</c:v>
                </c:pt>
                <c:pt idx="2441">
                  <c:v>45603</c:v>
                </c:pt>
                <c:pt idx="2442">
                  <c:v>45604</c:v>
                </c:pt>
                <c:pt idx="2443">
                  <c:v>45607</c:v>
                </c:pt>
                <c:pt idx="2444">
                  <c:v>45608</c:v>
                </c:pt>
                <c:pt idx="2445">
                  <c:v>45609</c:v>
                </c:pt>
                <c:pt idx="2446">
                  <c:v>45610</c:v>
                </c:pt>
                <c:pt idx="2447">
                  <c:v>45611</c:v>
                </c:pt>
                <c:pt idx="2448">
                  <c:v>45614</c:v>
                </c:pt>
                <c:pt idx="2449">
                  <c:v>45615</c:v>
                </c:pt>
                <c:pt idx="2450">
                  <c:v>45616</c:v>
                </c:pt>
                <c:pt idx="2451">
                  <c:v>45617</c:v>
                </c:pt>
                <c:pt idx="2452">
                  <c:v>45618</c:v>
                </c:pt>
                <c:pt idx="2453">
                  <c:v>45621</c:v>
                </c:pt>
                <c:pt idx="2454">
                  <c:v>45622</c:v>
                </c:pt>
                <c:pt idx="2455">
                  <c:v>45623</c:v>
                </c:pt>
                <c:pt idx="2456">
                  <c:v>45625</c:v>
                </c:pt>
                <c:pt idx="2457">
                  <c:v>45628</c:v>
                </c:pt>
                <c:pt idx="2458">
                  <c:v>45629</c:v>
                </c:pt>
                <c:pt idx="2459">
                  <c:v>45630</c:v>
                </c:pt>
                <c:pt idx="2460">
                  <c:v>45631</c:v>
                </c:pt>
                <c:pt idx="2461">
                  <c:v>45632</c:v>
                </c:pt>
                <c:pt idx="2462">
                  <c:v>45635</c:v>
                </c:pt>
                <c:pt idx="2463">
                  <c:v>45636</c:v>
                </c:pt>
                <c:pt idx="2464">
                  <c:v>45637</c:v>
                </c:pt>
                <c:pt idx="2465">
                  <c:v>45638</c:v>
                </c:pt>
                <c:pt idx="2466">
                  <c:v>45639</c:v>
                </c:pt>
                <c:pt idx="2467">
                  <c:v>45642</c:v>
                </c:pt>
                <c:pt idx="2468">
                  <c:v>45643</c:v>
                </c:pt>
                <c:pt idx="2469">
                  <c:v>45644</c:v>
                </c:pt>
                <c:pt idx="2470">
                  <c:v>45645</c:v>
                </c:pt>
                <c:pt idx="2471">
                  <c:v>45646</c:v>
                </c:pt>
                <c:pt idx="2472">
                  <c:v>45649</c:v>
                </c:pt>
                <c:pt idx="2473">
                  <c:v>45650</c:v>
                </c:pt>
                <c:pt idx="2474">
                  <c:v>45652</c:v>
                </c:pt>
                <c:pt idx="2475">
                  <c:v>45653</c:v>
                </c:pt>
                <c:pt idx="2476">
                  <c:v>45656</c:v>
                </c:pt>
                <c:pt idx="2477">
                  <c:v>45657</c:v>
                </c:pt>
                <c:pt idx="2478">
                  <c:v>45659</c:v>
                </c:pt>
                <c:pt idx="2479">
                  <c:v>45660</c:v>
                </c:pt>
                <c:pt idx="2480">
                  <c:v>45663</c:v>
                </c:pt>
                <c:pt idx="2481">
                  <c:v>45664</c:v>
                </c:pt>
                <c:pt idx="2482">
                  <c:v>45665</c:v>
                </c:pt>
                <c:pt idx="2483">
                  <c:v>45667</c:v>
                </c:pt>
                <c:pt idx="2484">
                  <c:v>45670</c:v>
                </c:pt>
                <c:pt idx="2485">
                  <c:v>45671</c:v>
                </c:pt>
                <c:pt idx="2486">
                  <c:v>45672</c:v>
                </c:pt>
                <c:pt idx="2487">
                  <c:v>45673</c:v>
                </c:pt>
                <c:pt idx="2488">
                  <c:v>45674</c:v>
                </c:pt>
                <c:pt idx="2489">
                  <c:v>45678</c:v>
                </c:pt>
                <c:pt idx="2490">
                  <c:v>45679</c:v>
                </c:pt>
                <c:pt idx="2491">
                  <c:v>45680</c:v>
                </c:pt>
                <c:pt idx="2492">
                  <c:v>45681</c:v>
                </c:pt>
                <c:pt idx="2493">
                  <c:v>45684</c:v>
                </c:pt>
                <c:pt idx="2494">
                  <c:v>45685</c:v>
                </c:pt>
                <c:pt idx="2495">
                  <c:v>45686</c:v>
                </c:pt>
                <c:pt idx="2496">
                  <c:v>45687</c:v>
                </c:pt>
                <c:pt idx="2497">
                  <c:v>45688</c:v>
                </c:pt>
                <c:pt idx="2498">
                  <c:v>45691</c:v>
                </c:pt>
                <c:pt idx="2499">
                  <c:v>45692</c:v>
                </c:pt>
                <c:pt idx="2500">
                  <c:v>45693</c:v>
                </c:pt>
                <c:pt idx="2501">
                  <c:v>45694</c:v>
                </c:pt>
                <c:pt idx="2502">
                  <c:v>45695</c:v>
                </c:pt>
                <c:pt idx="2503">
                  <c:v>45698</c:v>
                </c:pt>
                <c:pt idx="2504">
                  <c:v>45699</c:v>
                </c:pt>
                <c:pt idx="2505">
                  <c:v>45700</c:v>
                </c:pt>
                <c:pt idx="2506">
                  <c:v>45701</c:v>
                </c:pt>
                <c:pt idx="2507">
                  <c:v>45702</c:v>
                </c:pt>
                <c:pt idx="2508">
                  <c:v>45706</c:v>
                </c:pt>
                <c:pt idx="2509">
                  <c:v>45707</c:v>
                </c:pt>
                <c:pt idx="2510">
                  <c:v>45708</c:v>
                </c:pt>
                <c:pt idx="2511">
                  <c:v>45709</c:v>
                </c:pt>
                <c:pt idx="2512">
                  <c:v>45712</c:v>
                </c:pt>
                <c:pt idx="2513">
                  <c:v>45713</c:v>
                </c:pt>
                <c:pt idx="2514">
                  <c:v>45714</c:v>
                </c:pt>
                <c:pt idx="2515">
                  <c:v>45715</c:v>
                </c:pt>
                <c:pt idx="2516">
                  <c:v>45716</c:v>
                </c:pt>
              </c:numCache>
            </c:numRef>
          </c:cat>
          <c:val>
            <c:numRef>
              <c:f>'Coca-Cola Stock Price History'!$L$6:$L$2522</c:f>
              <c:numCache>
                <c:formatCode>General</c:formatCode>
                <c:ptCount val="251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 formatCode="0.000">
                  <c:v>40.844897959183683</c:v>
                </c:pt>
                <c:pt idx="51" formatCode="0.000">
                  <c:v>40.798775510204088</c:v>
                </c:pt>
                <c:pt idx="52" formatCode="0.000">
                  <c:v>40.7526530612245</c:v>
                </c:pt>
                <c:pt idx="53" formatCode="0.000">
                  <c:v>40.723061224489804</c:v>
                </c:pt>
                <c:pt idx="54" formatCode="0.000">
                  <c:v>40.704693877551023</c:v>
                </c:pt>
                <c:pt idx="55" formatCode="0.000">
                  <c:v>40.704693877551023</c:v>
                </c:pt>
                <c:pt idx="56" formatCode="0.000">
                  <c:v>40.703265306122447</c:v>
                </c:pt>
                <c:pt idx="57" formatCode="0.000">
                  <c:v>40.715918367346937</c:v>
                </c:pt>
                <c:pt idx="58" formatCode="0.000">
                  <c:v>40.741428571428571</c:v>
                </c:pt>
                <c:pt idx="59" formatCode="0.000">
                  <c:v>40.754897959183666</c:v>
                </c:pt>
                <c:pt idx="60" formatCode="0.000">
                  <c:v>40.78142857142857</c:v>
                </c:pt>
                <c:pt idx="61" formatCode="0.000">
                  <c:v>40.795714285714283</c:v>
                </c:pt>
                <c:pt idx="62" formatCode="0.000">
                  <c:v>40.808163265306121</c:v>
                </c:pt>
                <c:pt idx="63" formatCode="0.000">
                  <c:v>40.819183673469389</c:v>
                </c:pt>
                <c:pt idx="64" formatCode="0.000">
                  <c:v>40.838367346938782</c:v>
                </c:pt>
                <c:pt idx="65" formatCode="0.000">
                  <c:v>40.844285714285718</c:v>
                </c:pt>
                <c:pt idx="66" formatCode="0.000">
                  <c:v>40.851836734693883</c:v>
                </c:pt>
                <c:pt idx="67" formatCode="0.000">
                  <c:v>40.86</c:v>
                </c:pt>
                <c:pt idx="68" formatCode="0.000">
                  <c:v>40.862857142857145</c:v>
                </c:pt>
                <c:pt idx="69" formatCode="0.000">
                  <c:v>40.857755102040812</c:v>
                </c:pt>
                <c:pt idx="70" formatCode="0.000">
                  <c:v>40.859387755102041</c:v>
                </c:pt>
                <c:pt idx="71" formatCode="0.000">
                  <c:v>40.853061224489792</c:v>
                </c:pt>
                <c:pt idx="72" formatCode="0.000">
                  <c:v>40.848571428571425</c:v>
                </c:pt>
                <c:pt idx="73" formatCode="0.000">
                  <c:v>40.836734693877546</c:v>
                </c:pt>
                <c:pt idx="74" formatCode="0.000">
                  <c:v>40.822040816326528</c:v>
                </c:pt>
                <c:pt idx="75" formatCode="0.000">
                  <c:v>40.789795918367339</c:v>
                </c:pt>
                <c:pt idx="76" formatCode="0.000">
                  <c:v>40.7708163265306</c:v>
                </c:pt>
                <c:pt idx="77" formatCode="0.000">
                  <c:v>40.758163265306116</c:v>
                </c:pt>
                <c:pt idx="78" formatCode="0.000">
                  <c:v>40.749999999999993</c:v>
                </c:pt>
                <c:pt idx="79" formatCode="0.000">
                  <c:v>40.740204081632648</c:v>
                </c:pt>
                <c:pt idx="80" formatCode="0.000">
                  <c:v>40.735714285714288</c:v>
                </c:pt>
                <c:pt idx="81" formatCode="0.000">
                  <c:v>40.733061224489795</c:v>
                </c:pt>
                <c:pt idx="82" formatCode="0.000">
                  <c:v>40.72877551020408</c:v>
                </c:pt>
                <c:pt idx="83" formatCode="0.000">
                  <c:v>40.716938775510201</c:v>
                </c:pt>
                <c:pt idx="84" formatCode="0.000">
                  <c:v>40.710816326530619</c:v>
                </c:pt>
                <c:pt idx="85" formatCode="0.000">
                  <c:v>40.685102040816332</c:v>
                </c:pt>
                <c:pt idx="86" formatCode="0.000">
                  <c:v>40.653469387755109</c:v>
                </c:pt>
                <c:pt idx="87" formatCode="0.000">
                  <c:v>40.616530612244901</c:v>
                </c:pt>
                <c:pt idx="88" formatCode="0.000">
                  <c:v>40.586734693877553</c:v>
                </c:pt>
                <c:pt idx="89" formatCode="0.000">
                  <c:v>40.556734693877559</c:v>
                </c:pt>
                <c:pt idx="90" formatCode="0.000">
                  <c:v>40.544897959183679</c:v>
                </c:pt>
                <c:pt idx="91" formatCode="0.000">
                  <c:v>40.526326530612252</c:v>
                </c:pt>
                <c:pt idx="92" formatCode="0.000">
                  <c:v>40.514693877551032</c:v>
                </c:pt>
                <c:pt idx="93" formatCode="0.000">
                  <c:v>40.511224489795929</c:v>
                </c:pt>
                <c:pt idx="94" formatCode="0.000">
                  <c:v>40.506122448979603</c:v>
                </c:pt>
                <c:pt idx="95" formatCode="0.000">
                  <c:v>40.510408163265318</c:v>
                </c:pt>
                <c:pt idx="96" formatCode="0.000">
                  <c:v>40.518163265306143</c:v>
                </c:pt>
                <c:pt idx="97" formatCode="0.000">
                  <c:v>40.534897959183695</c:v>
                </c:pt>
                <c:pt idx="98" formatCode="0.000">
                  <c:v>40.546122448979609</c:v>
                </c:pt>
                <c:pt idx="99" formatCode="0.000">
                  <c:v>40.554285714285747</c:v>
                </c:pt>
                <c:pt idx="100" formatCode="0.000">
                  <c:v>40.559387755102065</c:v>
                </c:pt>
                <c:pt idx="101" formatCode="0.000">
                  <c:v>40.56367346938778</c:v>
                </c:pt>
                <c:pt idx="102" formatCode="0.000">
                  <c:v>40.559387755102058</c:v>
                </c:pt>
                <c:pt idx="103" formatCode="0.000">
                  <c:v>40.53775510204084</c:v>
                </c:pt>
                <c:pt idx="104" formatCode="0.000">
                  <c:v>40.517755102040837</c:v>
                </c:pt>
                <c:pt idx="105" formatCode="0.000">
                  <c:v>40.502040816326549</c:v>
                </c:pt>
                <c:pt idx="106" formatCode="0.000">
                  <c:v>40.487346938775524</c:v>
                </c:pt>
                <c:pt idx="107" formatCode="0.000">
                  <c:v>40.471224489795937</c:v>
                </c:pt>
                <c:pt idx="108" formatCode="0.000">
                  <c:v>40.468163265306131</c:v>
                </c:pt>
                <c:pt idx="109" formatCode="0.000">
                  <c:v>40.474897959183679</c:v>
                </c:pt>
                <c:pt idx="110" formatCode="0.000">
                  <c:v>40.492448979591842</c:v>
                </c:pt>
                <c:pt idx="111" formatCode="0.000">
                  <c:v>40.512857142857143</c:v>
                </c:pt>
                <c:pt idx="112" formatCode="0.000">
                  <c:v>40.528775510204085</c:v>
                </c:pt>
                <c:pt idx="113" formatCode="0.000">
                  <c:v>40.545306122448977</c:v>
                </c:pt>
                <c:pt idx="114" formatCode="0.000">
                  <c:v>40.560408163265308</c:v>
                </c:pt>
                <c:pt idx="115" formatCode="0.000">
                  <c:v>40.570408163265306</c:v>
                </c:pt>
                <c:pt idx="116" formatCode="0.000">
                  <c:v>40.578367346938776</c:v>
                </c:pt>
                <c:pt idx="117" formatCode="0.000">
                  <c:v>40.588775510204073</c:v>
                </c:pt>
                <c:pt idx="118" formatCode="0.000">
                  <c:v>40.612244897959179</c:v>
                </c:pt>
                <c:pt idx="119" formatCode="0.000">
                  <c:v>40.63653061224489</c:v>
                </c:pt>
                <c:pt idx="120" formatCode="0.000">
                  <c:v>40.658979591836726</c:v>
                </c:pt>
                <c:pt idx="121" formatCode="0.000">
                  <c:v>40.668163265306113</c:v>
                </c:pt>
                <c:pt idx="122" formatCode="0.000">
                  <c:v>40.6773469387755</c:v>
                </c:pt>
                <c:pt idx="123" formatCode="0.000">
                  <c:v>40.668571428571411</c:v>
                </c:pt>
                <c:pt idx="124" formatCode="0.000">
                  <c:v>40.643877551020395</c:v>
                </c:pt>
                <c:pt idx="125" formatCode="0.000">
                  <c:v>40.601224489795904</c:v>
                </c:pt>
                <c:pt idx="126" formatCode="0.000">
                  <c:v>40.569795918367333</c:v>
                </c:pt>
                <c:pt idx="127" formatCode="0.000">
                  <c:v>40.541632653061207</c:v>
                </c:pt>
                <c:pt idx="128" formatCode="0.000">
                  <c:v>40.522244897959176</c:v>
                </c:pt>
                <c:pt idx="129" formatCode="0.000">
                  <c:v>40.498571428571417</c:v>
                </c:pt>
                <c:pt idx="130" formatCode="0.000">
                  <c:v>40.465306122448972</c:v>
                </c:pt>
                <c:pt idx="131" formatCode="0.000">
                  <c:v>40.438979591836727</c:v>
                </c:pt>
                <c:pt idx="132" formatCode="0.000">
                  <c:v>40.421428571428571</c:v>
                </c:pt>
                <c:pt idx="133" formatCode="0.000">
                  <c:v>40.391224489795917</c:v>
                </c:pt>
                <c:pt idx="134" formatCode="0.000">
                  <c:v>40.381020408163266</c:v>
                </c:pt>
                <c:pt idx="135" formatCode="0.000">
                  <c:v>40.362040816326534</c:v>
                </c:pt>
                <c:pt idx="136" formatCode="0.000">
                  <c:v>40.340000000000003</c:v>
                </c:pt>
                <c:pt idx="137" formatCode="0.000">
                  <c:v>40.312244897959189</c:v>
                </c:pt>
                <c:pt idx="138" formatCode="0.000">
                  <c:v>40.285306122448979</c:v>
                </c:pt>
                <c:pt idx="139" formatCode="0.000">
                  <c:v>40.249591836734687</c:v>
                </c:pt>
                <c:pt idx="140" formatCode="0.000">
                  <c:v>40.235102040816329</c:v>
                </c:pt>
                <c:pt idx="141" formatCode="0.000">
                  <c:v>40.224081632653068</c:v>
                </c:pt>
                <c:pt idx="142" formatCode="0.000">
                  <c:v>40.19530612244899</c:v>
                </c:pt>
                <c:pt idx="143" formatCode="0.000">
                  <c:v>40.165306122448989</c:v>
                </c:pt>
                <c:pt idx="144" formatCode="0.000">
                  <c:v>40.116734693877561</c:v>
                </c:pt>
                <c:pt idx="145" formatCode="0.000">
                  <c:v>40.068367346938786</c:v>
                </c:pt>
                <c:pt idx="146" formatCode="0.000">
                  <c:v>40.020816326530628</c:v>
                </c:pt>
                <c:pt idx="147" formatCode="0.000">
                  <c:v>39.987551020408169</c:v>
                </c:pt>
                <c:pt idx="148" formatCode="0.000">
                  <c:v>39.949795918367357</c:v>
                </c:pt>
                <c:pt idx="149" formatCode="0.000">
                  <c:v>39.91857142857144</c:v>
                </c:pt>
                <c:pt idx="150" formatCode="0.000">
                  <c:v>39.902653061224498</c:v>
                </c:pt>
                <c:pt idx="151" formatCode="0.000">
                  <c:v>39.881428571428579</c:v>
                </c:pt>
                <c:pt idx="152" formatCode="0.000">
                  <c:v>39.880408163265315</c:v>
                </c:pt>
                <c:pt idx="153" formatCode="0.000">
                  <c:v>39.890000000000015</c:v>
                </c:pt>
                <c:pt idx="154" formatCode="0.000">
                  <c:v>39.898367346938784</c:v>
                </c:pt>
                <c:pt idx="155" formatCode="0.000">
                  <c:v>39.917346938775516</c:v>
                </c:pt>
                <c:pt idx="156" formatCode="0.000">
                  <c:v>39.946326530612254</c:v>
                </c:pt>
                <c:pt idx="157" formatCode="0.000">
                  <c:v>39.965510204081639</c:v>
                </c:pt>
                <c:pt idx="158" formatCode="0.000">
                  <c:v>39.974897959183679</c:v>
                </c:pt>
                <c:pt idx="159" formatCode="0.000">
                  <c:v>39.970816326530617</c:v>
                </c:pt>
                <c:pt idx="160" formatCode="0.000">
                  <c:v>39.961836734693883</c:v>
                </c:pt>
                <c:pt idx="161" formatCode="0.000">
                  <c:v>39.961836734693883</c:v>
                </c:pt>
                <c:pt idx="162" formatCode="0.000">
                  <c:v>39.966938775510208</c:v>
                </c:pt>
                <c:pt idx="163" formatCode="0.000">
                  <c:v>39.973265306122457</c:v>
                </c:pt>
                <c:pt idx="164" formatCode="0.000">
                  <c:v>39.989795918367349</c:v>
                </c:pt>
                <c:pt idx="165" formatCode="0.000">
                  <c:v>40.008775510204082</c:v>
                </c:pt>
                <c:pt idx="166" formatCode="0.000">
                  <c:v>40.052448979591837</c:v>
                </c:pt>
                <c:pt idx="167" formatCode="0.000">
                  <c:v>40.083877551020407</c:v>
                </c:pt>
                <c:pt idx="168" formatCode="0.000">
                  <c:v>40.109183673469389</c:v>
                </c:pt>
                <c:pt idx="169" formatCode="0.000">
                  <c:v>40.135918367346939</c:v>
                </c:pt>
                <c:pt idx="170" formatCode="0.000">
                  <c:v>40.175714285714285</c:v>
                </c:pt>
                <c:pt idx="171" formatCode="0.000">
                  <c:v>40.221428571428568</c:v>
                </c:pt>
                <c:pt idx="172" formatCode="0.000">
                  <c:v>40.27897959183673</c:v>
                </c:pt>
                <c:pt idx="173" formatCode="0.000">
                  <c:v>40.357755102040812</c:v>
                </c:pt>
                <c:pt idx="174" formatCode="0.000">
                  <c:v>40.442857142857143</c:v>
                </c:pt>
                <c:pt idx="175" formatCode="0.000">
                  <c:v>40.508979591836734</c:v>
                </c:pt>
                <c:pt idx="176" formatCode="0.000">
                  <c:v>40.571428571428569</c:v>
                </c:pt>
                <c:pt idx="177" formatCode="0.000">
                  <c:v>40.62265306122449</c:v>
                </c:pt>
                <c:pt idx="178" formatCode="0.000">
                  <c:v>40.667959183673467</c:v>
                </c:pt>
                <c:pt idx="179" formatCode="0.000">
                  <c:v>40.729591836734691</c:v>
                </c:pt>
                <c:pt idx="180" formatCode="0.000">
                  <c:v>40.793673469387755</c:v>
                </c:pt>
                <c:pt idx="181" formatCode="0.000">
                  <c:v>40.843061224489787</c:v>
                </c:pt>
                <c:pt idx="182" formatCode="0.000">
                  <c:v>40.901428571428568</c:v>
                </c:pt>
                <c:pt idx="183" formatCode="0.000">
                  <c:v>40.963877551020403</c:v>
                </c:pt>
                <c:pt idx="184" formatCode="0.000">
                  <c:v>41.032653061224487</c:v>
                </c:pt>
                <c:pt idx="185" formatCode="0.000">
                  <c:v>41.111428571428561</c:v>
                </c:pt>
                <c:pt idx="186" formatCode="0.000">
                  <c:v>41.213061224489785</c:v>
                </c:pt>
                <c:pt idx="187" formatCode="0.000">
                  <c:v>41.301428571428566</c:v>
                </c:pt>
                <c:pt idx="188" formatCode="0.000">
                  <c:v>41.392448979591826</c:v>
                </c:pt>
                <c:pt idx="189" formatCode="0.000">
                  <c:v>41.478367346938768</c:v>
                </c:pt>
                <c:pt idx="190" formatCode="0.000">
                  <c:v>41.559591836734683</c:v>
                </c:pt>
                <c:pt idx="191" formatCode="0.000">
                  <c:v>41.644693877551006</c:v>
                </c:pt>
                <c:pt idx="192" formatCode="0.000">
                  <c:v>41.714693877551007</c:v>
                </c:pt>
                <c:pt idx="193" formatCode="0.000">
                  <c:v>41.798367346938761</c:v>
                </c:pt>
                <c:pt idx="194" formatCode="0.000">
                  <c:v>41.880204081632648</c:v>
                </c:pt>
                <c:pt idx="195" formatCode="0.000">
                  <c:v>41.947755102040809</c:v>
                </c:pt>
                <c:pt idx="196" formatCode="0.000">
                  <c:v>42.022653061224482</c:v>
                </c:pt>
                <c:pt idx="197" formatCode="0.000">
                  <c:v>42.097551020408162</c:v>
                </c:pt>
                <c:pt idx="198" formatCode="0.000">
                  <c:v>42.16591836734694</c:v>
                </c:pt>
                <c:pt idx="199" formatCode="0.000">
                  <c:v>42.217755102040812</c:v>
                </c:pt>
                <c:pt idx="200" formatCode="0.000">
                  <c:v>42.278163265306127</c:v>
                </c:pt>
                <c:pt idx="201" formatCode="0.000">
                  <c:v>42.316530612244904</c:v>
                </c:pt>
                <c:pt idx="202" formatCode="0.000">
                  <c:v>42.345918367346947</c:v>
                </c:pt>
                <c:pt idx="203" formatCode="0.000">
                  <c:v>42.388979591836744</c:v>
                </c:pt>
                <c:pt idx="204" formatCode="0.000">
                  <c:v>42.436326530612249</c:v>
                </c:pt>
                <c:pt idx="205" formatCode="0.000">
                  <c:v>42.467142857142854</c:v>
                </c:pt>
                <c:pt idx="206" formatCode="0.000">
                  <c:v>42.476938775510199</c:v>
                </c:pt>
                <c:pt idx="207" formatCode="0.000">
                  <c:v>42.492857142857147</c:v>
                </c:pt>
                <c:pt idx="208" formatCode="0.000">
                  <c:v>42.526326530612245</c:v>
                </c:pt>
                <c:pt idx="209" formatCode="0.000">
                  <c:v>42.566938775510202</c:v>
                </c:pt>
                <c:pt idx="210" formatCode="0.000">
                  <c:v>42.6</c:v>
                </c:pt>
                <c:pt idx="211" formatCode="0.000">
                  <c:v>42.629999999999995</c:v>
                </c:pt>
                <c:pt idx="212" formatCode="0.000">
                  <c:v>42.665102040816322</c:v>
                </c:pt>
                <c:pt idx="213" formatCode="0.000">
                  <c:v>42.691224489795914</c:v>
                </c:pt>
                <c:pt idx="214" formatCode="0.000">
                  <c:v>42.706938775510203</c:v>
                </c:pt>
                <c:pt idx="215" formatCode="0.000">
                  <c:v>42.689795918367352</c:v>
                </c:pt>
                <c:pt idx="216" formatCode="0.000">
                  <c:v>42.684897959183679</c:v>
                </c:pt>
                <c:pt idx="217" formatCode="0.000">
                  <c:v>42.679387755102049</c:v>
                </c:pt>
                <c:pt idx="218" formatCode="0.000">
                  <c:v>42.659183673469393</c:v>
                </c:pt>
                <c:pt idx="219" formatCode="0.000">
                  <c:v>42.63428571428571</c:v>
                </c:pt>
                <c:pt idx="220" formatCode="0.000">
                  <c:v>42.609591836734694</c:v>
                </c:pt>
                <c:pt idx="221" formatCode="0.000">
                  <c:v>42.604897959183674</c:v>
                </c:pt>
                <c:pt idx="222" formatCode="0.000">
                  <c:v>42.596938775510196</c:v>
                </c:pt>
                <c:pt idx="223" formatCode="0.000">
                  <c:v>42.591224489795906</c:v>
                </c:pt>
                <c:pt idx="224" formatCode="0.000">
                  <c:v>42.581632653061213</c:v>
                </c:pt>
                <c:pt idx="225" formatCode="0.000">
                  <c:v>42.573265306122444</c:v>
                </c:pt>
                <c:pt idx="226" formatCode="0.000">
                  <c:v>42.561428571428564</c:v>
                </c:pt>
                <c:pt idx="227" formatCode="0.000">
                  <c:v>42.558367346938766</c:v>
                </c:pt>
                <c:pt idx="228" formatCode="0.000">
                  <c:v>42.564285714285717</c:v>
                </c:pt>
                <c:pt idx="229" formatCode="0.000">
                  <c:v>42.566734693877549</c:v>
                </c:pt>
                <c:pt idx="230" formatCode="0.000">
                  <c:v>42.5769387755102</c:v>
                </c:pt>
                <c:pt idx="231" formatCode="0.000">
                  <c:v>42.591428571428573</c:v>
                </c:pt>
                <c:pt idx="232" formatCode="0.000">
                  <c:v>42.60387755102041</c:v>
                </c:pt>
                <c:pt idx="233" formatCode="0.000">
                  <c:v>42.629387755102037</c:v>
                </c:pt>
                <c:pt idx="234" formatCode="0.000">
                  <c:v>42.644081632653062</c:v>
                </c:pt>
                <c:pt idx="235" formatCode="0.000">
                  <c:v>42.630408163265301</c:v>
                </c:pt>
                <c:pt idx="236" formatCode="0.000">
                  <c:v>42.636326530612244</c:v>
                </c:pt>
                <c:pt idx="237" formatCode="0.000">
                  <c:v>42.627551020408163</c:v>
                </c:pt>
                <c:pt idx="238" formatCode="0.000">
                  <c:v>42.608775510204083</c:v>
                </c:pt>
                <c:pt idx="239" formatCode="0.000">
                  <c:v>42.594285714285711</c:v>
                </c:pt>
                <c:pt idx="240" formatCode="0.000">
                  <c:v>42.597346938775509</c:v>
                </c:pt>
                <c:pt idx="241" formatCode="0.000">
                  <c:v>42.595918367346933</c:v>
                </c:pt>
                <c:pt idx="242" formatCode="0.000">
                  <c:v>42.586122448979587</c:v>
                </c:pt>
                <c:pt idx="243" formatCode="0.000">
                  <c:v>42.593061224489794</c:v>
                </c:pt>
                <c:pt idx="244" formatCode="0.000">
                  <c:v>42.611428571428576</c:v>
                </c:pt>
                <c:pt idx="245" formatCode="0.000">
                  <c:v>42.61551020408163</c:v>
                </c:pt>
                <c:pt idx="246" formatCode="0.000">
                  <c:v>42.623877551020414</c:v>
                </c:pt>
                <c:pt idx="247" formatCode="0.000">
                  <c:v>42.639387755102049</c:v>
                </c:pt>
                <c:pt idx="248" formatCode="0.000">
                  <c:v>42.665510204081635</c:v>
                </c:pt>
                <c:pt idx="249" formatCode="0.000">
                  <c:v>42.684489795918367</c:v>
                </c:pt>
                <c:pt idx="250" formatCode="0.000">
                  <c:v>42.717959183673464</c:v>
                </c:pt>
                <c:pt idx="251" formatCode="0.000">
                  <c:v>42.752857142857138</c:v>
                </c:pt>
                <c:pt idx="252" formatCode="0.000">
                  <c:v>42.754285714285714</c:v>
                </c:pt>
                <c:pt idx="253" formatCode="0.000">
                  <c:v>42.739795918367349</c:v>
                </c:pt>
                <c:pt idx="254" formatCode="0.000">
                  <c:v>42.743877551020411</c:v>
                </c:pt>
                <c:pt idx="255" formatCode="0.000">
                  <c:v>42.76979591836735</c:v>
                </c:pt>
                <c:pt idx="256" formatCode="0.000">
                  <c:v>42.793877551020422</c:v>
                </c:pt>
                <c:pt idx="257" formatCode="0.000">
                  <c:v>42.810612244897975</c:v>
                </c:pt>
                <c:pt idx="258" formatCode="0.000">
                  <c:v>42.817551020408182</c:v>
                </c:pt>
                <c:pt idx="259" formatCode="0.000">
                  <c:v>42.833469387755116</c:v>
                </c:pt>
                <c:pt idx="260" formatCode="0.000">
                  <c:v>42.860408163265312</c:v>
                </c:pt>
                <c:pt idx="261" formatCode="0.000">
                  <c:v>42.891428571428577</c:v>
                </c:pt>
                <c:pt idx="262" formatCode="0.000">
                  <c:v>42.924693877551022</c:v>
                </c:pt>
                <c:pt idx="263" formatCode="0.000">
                  <c:v>42.972244897959179</c:v>
                </c:pt>
                <c:pt idx="264" formatCode="0.000">
                  <c:v>43.030204081632654</c:v>
                </c:pt>
                <c:pt idx="265" formatCode="0.000">
                  <c:v>43.081224489795929</c:v>
                </c:pt>
                <c:pt idx="266" formatCode="0.000">
                  <c:v>43.15163265306122</c:v>
                </c:pt>
                <c:pt idx="267" formatCode="0.000">
                  <c:v>43.232857142857142</c:v>
                </c:pt>
                <c:pt idx="268" formatCode="0.000">
                  <c:v>43.31775510204082</c:v>
                </c:pt>
                <c:pt idx="269" formatCode="0.000">
                  <c:v>43.397755102040811</c:v>
                </c:pt>
                <c:pt idx="270" formatCode="0.000">
                  <c:v>43.465918367346937</c:v>
                </c:pt>
                <c:pt idx="271" formatCode="0.000">
                  <c:v>43.542040816326526</c:v>
                </c:pt>
                <c:pt idx="272" formatCode="0.000">
                  <c:v>43.622040816326539</c:v>
                </c:pt>
                <c:pt idx="273" formatCode="0.000">
                  <c:v>43.723673469387762</c:v>
                </c:pt>
                <c:pt idx="274" formatCode="0.000">
                  <c:v>43.818775510204077</c:v>
                </c:pt>
                <c:pt idx="275" formatCode="0.000">
                  <c:v>43.921020408163258</c:v>
                </c:pt>
                <c:pt idx="276" formatCode="0.000">
                  <c:v>44.032040816326521</c:v>
                </c:pt>
                <c:pt idx="277" formatCode="0.000">
                  <c:v>44.130612244897954</c:v>
                </c:pt>
                <c:pt idx="278" formatCode="0.000">
                  <c:v>44.219795918367346</c:v>
                </c:pt>
                <c:pt idx="279" formatCode="0.000">
                  <c:v>44.314285714285717</c:v>
                </c:pt>
                <c:pt idx="280" formatCode="0.000">
                  <c:v>44.401428571428575</c:v>
                </c:pt>
                <c:pt idx="281" formatCode="0.000">
                  <c:v>44.489183673469384</c:v>
                </c:pt>
                <c:pt idx="282" formatCode="0.000">
                  <c:v>44.561020408163259</c:v>
                </c:pt>
                <c:pt idx="283" formatCode="0.000">
                  <c:v>44.635510204081633</c:v>
                </c:pt>
                <c:pt idx="284" formatCode="0.000">
                  <c:v>44.708979591836737</c:v>
                </c:pt>
                <c:pt idx="285" formatCode="0.000">
                  <c:v>44.772448979591836</c:v>
                </c:pt>
                <c:pt idx="286" formatCode="0.000">
                  <c:v>44.845306122448974</c:v>
                </c:pt>
                <c:pt idx="287" formatCode="0.000">
                  <c:v>44.92244897959182</c:v>
                </c:pt>
                <c:pt idx="288" formatCode="0.000">
                  <c:v>45.003061224489791</c:v>
                </c:pt>
                <c:pt idx="289" formatCode="0.000">
                  <c:v>45.024897959183662</c:v>
                </c:pt>
                <c:pt idx="290" formatCode="0.000">
                  <c:v>45.047551020408143</c:v>
                </c:pt>
                <c:pt idx="291" formatCode="0.000">
                  <c:v>45.09102040816326</c:v>
                </c:pt>
                <c:pt idx="292" formatCode="0.000">
                  <c:v>45.123673469387747</c:v>
                </c:pt>
                <c:pt idx="293" formatCode="0.000">
                  <c:v>45.147551020408152</c:v>
                </c:pt>
                <c:pt idx="294" formatCode="0.000">
                  <c:v>45.171836734693869</c:v>
                </c:pt>
                <c:pt idx="295" formatCode="0.000">
                  <c:v>45.192653061224483</c:v>
                </c:pt>
                <c:pt idx="296" formatCode="0.000">
                  <c:v>45.21367346938775</c:v>
                </c:pt>
                <c:pt idx="297" formatCode="0.000">
                  <c:v>45.23489795918367</c:v>
                </c:pt>
                <c:pt idx="298" formatCode="0.000">
                  <c:v>45.258367346938769</c:v>
                </c:pt>
                <c:pt idx="299" formatCode="0.000">
                  <c:v>45.280204081632654</c:v>
                </c:pt>
                <c:pt idx="300" formatCode="0.000">
                  <c:v>45.298571428571421</c:v>
                </c:pt>
                <c:pt idx="301" formatCode="0.000">
                  <c:v>45.343061224489794</c:v>
                </c:pt>
                <c:pt idx="302" formatCode="0.000">
                  <c:v>45.386122448979584</c:v>
                </c:pt>
                <c:pt idx="303" formatCode="0.000">
                  <c:v>45.428163265306125</c:v>
                </c:pt>
                <c:pt idx="304" formatCode="0.000">
                  <c:v>45.462653061224479</c:v>
                </c:pt>
                <c:pt idx="305" formatCode="0.000">
                  <c:v>45.500816326530604</c:v>
                </c:pt>
                <c:pt idx="306" formatCode="0.000">
                  <c:v>45.526122448979585</c:v>
                </c:pt>
                <c:pt idx="307" formatCode="0.000">
                  <c:v>45.558979591836732</c:v>
                </c:pt>
                <c:pt idx="308" formatCode="0.000">
                  <c:v>45.567755102040799</c:v>
                </c:pt>
                <c:pt idx="309" formatCode="0.000">
                  <c:v>45.561020408163259</c:v>
                </c:pt>
                <c:pt idx="310" formatCode="0.000">
                  <c:v>45.542448979591832</c:v>
                </c:pt>
                <c:pt idx="311" formatCode="0.000">
                  <c:v>45.516938775510191</c:v>
                </c:pt>
                <c:pt idx="312" formatCode="0.000">
                  <c:v>45.489999999999988</c:v>
                </c:pt>
                <c:pt idx="313" formatCode="0.000">
                  <c:v>45.472244897959165</c:v>
                </c:pt>
                <c:pt idx="314" formatCode="0.000">
                  <c:v>45.458571428571418</c:v>
                </c:pt>
                <c:pt idx="315" formatCode="0.000">
                  <c:v>45.436530612244887</c:v>
                </c:pt>
                <c:pt idx="316" formatCode="0.000">
                  <c:v>45.419795918367349</c:v>
                </c:pt>
                <c:pt idx="317" formatCode="0.000">
                  <c:v>45.397959183673457</c:v>
                </c:pt>
                <c:pt idx="318" formatCode="0.000">
                  <c:v>45.38163265306121</c:v>
                </c:pt>
                <c:pt idx="319" formatCode="0.000">
                  <c:v>45.366530612244887</c:v>
                </c:pt>
                <c:pt idx="320" formatCode="0.000">
                  <c:v>45.355510204081618</c:v>
                </c:pt>
                <c:pt idx="321" formatCode="0.000">
                  <c:v>45.346734693877529</c:v>
                </c:pt>
                <c:pt idx="322" formatCode="0.000">
                  <c:v>45.323061224489784</c:v>
                </c:pt>
                <c:pt idx="323" formatCode="0.000">
                  <c:v>45.302040816326524</c:v>
                </c:pt>
                <c:pt idx="324" formatCode="0.000">
                  <c:v>45.289183673469388</c:v>
                </c:pt>
                <c:pt idx="325" formatCode="0.000">
                  <c:v>45.272040816326523</c:v>
                </c:pt>
                <c:pt idx="326" formatCode="0.000">
                  <c:v>45.235918367346926</c:v>
                </c:pt>
                <c:pt idx="327" formatCode="0.000">
                  <c:v>45.205510204081619</c:v>
                </c:pt>
                <c:pt idx="328" formatCode="0.000">
                  <c:v>45.170816326530598</c:v>
                </c:pt>
                <c:pt idx="329" formatCode="0.000">
                  <c:v>45.149387755102033</c:v>
                </c:pt>
                <c:pt idx="330" formatCode="0.000">
                  <c:v>45.106938775510187</c:v>
                </c:pt>
                <c:pt idx="331" formatCode="0.000">
                  <c:v>45.077142857142853</c:v>
                </c:pt>
                <c:pt idx="332" formatCode="0.000">
                  <c:v>45.046122448979588</c:v>
                </c:pt>
                <c:pt idx="333" formatCode="0.000">
                  <c:v>45.02204081632653</c:v>
                </c:pt>
                <c:pt idx="334" formatCode="0.000">
                  <c:v>45.006734693877547</c:v>
                </c:pt>
                <c:pt idx="335" formatCode="0.000">
                  <c:v>44.962448979591834</c:v>
                </c:pt>
                <c:pt idx="336" formatCode="0.000">
                  <c:v>44.912653061224489</c:v>
                </c:pt>
                <c:pt idx="337" formatCode="0.000">
                  <c:v>44.863265306122443</c:v>
                </c:pt>
                <c:pt idx="338" formatCode="0.000">
                  <c:v>44.864693877551019</c:v>
                </c:pt>
                <c:pt idx="339" formatCode="0.000">
                  <c:v>44.898775510204082</c:v>
                </c:pt>
                <c:pt idx="340" formatCode="0.000">
                  <c:v>44.910612244897955</c:v>
                </c:pt>
                <c:pt idx="341" formatCode="0.000">
                  <c:v>44.925306122448966</c:v>
                </c:pt>
                <c:pt idx="342" formatCode="0.000">
                  <c:v>44.940408163265296</c:v>
                </c:pt>
                <c:pt idx="343" formatCode="0.000">
                  <c:v>44.948775510204065</c:v>
                </c:pt>
                <c:pt idx="344" formatCode="0.000">
                  <c:v>44.964081632653055</c:v>
                </c:pt>
                <c:pt idx="345" formatCode="0.000">
                  <c:v>44.979795918367351</c:v>
                </c:pt>
                <c:pt idx="346" formatCode="0.000">
                  <c:v>44.992040816326536</c:v>
                </c:pt>
                <c:pt idx="347" formatCode="0.000">
                  <c:v>45.010408163265303</c:v>
                </c:pt>
                <c:pt idx="348" formatCode="0.000">
                  <c:v>45.024897959183669</c:v>
                </c:pt>
                <c:pt idx="349" formatCode="0.000">
                  <c:v>45.036530612244896</c:v>
                </c:pt>
                <c:pt idx="350" formatCode="0.000">
                  <c:v>45.042857142857144</c:v>
                </c:pt>
                <c:pt idx="351" formatCode="0.000">
                  <c:v>45.050816326530608</c:v>
                </c:pt>
                <c:pt idx="352" formatCode="0.000">
                  <c:v>45.04591836734695</c:v>
                </c:pt>
                <c:pt idx="353" formatCode="0.000">
                  <c:v>45.04571428571429</c:v>
                </c:pt>
                <c:pt idx="354" formatCode="0.000">
                  <c:v>45.04571428571429</c:v>
                </c:pt>
                <c:pt idx="355" formatCode="0.000">
                  <c:v>45.050204081632664</c:v>
                </c:pt>
                <c:pt idx="356" formatCode="0.000">
                  <c:v>45.035102040816334</c:v>
                </c:pt>
                <c:pt idx="357" formatCode="0.000">
                  <c:v>45.007551020408179</c:v>
                </c:pt>
                <c:pt idx="358" formatCode="0.000">
                  <c:v>44.990612244897967</c:v>
                </c:pt>
                <c:pt idx="359" formatCode="0.000">
                  <c:v>44.976530612244908</c:v>
                </c:pt>
                <c:pt idx="360" formatCode="0.000">
                  <c:v>44.96632653061225</c:v>
                </c:pt>
                <c:pt idx="361" formatCode="0.000">
                  <c:v>44.957346938775515</c:v>
                </c:pt>
                <c:pt idx="362" formatCode="0.000">
                  <c:v>44.942448979591845</c:v>
                </c:pt>
                <c:pt idx="363" formatCode="0.000">
                  <c:v>44.924693877551036</c:v>
                </c:pt>
                <c:pt idx="364" formatCode="0.000">
                  <c:v>44.900000000000006</c:v>
                </c:pt>
                <c:pt idx="365" formatCode="0.000">
                  <c:v>44.872653061224504</c:v>
                </c:pt>
                <c:pt idx="366" formatCode="0.000">
                  <c:v>44.849591836734703</c:v>
                </c:pt>
                <c:pt idx="367" formatCode="0.000">
                  <c:v>44.82734693877552</c:v>
                </c:pt>
                <c:pt idx="368" formatCode="0.000">
                  <c:v>44.807551020408177</c:v>
                </c:pt>
                <c:pt idx="369" formatCode="0.000">
                  <c:v>44.78693877551023</c:v>
                </c:pt>
                <c:pt idx="370" formatCode="0.000">
                  <c:v>44.763877551020421</c:v>
                </c:pt>
                <c:pt idx="371" formatCode="0.000">
                  <c:v>44.733469387755122</c:v>
                </c:pt>
                <c:pt idx="372" formatCode="0.000">
                  <c:v>44.703061224489801</c:v>
                </c:pt>
                <c:pt idx="373" formatCode="0.000">
                  <c:v>44.669183673469398</c:v>
                </c:pt>
                <c:pt idx="374" formatCode="0.000">
                  <c:v>44.626938775510219</c:v>
                </c:pt>
                <c:pt idx="375" formatCode="0.000">
                  <c:v>44.598775510204092</c:v>
                </c:pt>
                <c:pt idx="376" formatCode="0.000">
                  <c:v>44.574489795918367</c:v>
                </c:pt>
                <c:pt idx="377" formatCode="0.000">
                  <c:v>44.550816326530608</c:v>
                </c:pt>
                <c:pt idx="378" formatCode="0.000">
                  <c:v>44.517346938775518</c:v>
                </c:pt>
                <c:pt idx="379" formatCode="0.000">
                  <c:v>44.487346938775524</c:v>
                </c:pt>
                <c:pt idx="380" formatCode="0.000">
                  <c:v>44.457959183673481</c:v>
                </c:pt>
                <c:pt idx="381" formatCode="0.000">
                  <c:v>44.419387755102044</c:v>
                </c:pt>
                <c:pt idx="382" formatCode="0.000">
                  <c:v>44.390204081632653</c:v>
                </c:pt>
                <c:pt idx="383" formatCode="0.000">
                  <c:v>44.354897959183674</c:v>
                </c:pt>
                <c:pt idx="384" formatCode="0.000">
                  <c:v>44.349387755102029</c:v>
                </c:pt>
                <c:pt idx="385" formatCode="0.000">
                  <c:v>44.349591836734689</c:v>
                </c:pt>
                <c:pt idx="386" formatCode="0.000">
                  <c:v>44.33857142857142</c:v>
                </c:pt>
                <c:pt idx="387" formatCode="0.000">
                  <c:v>44.322040816326535</c:v>
                </c:pt>
                <c:pt idx="388" formatCode="0.000">
                  <c:v>44.259591836734693</c:v>
                </c:pt>
                <c:pt idx="389" formatCode="0.000">
                  <c:v>44.220204081632652</c:v>
                </c:pt>
                <c:pt idx="390" formatCode="0.000">
                  <c:v>44.155918367346942</c:v>
                </c:pt>
                <c:pt idx="391" formatCode="0.000">
                  <c:v>44.091428571428573</c:v>
                </c:pt>
                <c:pt idx="392" formatCode="0.000">
                  <c:v>44.035714285714285</c:v>
                </c:pt>
                <c:pt idx="393" formatCode="0.000">
                  <c:v>43.969591836734686</c:v>
                </c:pt>
                <c:pt idx="394" formatCode="0.000">
                  <c:v>43.898775510204075</c:v>
                </c:pt>
                <c:pt idx="395" formatCode="0.000">
                  <c:v>43.832653061224484</c:v>
                </c:pt>
                <c:pt idx="396" formatCode="0.000">
                  <c:v>43.767142857142858</c:v>
                </c:pt>
                <c:pt idx="397" formatCode="0.000">
                  <c:v>43.711428571428577</c:v>
                </c:pt>
                <c:pt idx="398" formatCode="0.000">
                  <c:v>43.652448979591831</c:v>
                </c:pt>
                <c:pt idx="399" formatCode="0.000">
                  <c:v>43.579387755102026</c:v>
                </c:pt>
                <c:pt idx="400" formatCode="0.000">
                  <c:v>43.517346938775511</c:v>
                </c:pt>
                <c:pt idx="401" formatCode="0.000">
                  <c:v>43.448775510204079</c:v>
                </c:pt>
                <c:pt idx="402" formatCode="0.000">
                  <c:v>43.378979591836739</c:v>
                </c:pt>
                <c:pt idx="403" formatCode="0.000">
                  <c:v>43.307346938775517</c:v>
                </c:pt>
                <c:pt idx="404" formatCode="0.000">
                  <c:v>43.235102040816329</c:v>
                </c:pt>
                <c:pt idx="405" formatCode="0.000">
                  <c:v>43.1730612244898</c:v>
                </c:pt>
                <c:pt idx="406" formatCode="0.000">
                  <c:v>43.140612244897959</c:v>
                </c:pt>
                <c:pt idx="407" formatCode="0.000">
                  <c:v>43.101020408163265</c:v>
                </c:pt>
                <c:pt idx="408" formatCode="0.000">
                  <c:v>43.062244897959175</c:v>
                </c:pt>
                <c:pt idx="409" formatCode="0.000">
                  <c:v>43.027142857142849</c:v>
                </c:pt>
                <c:pt idx="410" formatCode="0.000">
                  <c:v>42.986530612244891</c:v>
                </c:pt>
                <c:pt idx="411" formatCode="0.000">
                  <c:v>42.948571428571427</c:v>
                </c:pt>
                <c:pt idx="412" formatCode="0.000">
                  <c:v>42.912857142857135</c:v>
                </c:pt>
                <c:pt idx="413" formatCode="0.000">
                  <c:v>42.875918367346934</c:v>
                </c:pt>
                <c:pt idx="414" formatCode="0.000">
                  <c:v>42.838367346938753</c:v>
                </c:pt>
                <c:pt idx="415" formatCode="0.000">
                  <c:v>42.807755102040808</c:v>
                </c:pt>
                <c:pt idx="416" formatCode="0.000">
                  <c:v>42.775918367346932</c:v>
                </c:pt>
                <c:pt idx="417" formatCode="0.000">
                  <c:v>42.738775510204071</c:v>
                </c:pt>
                <c:pt idx="418" formatCode="0.000">
                  <c:v>42.699999999999996</c:v>
                </c:pt>
                <c:pt idx="419" formatCode="0.000">
                  <c:v>42.665714285714273</c:v>
                </c:pt>
                <c:pt idx="420" formatCode="0.000">
                  <c:v>42.639387755102042</c:v>
                </c:pt>
                <c:pt idx="421" formatCode="0.000">
                  <c:v>42.606326530612243</c:v>
                </c:pt>
                <c:pt idx="422" formatCode="0.000">
                  <c:v>42.565918367346931</c:v>
                </c:pt>
                <c:pt idx="423" formatCode="0.000">
                  <c:v>42.531428571428563</c:v>
                </c:pt>
                <c:pt idx="424" formatCode="0.000">
                  <c:v>42.504081632653055</c:v>
                </c:pt>
                <c:pt idx="425" formatCode="0.000">
                  <c:v>42.46877551020409</c:v>
                </c:pt>
                <c:pt idx="426" formatCode="0.000">
                  <c:v>42.432040816326534</c:v>
                </c:pt>
                <c:pt idx="427" formatCode="0.000">
                  <c:v>42.398571428571422</c:v>
                </c:pt>
                <c:pt idx="428" formatCode="0.000">
                  <c:v>42.36530612244897</c:v>
                </c:pt>
                <c:pt idx="429" formatCode="0.000">
                  <c:v>42.34326530612244</c:v>
                </c:pt>
                <c:pt idx="430" formatCode="0.000">
                  <c:v>42.335918367346942</c:v>
                </c:pt>
                <c:pt idx="431" formatCode="0.000">
                  <c:v>42.312244897959189</c:v>
                </c:pt>
                <c:pt idx="432" formatCode="0.000">
                  <c:v>42.263061224489796</c:v>
                </c:pt>
                <c:pt idx="433" formatCode="0.000">
                  <c:v>42.209387755102043</c:v>
                </c:pt>
                <c:pt idx="434" formatCode="0.000">
                  <c:v>42.155918367346935</c:v>
                </c:pt>
                <c:pt idx="435" formatCode="0.000">
                  <c:v>42.111020408163263</c:v>
                </c:pt>
                <c:pt idx="436" formatCode="0.000">
                  <c:v>42.062653061224502</c:v>
                </c:pt>
                <c:pt idx="437" formatCode="0.000">
                  <c:v>42.039183673469388</c:v>
                </c:pt>
                <c:pt idx="438" formatCode="0.000">
                  <c:v>41.992653061224495</c:v>
                </c:pt>
                <c:pt idx="439" formatCode="0.000">
                  <c:v>41.973877551020415</c:v>
                </c:pt>
                <c:pt idx="440" formatCode="0.000">
                  <c:v>41.958775510204084</c:v>
                </c:pt>
                <c:pt idx="441" formatCode="0.000">
                  <c:v>41.93346938775511</c:v>
                </c:pt>
                <c:pt idx="442" formatCode="0.000">
                  <c:v>41.921020408163258</c:v>
                </c:pt>
                <c:pt idx="443" formatCode="0.000">
                  <c:v>41.913877551020406</c:v>
                </c:pt>
                <c:pt idx="444" formatCode="0.000">
                  <c:v>41.889591836734688</c:v>
                </c:pt>
                <c:pt idx="445" formatCode="0.000">
                  <c:v>41.845102040816322</c:v>
                </c:pt>
                <c:pt idx="446" formatCode="0.000">
                  <c:v>41.788163265306117</c:v>
                </c:pt>
                <c:pt idx="447" formatCode="0.000">
                  <c:v>41.739591836734689</c:v>
                </c:pt>
                <c:pt idx="448" formatCode="0.000">
                  <c:v>41.710408163265299</c:v>
                </c:pt>
                <c:pt idx="449" formatCode="0.000">
                  <c:v>41.669183673469377</c:v>
                </c:pt>
                <c:pt idx="450" formatCode="0.000">
                  <c:v>41.65163265306122</c:v>
                </c:pt>
                <c:pt idx="451" formatCode="0.000">
                  <c:v>41.630204081632648</c:v>
                </c:pt>
                <c:pt idx="452" formatCode="0.000">
                  <c:v>41.623673469387747</c:v>
                </c:pt>
                <c:pt idx="453" formatCode="0.000">
                  <c:v>41.621020408163254</c:v>
                </c:pt>
                <c:pt idx="454" formatCode="0.000">
                  <c:v>41.619387755102032</c:v>
                </c:pt>
                <c:pt idx="455" formatCode="0.000">
                  <c:v>41.607142857142854</c:v>
                </c:pt>
                <c:pt idx="456" formatCode="0.000">
                  <c:v>41.603877551020396</c:v>
                </c:pt>
                <c:pt idx="457" formatCode="0.000">
                  <c:v>41.604081632653049</c:v>
                </c:pt>
                <c:pt idx="458" formatCode="0.000">
                  <c:v>41.602857142857133</c:v>
                </c:pt>
                <c:pt idx="459" formatCode="0.000">
                  <c:v>41.605306122448965</c:v>
                </c:pt>
                <c:pt idx="460" formatCode="0.000">
                  <c:v>41.601020408163251</c:v>
                </c:pt>
                <c:pt idx="461" formatCode="0.000">
                  <c:v>41.596734693877536</c:v>
                </c:pt>
                <c:pt idx="462" formatCode="0.000">
                  <c:v>41.59530612244896</c:v>
                </c:pt>
                <c:pt idx="463" formatCode="0.000">
                  <c:v>41.595510204081613</c:v>
                </c:pt>
                <c:pt idx="464" formatCode="0.000">
                  <c:v>41.583673469387747</c:v>
                </c:pt>
                <c:pt idx="465" formatCode="0.000">
                  <c:v>41.574489795918353</c:v>
                </c:pt>
                <c:pt idx="466" formatCode="0.000">
                  <c:v>41.564897959183668</c:v>
                </c:pt>
                <c:pt idx="467" formatCode="0.000">
                  <c:v>41.558163265306113</c:v>
                </c:pt>
                <c:pt idx="468" formatCode="0.000">
                  <c:v>41.539591836734679</c:v>
                </c:pt>
                <c:pt idx="469" formatCode="0.000">
                  <c:v>41.523469387755092</c:v>
                </c:pt>
                <c:pt idx="470" formatCode="0.000">
                  <c:v>41.50918367346938</c:v>
                </c:pt>
                <c:pt idx="471" formatCode="0.000">
                  <c:v>41.492857142857133</c:v>
                </c:pt>
                <c:pt idx="472" formatCode="0.000">
                  <c:v>41.468571428571423</c:v>
                </c:pt>
                <c:pt idx="473" formatCode="0.000">
                  <c:v>41.441020408163261</c:v>
                </c:pt>
                <c:pt idx="474" formatCode="0.000">
                  <c:v>41.417142857142856</c:v>
                </c:pt>
                <c:pt idx="475" formatCode="0.000">
                  <c:v>41.393265306122451</c:v>
                </c:pt>
                <c:pt idx="476" formatCode="0.000">
                  <c:v>41.376734693877552</c:v>
                </c:pt>
                <c:pt idx="477" formatCode="0.000">
                  <c:v>41.368571428571428</c:v>
                </c:pt>
                <c:pt idx="478" formatCode="0.000">
                  <c:v>41.341632653061225</c:v>
                </c:pt>
                <c:pt idx="479" formatCode="0.000">
                  <c:v>41.309795918367342</c:v>
                </c:pt>
                <c:pt idx="480" formatCode="0.000">
                  <c:v>41.292653061224492</c:v>
                </c:pt>
                <c:pt idx="481" formatCode="0.000">
                  <c:v>41.312244897959189</c:v>
                </c:pt>
                <c:pt idx="482" formatCode="0.000">
                  <c:v>41.334489795918365</c:v>
                </c:pt>
                <c:pt idx="483" formatCode="0.000">
                  <c:v>41.347551020408162</c:v>
                </c:pt>
                <c:pt idx="484" formatCode="0.000">
                  <c:v>41.347755102040814</c:v>
                </c:pt>
                <c:pt idx="485" formatCode="0.000">
                  <c:v>41.350204081632654</c:v>
                </c:pt>
                <c:pt idx="486" formatCode="0.000">
                  <c:v>41.359387755102041</c:v>
                </c:pt>
                <c:pt idx="487" formatCode="0.000">
                  <c:v>41.366530612244901</c:v>
                </c:pt>
                <c:pt idx="488" formatCode="0.000">
                  <c:v>41.367346938775512</c:v>
                </c:pt>
                <c:pt idx="489" formatCode="0.000">
                  <c:v>41.370816326530615</c:v>
                </c:pt>
                <c:pt idx="490" formatCode="0.000">
                  <c:v>41.37979591836735</c:v>
                </c:pt>
                <c:pt idx="491" formatCode="0.000">
                  <c:v>41.387346938775515</c:v>
                </c:pt>
                <c:pt idx="492" formatCode="0.000">
                  <c:v>41.392857142857146</c:v>
                </c:pt>
                <c:pt idx="493" formatCode="0.000">
                  <c:v>41.394897959183673</c:v>
                </c:pt>
                <c:pt idx="494" formatCode="0.000">
                  <c:v>41.399591836734693</c:v>
                </c:pt>
                <c:pt idx="495" formatCode="0.000">
                  <c:v>41.40877551020408</c:v>
                </c:pt>
                <c:pt idx="496" formatCode="0.000">
                  <c:v>41.412244897959191</c:v>
                </c:pt>
                <c:pt idx="497" formatCode="0.000">
                  <c:v>41.408571428571435</c:v>
                </c:pt>
                <c:pt idx="498" formatCode="0.000">
                  <c:v>41.421428571428571</c:v>
                </c:pt>
                <c:pt idx="499" formatCode="0.000">
                  <c:v>41.420204081632654</c:v>
                </c:pt>
                <c:pt idx="500" formatCode="0.000">
                  <c:v>41.430000000000007</c:v>
                </c:pt>
                <c:pt idx="501" formatCode="0.000">
                  <c:v>41.421836734693876</c:v>
                </c:pt>
                <c:pt idx="502" formatCode="0.000">
                  <c:v>41.416938775510204</c:v>
                </c:pt>
                <c:pt idx="503" formatCode="0.000">
                  <c:v>41.417346938775509</c:v>
                </c:pt>
                <c:pt idx="504" formatCode="0.000">
                  <c:v>41.426734693877556</c:v>
                </c:pt>
                <c:pt idx="505" formatCode="0.000">
                  <c:v>41.435102040816325</c:v>
                </c:pt>
                <c:pt idx="506" formatCode="0.000">
                  <c:v>41.443673469387754</c:v>
                </c:pt>
                <c:pt idx="507" formatCode="0.000">
                  <c:v>41.46</c:v>
                </c:pt>
                <c:pt idx="508" formatCode="0.000">
                  <c:v>41.476734693877553</c:v>
                </c:pt>
                <c:pt idx="509" formatCode="0.000">
                  <c:v>41.489183673469391</c:v>
                </c:pt>
                <c:pt idx="510" formatCode="0.000">
                  <c:v>41.498163265306125</c:v>
                </c:pt>
                <c:pt idx="511" formatCode="0.000">
                  <c:v>41.506122448979603</c:v>
                </c:pt>
                <c:pt idx="512" formatCode="0.000">
                  <c:v>41.514693877551025</c:v>
                </c:pt>
                <c:pt idx="513" formatCode="0.000">
                  <c:v>41.533061224489806</c:v>
                </c:pt>
                <c:pt idx="514" formatCode="0.000">
                  <c:v>41.541836734693888</c:v>
                </c:pt>
                <c:pt idx="515" formatCode="0.000">
                  <c:v>41.552244897959184</c:v>
                </c:pt>
                <c:pt idx="516" formatCode="0.000">
                  <c:v>41.558775510204086</c:v>
                </c:pt>
                <c:pt idx="517" formatCode="0.000">
                  <c:v>41.571020408163264</c:v>
                </c:pt>
                <c:pt idx="518" formatCode="0.000">
                  <c:v>41.576734693877547</c:v>
                </c:pt>
                <c:pt idx="519" formatCode="0.000">
                  <c:v>41.585714285714289</c:v>
                </c:pt>
                <c:pt idx="520" formatCode="0.000">
                  <c:v>41.609795918367354</c:v>
                </c:pt>
                <c:pt idx="521" formatCode="0.000">
                  <c:v>41.637142857142862</c:v>
                </c:pt>
                <c:pt idx="522" formatCode="0.000">
                  <c:v>41.660000000000011</c:v>
                </c:pt>
                <c:pt idx="523" formatCode="0.000">
                  <c:v>41.683877551020416</c:v>
                </c:pt>
                <c:pt idx="524" formatCode="0.000">
                  <c:v>41.713265306122452</c:v>
                </c:pt>
                <c:pt idx="525" formatCode="0.000">
                  <c:v>41.737959183673468</c:v>
                </c:pt>
                <c:pt idx="526" formatCode="0.000">
                  <c:v>41.761020408163276</c:v>
                </c:pt>
                <c:pt idx="527" formatCode="0.000">
                  <c:v>41.790816326530617</c:v>
                </c:pt>
                <c:pt idx="528" formatCode="0.000">
                  <c:v>41.813673469387766</c:v>
                </c:pt>
                <c:pt idx="529" formatCode="0.000">
                  <c:v>41.833673469387755</c:v>
                </c:pt>
                <c:pt idx="530" formatCode="0.000">
                  <c:v>41.849591836734696</c:v>
                </c:pt>
                <c:pt idx="531" formatCode="0.000">
                  <c:v>41.85877551020409</c:v>
                </c:pt>
                <c:pt idx="532" formatCode="0.000">
                  <c:v>41.876326530612246</c:v>
                </c:pt>
                <c:pt idx="533" formatCode="0.000">
                  <c:v>41.900000000000006</c:v>
                </c:pt>
                <c:pt idx="534" formatCode="0.000">
                  <c:v>41.926734693877549</c:v>
                </c:pt>
                <c:pt idx="535" formatCode="0.000">
                  <c:v>41.948979591836732</c:v>
                </c:pt>
                <c:pt idx="536" formatCode="0.000">
                  <c:v>41.983265306122455</c:v>
                </c:pt>
                <c:pt idx="537" formatCode="0.000">
                  <c:v>42.011632653061227</c:v>
                </c:pt>
                <c:pt idx="538" formatCode="0.000">
                  <c:v>42.042857142857152</c:v>
                </c:pt>
                <c:pt idx="539" formatCode="0.000">
                  <c:v>42.082040816326533</c:v>
                </c:pt>
                <c:pt idx="540" formatCode="0.000">
                  <c:v>42.109183673469389</c:v>
                </c:pt>
                <c:pt idx="541" formatCode="0.000">
                  <c:v>42.131020408163273</c:v>
                </c:pt>
                <c:pt idx="542" formatCode="0.000">
                  <c:v>42.168163265306127</c:v>
                </c:pt>
                <c:pt idx="543" formatCode="0.000">
                  <c:v>42.22326530612245</c:v>
                </c:pt>
                <c:pt idx="544" formatCode="0.000">
                  <c:v>42.274081632653058</c:v>
                </c:pt>
                <c:pt idx="545" formatCode="0.000">
                  <c:v>42.32938775510204</c:v>
                </c:pt>
                <c:pt idx="546" formatCode="0.000">
                  <c:v>42.381836734693877</c:v>
                </c:pt>
                <c:pt idx="547" formatCode="0.000">
                  <c:v>42.421632653061224</c:v>
                </c:pt>
                <c:pt idx="548" formatCode="0.000">
                  <c:v>42.462244897959188</c:v>
                </c:pt>
                <c:pt idx="549" formatCode="0.000">
                  <c:v>42.501632653061222</c:v>
                </c:pt>
                <c:pt idx="550" formatCode="0.000">
                  <c:v>42.536734693877555</c:v>
                </c:pt>
                <c:pt idx="551" formatCode="0.000">
                  <c:v>42.577551020408166</c:v>
                </c:pt>
                <c:pt idx="552" formatCode="0.000">
                  <c:v>42.616530612244901</c:v>
                </c:pt>
                <c:pt idx="553" formatCode="0.000">
                  <c:v>42.661836734693885</c:v>
                </c:pt>
                <c:pt idx="554" formatCode="0.000">
                  <c:v>42.693469387755101</c:v>
                </c:pt>
                <c:pt idx="555" formatCode="0.000">
                  <c:v>42.722244897959193</c:v>
                </c:pt>
                <c:pt idx="556" formatCode="0.000">
                  <c:v>42.746734693877556</c:v>
                </c:pt>
                <c:pt idx="557" formatCode="0.000">
                  <c:v>42.769387755102045</c:v>
                </c:pt>
                <c:pt idx="558" formatCode="0.000">
                  <c:v>42.801020408163268</c:v>
                </c:pt>
                <c:pt idx="559" formatCode="0.000">
                  <c:v>42.838979591836726</c:v>
                </c:pt>
                <c:pt idx="560" formatCode="0.000">
                  <c:v>42.878571428571426</c:v>
                </c:pt>
                <c:pt idx="561" formatCode="0.000">
                  <c:v>42.914693877551016</c:v>
                </c:pt>
                <c:pt idx="562" formatCode="0.000">
                  <c:v>42.947551020408163</c:v>
                </c:pt>
                <c:pt idx="563" formatCode="0.000">
                  <c:v>42.991428571428564</c:v>
                </c:pt>
                <c:pt idx="564" formatCode="0.000">
                  <c:v>43.040816326530603</c:v>
                </c:pt>
                <c:pt idx="565" formatCode="0.000">
                  <c:v>43.100204081632661</c:v>
                </c:pt>
                <c:pt idx="566" formatCode="0.000">
                  <c:v>43.164693877551024</c:v>
                </c:pt>
                <c:pt idx="567" formatCode="0.000">
                  <c:v>43.233265306122455</c:v>
                </c:pt>
                <c:pt idx="568" formatCode="0.000">
                  <c:v>43.299591836734699</c:v>
                </c:pt>
                <c:pt idx="569" formatCode="0.000">
                  <c:v>43.360204081632666</c:v>
                </c:pt>
                <c:pt idx="570" formatCode="0.000">
                  <c:v>43.429795918367361</c:v>
                </c:pt>
                <c:pt idx="571" formatCode="0.000">
                  <c:v>43.505714285714298</c:v>
                </c:pt>
                <c:pt idx="572" formatCode="0.000">
                  <c:v>43.584693877551032</c:v>
                </c:pt>
                <c:pt idx="573" formatCode="0.000">
                  <c:v>43.65938775510206</c:v>
                </c:pt>
                <c:pt idx="574" formatCode="0.000">
                  <c:v>43.7222448979592</c:v>
                </c:pt>
                <c:pt idx="575" formatCode="0.000">
                  <c:v>43.77755102040819</c:v>
                </c:pt>
                <c:pt idx="576" formatCode="0.000">
                  <c:v>43.833061224489818</c:v>
                </c:pt>
                <c:pt idx="577" formatCode="0.000">
                  <c:v>43.892040816326542</c:v>
                </c:pt>
                <c:pt idx="578" formatCode="0.000">
                  <c:v>43.94551020408165</c:v>
                </c:pt>
                <c:pt idx="579" formatCode="0.000">
                  <c:v>43.998979591836758</c:v>
                </c:pt>
                <c:pt idx="580" formatCode="0.000">
                  <c:v>44.053673469387775</c:v>
                </c:pt>
                <c:pt idx="581" formatCode="0.000">
                  <c:v>44.107551020408174</c:v>
                </c:pt>
                <c:pt idx="582" formatCode="0.000">
                  <c:v>44.164081632653073</c:v>
                </c:pt>
                <c:pt idx="583" formatCode="0.000">
                  <c:v>44.223673469387776</c:v>
                </c:pt>
                <c:pt idx="584" formatCode="0.000">
                  <c:v>44.275918367346947</c:v>
                </c:pt>
                <c:pt idx="585" formatCode="0.000">
                  <c:v>44.319387755102049</c:v>
                </c:pt>
                <c:pt idx="586" formatCode="0.000">
                  <c:v>44.369591836734706</c:v>
                </c:pt>
                <c:pt idx="587" formatCode="0.000">
                  <c:v>44.417755102040822</c:v>
                </c:pt>
                <c:pt idx="588" formatCode="0.000">
                  <c:v>44.449795918367357</c:v>
                </c:pt>
                <c:pt idx="589" formatCode="0.000">
                  <c:v>44.492448979591849</c:v>
                </c:pt>
                <c:pt idx="590" formatCode="0.000">
                  <c:v>44.527959183673474</c:v>
                </c:pt>
                <c:pt idx="591" formatCode="0.000">
                  <c:v>44.564285714285717</c:v>
                </c:pt>
                <c:pt idx="592" formatCode="0.000">
                  <c:v>44.594489795918371</c:v>
                </c:pt>
                <c:pt idx="593" formatCode="0.000">
                  <c:v>44.629387755102044</c:v>
                </c:pt>
                <c:pt idx="594" formatCode="0.000">
                  <c:v>44.653061224489797</c:v>
                </c:pt>
                <c:pt idx="595" formatCode="0.000">
                  <c:v>44.681224489795909</c:v>
                </c:pt>
                <c:pt idx="596" formatCode="0.000">
                  <c:v>44.706326530612237</c:v>
                </c:pt>
                <c:pt idx="597" formatCode="0.000">
                  <c:v>44.728979591836712</c:v>
                </c:pt>
                <c:pt idx="598" formatCode="0.000">
                  <c:v>44.751836734693875</c:v>
                </c:pt>
                <c:pt idx="599" formatCode="0.000">
                  <c:v>44.774489795918363</c:v>
                </c:pt>
                <c:pt idx="600" formatCode="0.000">
                  <c:v>44.795306122448977</c:v>
                </c:pt>
                <c:pt idx="601" formatCode="0.000">
                  <c:v>44.816530612244883</c:v>
                </c:pt>
                <c:pt idx="602" formatCode="0.000">
                  <c:v>44.832448979591824</c:v>
                </c:pt>
                <c:pt idx="603" formatCode="0.000">
                  <c:v>44.859387755102034</c:v>
                </c:pt>
                <c:pt idx="604" formatCode="0.000">
                  <c:v>44.884897959183675</c:v>
                </c:pt>
                <c:pt idx="605" formatCode="0.000">
                  <c:v>44.912653061224496</c:v>
                </c:pt>
                <c:pt idx="606" formatCode="0.000">
                  <c:v>44.93816326530613</c:v>
                </c:pt>
                <c:pt idx="607" formatCode="0.000">
                  <c:v>44.968979591836735</c:v>
                </c:pt>
                <c:pt idx="608" formatCode="0.000">
                  <c:v>45.007551020408158</c:v>
                </c:pt>
                <c:pt idx="609" formatCode="0.000">
                  <c:v>45.05224489795917</c:v>
                </c:pt>
                <c:pt idx="610" formatCode="0.000">
                  <c:v>45.097346938775502</c:v>
                </c:pt>
                <c:pt idx="611" formatCode="0.000">
                  <c:v>45.136938775510203</c:v>
                </c:pt>
                <c:pt idx="612" formatCode="0.000">
                  <c:v>45.167959183673467</c:v>
                </c:pt>
                <c:pt idx="613" formatCode="0.000">
                  <c:v>45.19244897959183</c:v>
                </c:pt>
                <c:pt idx="614" formatCode="0.000">
                  <c:v>45.205510204081627</c:v>
                </c:pt>
                <c:pt idx="615" formatCode="0.000">
                  <c:v>45.207346938775508</c:v>
                </c:pt>
                <c:pt idx="616" formatCode="0.000">
                  <c:v>45.212448979591834</c:v>
                </c:pt>
                <c:pt idx="617" formatCode="0.000">
                  <c:v>45.21591836734693</c:v>
                </c:pt>
                <c:pt idx="618" formatCode="0.000">
                  <c:v>45.21836734693877</c:v>
                </c:pt>
                <c:pt idx="619" formatCode="0.000">
                  <c:v>45.217346938775513</c:v>
                </c:pt>
                <c:pt idx="620" formatCode="0.000">
                  <c:v>45.211224489795924</c:v>
                </c:pt>
                <c:pt idx="621" formatCode="0.000">
                  <c:v>45.207346938775515</c:v>
                </c:pt>
                <c:pt idx="622" formatCode="0.000">
                  <c:v>45.211632653061223</c:v>
                </c:pt>
                <c:pt idx="623" formatCode="0.000">
                  <c:v>45.225714285714282</c:v>
                </c:pt>
                <c:pt idx="624" formatCode="0.000">
                  <c:v>45.24061224489796</c:v>
                </c:pt>
                <c:pt idx="625" formatCode="0.000">
                  <c:v>45.247755102040813</c:v>
                </c:pt>
                <c:pt idx="626" formatCode="0.000">
                  <c:v>45.254897959183666</c:v>
                </c:pt>
                <c:pt idx="627" formatCode="0.000">
                  <c:v>45.266530612244885</c:v>
                </c:pt>
                <c:pt idx="628" formatCode="0.000">
                  <c:v>45.271428571428558</c:v>
                </c:pt>
                <c:pt idx="629" formatCode="0.000">
                  <c:v>45.274693877551002</c:v>
                </c:pt>
                <c:pt idx="630" formatCode="0.000">
                  <c:v>45.279999999999994</c:v>
                </c:pt>
                <c:pt idx="631" formatCode="0.000">
                  <c:v>45.280816326530605</c:v>
                </c:pt>
                <c:pt idx="632" formatCode="0.000">
                  <c:v>45.277551020408154</c:v>
                </c:pt>
                <c:pt idx="633" formatCode="0.000">
                  <c:v>45.281020408163258</c:v>
                </c:pt>
                <c:pt idx="634" formatCode="0.000">
                  <c:v>45.290816326530603</c:v>
                </c:pt>
                <c:pt idx="635" formatCode="0.000">
                  <c:v>45.301632653061219</c:v>
                </c:pt>
                <c:pt idx="636" formatCode="0.000">
                  <c:v>45.311632653061231</c:v>
                </c:pt>
                <c:pt idx="637" formatCode="0.000">
                  <c:v>45.330204081632658</c:v>
                </c:pt>
                <c:pt idx="638" formatCode="0.000">
                  <c:v>45.349795918367356</c:v>
                </c:pt>
                <c:pt idx="639" formatCode="0.000">
                  <c:v>45.379795918367357</c:v>
                </c:pt>
                <c:pt idx="640" formatCode="0.000">
                  <c:v>45.41387755102042</c:v>
                </c:pt>
                <c:pt idx="641" formatCode="0.000">
                  <c:v>45.453877551020412</c:v>
                </c:pt>
                <c:pt idx="642" formatCode="0.000">
                  <c:v>45.495714285714286</c:v>
                </c:pt>
                <c:pt idx="643" formatCode="0.000">
                  <c:v>45.530612244897959</c:v>
                </c:pt>
                <c:pt idx="644" formatCode="0.000">
                  <c:v>45.567142857142855</c:v>
                </c:pt>
                <c:pt idx="645" formatCode="0.000">
                  <c:v>45.602448979591834</c:v>
                </c:pt>
                <c:pt idx="646" formatCode="0.000">
                  <c:v>45.636122448979606</c:v>
                </c:pt>
                <c:pt idx="647" formatCode="0.000">
                  <c:v>45.662040816326538</c:v>
                </c:pt>
                <c:pt idx="648" formatCode="0.000">
                  <c:v>45.681836734693881</c:v>
                </c:pt>
                <c:pt idx="649" formatCode="0.000">
                  <c:v>45.698367346938781</c:v>
                </c:pt>
                <c:pt idx="650" formatCode="0.000">
                  <c:v>45.717959183673464</c:v>
                </c:pt>
                <c:pt idx="651" formatCode="0.000">
                  <c:v>45.736326530612246</c:v>
                </c:pt>
                <c:pt idx="652" formatCode="0.000">
                  <c:v>45.732448979591837</c:v>
                </c:pt>
                <c:pt idx="653" formatCode="0.000">
                  <c:v>45.734285714285711</c:v>
                </c:pt>
                <c:pt idx="654" formatCode="0.000">
                  <c:v>45.733877551020406</c:v>
                </c:pt>
                <c:pt idx="655" formatCode="0.000">
                  <c:v>45.733061224489795</c:v>
                </c:pt>
                <c:pt idx="656" formatCode="0.000">
                  <c:v>45.732040816326538</c:v>
                </c:pt>
                <c:pt idx="657" formatCode="0.000">
                  <c:v>45.727142857142866</c:v>
                </c:pt>
                <c:pt idx="658" formatCode="0.000">
                  <c:v>45.714897959183681</c:v>
                </c:pt>
                <c:pt idx="659" formatCode="0.000">
                  <c:v>45.70428571428571</c:v>
                </c:pt>
                <c:pt idx="660" formatCode="0.000">
                  <c:v>45.695510204081621</c:v>
                </c:pt>
                <c:pt idx="661" formatCode="0.000">
                  <c:v>45.698979591836725</c:v>
                </c:pt>
                <c:pt idx="662" formatCode="0.000">
                  <c:v>45.709387755102028</c:v>
                </c:pt>
                <c:pt idx="663" formatCode="0.000">
                  <c:v>45.718367346938763</c:v>
                </c:pt>
                <c:pt idx="664" formatCode="0.000">
                  <c:v>45.732244897959177</c:v>
                </c:pt>
                <c:pt idx="665" formatCode="0.000">
                  <c:v>45.75224489795918</c:v>
                </c:pt>
                <c:pt idx="666" formatCode="0.000">
                  <c:v>45.77102040816326</c:v>
                </c:pt>
                <c:pt idx="667" formatCode="0.000">
                  <c:v>45.787551020408159</c:v>
                </c:pt>
                <c:pt idx="668" formatCode="0.000">
                  <c:v>45.804897959183677</c:v>
                </c:pt>
                <c:pt idx="669" formatCode="0.000">
                  <c:v>45.821020408163278</c:v>
                </c:pt>
                <c:pt idx="670" formatCode="0.000">
                  <c:v>45.831632653061234</c:v>
                </c:pt>
                <c:pt idx="671" formatCode="0.000">
                  <c:v>45.831428571428575</c:v>
                </c:pt>
                <c:pt idx="672" formatCode="0.000">
                  <c:v>45.828367346938776</c:v>
                </c:pt>
                <c:pt idx="673" formatCode="0.000">
                  <c:v>45.835918367346942</c:v>
                </c:pt>
                <c:pt idx="674" formatCode="0.000">
                  <c:v>45.844081632653065</c:v>
                </c:pt>
                <c:pt idx="675" formatCode="0.000">
                  <c:v>45.847755102040821</c:v>
                </c:pt>
                <c:pt idx="676" formatCode="0.000">
                  <c:v>45.855510204081632</c:v>
                </c:pt>
                <c:pt idx="677" formatCode="0.000">
                  <c:v>45.860816326530617</c:v>
                </c:pt>
                <c:pt idx="678" formatCode="0.000">
                  <c:v>45.87040816326531</c:v>
                </c:pt>
                <c:pt idx="679" formatCode="0.000">
                  <c:v>45.878571428571426</c:v>
                </c:pt>
                <c:pt idx="680" formatCode="0.000">
                  <c:v>45.879591836734683</c:v>
                </c:pt>
                <c:pt idx="681" formatCode="0.000">
                  <c:v>45.889591836734688</c:v>
                </c:pt>
                <c:pt idx="682" formatCode="0.000">
                  <c:v>45.905714285714261</c:v>
                </c:pt>
                <c:pt idx="683" formatCode="0.000">
                  <c:v>45.919591836734675</c:v>
                </c:pt>
                <c:pt idx="684" formatCode="0.000">
                  <c:v>45.935102040816311</c:v>
                </c:pt>
                <c:pt idx="685" formatCode="0.000">
                  <c:v>45.951428571428558</c:v>
                </c:pt>
                <c:pt idx="686" formatCode="0.000">
                  <c:v>45.981428571428559</c:v>
                </c:pt>
                <c:pt idx="687" formatCode="0.000">
                  <c:v>45.992244897959175</c:v>
                </c:pt>
                <c:pt idx="688" formatCode="0.000">
                  <c:v>45.997346938775507</c:v>
                </c:pt>
                <c:pt idx="689" formatCode="0.000">
                  <c:v>45.980816326530608</c:v>
                </c:pt>
                <c:pt idx="690" formatCode="0.000">
                  <c:v>45.955102040816328</c:v>
                </c:pt>
                <c:pt idx="691" formatCode="0.000">
                  <c:v>45.932857142857152</c:v>
                </c:pt>
                <c:pt idx="692" formatCode="0.000">
                  <c:v>45.927346938775521</c:v>
                </c:pt>
                <c:pt idx="693" formatCode="0.000">
                  <c:v>45.921224489795925</c:v>
                </c:pt>
                <c:pt idx="694" formatCode="0.000">
                  <c:v>45.916938775510218</c:v>
                </c:pt>
                <c:pt idx="695" formatCode="0.000">
                  <c:v>45.91387755102042</c:v>
                </c:pt>
                <c:pt idx="696" formatCode="0.000">
                  <c:v>45.908163265306122</c:v>
                </c:pt>
                <c:pt idx="697" formatCode="0.000">
                  <c:v>45.91571428571428</c:v>
                </c:pt>
                <c:pt idx="698" formatCode="0.000">
                  <c:v>45.925510204081633</c:v>
                </c:pt>
                <c:pt idx="699" formatCode="0.000">
                  <c:v>45.936530612244894</c:v>
                </c:pt>
                <c:pt idx="700" formatCode="0.000">
                  <c:v>45.950612244897968</c:v>
                </c:pt>
                <c:pt idx="701" formatCode="0.000">
                  <c:v>45.987551020408169</c:v>
                </c:pt>
                <c:pt idx="702" formatCode="0.000">
                  <c:v>46.005306122448985</c:v>
                </c:pt>
                <c:pt idx="703" formatCode="0.000">
                  <c:v>46.011428571428581</c:v>
                </c:pt>
                <c:pt idx="704" formatCode="0.000">
                  <c:v>46.022244897959197</c:v>
                </c:pt>
                <c:pt idx="705" formatCode="0.000">
                  <c:v>46.024285714285718</c:v>
                </c:pt>
                <c:pt idx="706" formatCode="0.000">
                  <c:v>46.032448979591841</c:v>
                </c:pt>
                <c:pt idx="707" formatCode="0.000">
                  <c:v>46.042857142857152</c:v>
                </c:pt>
                <c:pt idx="708" formatCode="0.000">
                  <c:v>46.057142857142871</c:v>
                </c:pt>
                <c:pt idx="709" formatCode="0.000">
                  <c:v>46.06775510204082</c:v>
                </c:pt>
                <c:pt idx="710" formatCode="0.000">
                  <c:v>46.073061224489805</c:v>
                </c:pt>
                <c:pt idx="711" formatCode="0.000">
                  <c:v>46.072653061224486</c:v>
                </c:pt>
                <c:pt idx="712" formatCode="0.000">
                  <c:v>46.062244897959175</c:v>
                </c:pt>
                <c:pt idx="713" formatCode="0.000">
                  <c:v>46.050204081632657</c:v>
                </c:pt>
                <c:pt idx="714" formatCode="0.000">
                  <c:v>46.033673469387757</c:v>
                </c:pt>
                <c:pt idx="715" formatCode="0.000">
                  <c:v>46.021632653061225</c:v>
                </c:pt>
                <c:pt idx="716" formatCode="0.000">
                  <c:v>46.007755102040811</c:v>
                </c:pt>
                <c:pt idx="717" formatCode="0.000">
                  <c:v>45.993265306122439</c:v>
                </c:pt>
                <c:pt idx="718" formatCode="0.000">
                  <c:v>45.976122448979581</c:v>
                </c:pt>
                <c:pt idx="719" formatCode="0.000">
                  <c:v>45.958163265306119</c:v>
                </c:pt>
                <c:pt idx="720" formatCode="0.000">
                  <c:v>45.956122448979592</c:v>
                </c:pt>
                <c:pt idx="721" formatCode="0.000">
                  <c:v>45.956530612244897</c:v>
                </c:pt>
                <c:pt idx="722" formatCode="0.000">
                  <c:v>45.951836734693885</c:v>
                </c:pt>
                <c:pt idx="723" formatCode="0.000">
                  <c:v>45.955102040816328</c:v>
                </c:pt>
                <c:pt idx="724" formatCode="0.000">
                  <c:v>45.959387755102057</c:v>
                </c:pt>
                <c:pt idx="725" formatCode="0.000">
                  <c:v>45.960612244897959</c:v>
                </c:pt>
                <c:pt idx="726" formatCode="0.000">
                  <c:v>45.967755102040826</c:v>
                </c:pt>
                <c:pt idx="727" formatCode="0.000">
                  <c:v>45.981020408163268</c:v>
                </c:pt>
                <c:pt idx="728" formatCode="0.000">
                  <c:v>45.998367346938785</c:v>
                </c:pt>
                <c:pt idx="729" formatCode="0.000">
                  <c:v>46.027142857142863</c:v>
                </c:pt>
                <c:pt idx="730" formatCode="0.000">
                  <c:v>46.052040816326532</c:v>
                </c:pt>
                <c:pt idx="731" formatCode="0.000">
                  <c:v>46.076530612244909</c:v>
                </c:pt>
                <c:pt idx="732" formatCode="0.000">
                  <c:v>46.101428571428571</c:v>
                </c:pt>
                <c:pt idx="733" formatCode="0.000">
                  <c:v>46.127755102040808</c:v>
                </c:pt>
                <c:pt idx="734" formatCode="0.000">
                  <c:v>46.150612244897964</c:v>
                </c:pt>
                <c:pt idx="735" formatCode="0.000">
                  <c:v>46.1730612244898</c:v>
                </c:pt>
                <c:pt idx="736" formatCode="0.000">
                  <c:v>46.191224489795914</c:v>
                </c:pt>
                <c:pt idx="737" formatCode="0.000">
                  <c:v>46.208775510204084</c:v>
                </c:pt>
                <c:pt idx="738" formatCode="0.000">
                  <c:v>46.247142857142862</c:v>
                </c:pt>
                <c:pt idx="739" formatCode="0.000">
                  <c:v>46.287755102040812</c:v>
                </c:pt>
                <c:pt idx="740" formatCode="0.000">
                  <c:v>46.307142857142864</c:v>
                </c:pt>
                <c:pt idx="741" formatCode="0.000">
                  <c:v>46.287755102040812</c:v>
                </c:pt>
                <c:pt idx="742" formatCode="0.000">
                  <c:v>46.263061224489796</c:v>
                </c:pt>
                <c:pt idx="743" formatCode="0.000">
                  <c:v>46.23571428571428</c:v>
                </c:pt>
                <c:pt idx="744" formatCode="0.000">
                  <c:v>46.179999999999993</c:v>
                </c:pt>
                <c:pt idx="745" formatCode="0.000">
                  <c:v>46.131632653061232</c:v>
                </c:pt>
                <c:pt idx="746" formatCode="0.000">
                  <c:v>46.094897959183676</c:v>
                </c:pt>
                <c:pt idx="747" formatCode="0.000">
                  <c:v>46.058571428571433</c:v>
                </c:pt>
                <c:pt idx="748" formatCode="0.000">
                  <c:v>46.01510204081633</c:v>
                </c:pt>
                <c:pt idx="749" formatCode="0.000">
                  <c:v>45.984897959183677</c:v>
                </c:pt>
                <c:pt idx="750" formatCode="0.000">
                  <c:v>45.954897959183683</c:v>
                </c:pt>
                <c:pt idx="751" formatCode="0.000">
                  <c:v>45.918367346938787</c:v>
                </c:pt>
                <c:pt idx="752" formatCode="0.000">
                  <c:v>45.878163265306135</c:v>
                </c:pt>
                <c:pt idx="753" formatCode="0.000">
                  <c:v>45.841224489795927</c:v>
                </c:pt>
                <c:pt idx="754" formatCode="0.000">
                  <c:v>45.815714285714293</c:v>
                </c:pt>
                <c:pt idx="755" formatCode="0.000">
                  <c:v>45.777551020408183</c:v>
                </c:pt>
                <c:pt idx="756" formatCode="0.000">
                  <c:v>45.728367346938789</c:v>
                </c:pt>
                <c:pt idx="757" formatCode="0.000">
                  <c:v>45.667755102040822</c:v>
                </c:pt>
                <c:pt idx="758" formatCode="0.000">
                  <c:v>45.616734693877547</c:v>
                </c:pt>
                <c:pt idx="759" formatCode="0.000">
                  <c:v>45.567551020408153</c:v>
                </c:pt>
                <c:pt idx="760" formatCode="0.000">
                  <c:v>45.522857142857134</c:v>
                </c:pt>
                <c:pt idx="761" formatCode="0.000">
                  <c:v>45.488775510204071</c:v>
                </c:pt>
                <c:pt idx="762" formatCode="0.000">
                  <c:v>45.452653061224474</c:v>
                </c:pt>
                <c:pt idx="763" formatCode="0.000">
                  <c:v>45.424897959183667</c:v>
                </c:pt>
                <c:pt idx="764" formatCode="0.000">
                  <c:v>45.402244897959193</c:v>
                </c:pt>
                <c:pt idx="765" formatCode="0.000">
                  <c:v>45.377959183673475</c:v>
                </c:pt>
                <c:pt idx="766" formatCode="0.000">
                  <c:v>45.351224489795925</c:v>
                </c:pt>
                <c:pt idx="767" formatCode="0.000">
                  <c:v>45.315306122448995</c:v>
                </c:pt>
                <c:pt idx="768" formatCode="0.000">
                  <c:v>45.279183673469404</c:v>
                </c:pt>
                <c:pt idx="769" formatCode="0.000">
                  <c:v>45.225714285714297</c:v>
                </c:pt>
                <c:pt idx="770" formatCode="0.000">
                  <c:v>45.168367346938787</c:v>
                </c:pt>
                <c:pt idx="771" formatCode="0.000">
                  <c:v>45.110408163265305</c:v>
                </c:pt>
                <c:pt idx="772" formatCode="0.000">
                  <c:v>45.044489795918366</c:v>
                </c:pt>
                <c:pt idx="773" formatCode="0.000">
                  <c:v>44.976938775510199</c:v>
                </c:pt>
                <c:pt idx="774" formatCode="0.000">
                  <c:v>44.901224489795915</c:v>
                </c:pt>
                <c:pt idx="775" formatCode="0.000">
                  <c:v>44.830612244897964</c:v>
                </c:pt>
                <c:pt idx="776" formatCode="0.000">
                  <c:v>44.756326530612242</c:v>
                </c:pt>
                <c:pt idx="777" formatCode="0.000">
                  <c:v>44.684897959183672</c:v>
                </c:pt>
                <c:pt idx="778" formatCode="0.000">
                  <c:v>44.61448979591836</c:v>
                </c:pt>
                <c:pt idx="779" formatCode="0.000">
                  <c:v>44.522857142857148</c:v>
                </c:pt>
                <c:pt idx="780" formatCode="0.000">
                  <c:v>44.441224489795928</c:v>
                </c:pt>
                <c:pt idx="781" formatCode="0.000">
                  <c:v>44.375714285714295</c:v>
                </c:pt>
                <c:pt idx="782" formatCode="0.000">
                  <c:v>44.305714285714288</c:v>
                </c:pt>
                <c:pt idx="783" formatCode="0.000">
                  <c:v>44.225714285714297</c:v>
                </c:pt>
                <c:pt idx="784" formatCode="0.000">
                  <c:v>44.129795918367357</c:v>
                </c:pt>
                <c:pt idx="785" formatCode="0.000">
                  <c:v>44.054081632653066</c:v>
                </c:pt>
                <c:pt idx="786" formatCode="0.000">
                  <c:v>43.984285714285711</c:v>
                </c:pt>
                <c:pt idx="787" formatCode="0.000">
                  <c:v>43.911632653061226</c:v>
                </c:pt>
                <c:pt idx="788" formatCode="0.000">
                  <c:v>43.851632653061245</c:v>
                </c:pt>
                <c:pt idx="789" formatCode="0.000">
                  <c:v>43.809795918367364</c:v>
                </c:pt>
                <c:pt idx="790" formatCode="0.000">
                  <c:v>43.809591836734704</c:v>
                </c:pt>
                <c:pt idx="791" formatCode="0.000">
                  <c:v>43.80632653061226</c:v>
                </c:pt>
                <c:pt idx="792" formatCode="0.000">
                  <c:v>43.801224489795942</c:v>
                </c:pt>
                <c:pt idx="793" formatCode="0.000">
                  <c:v>43.814285714285724</c:v>
                </c:pt>
                <c:pt idx="794" formatCode="0.000">
                  <c:v>43.831632653061234</c:v>
                </c:pt>
                <c:pt idx="795" formatCode="0.000">
                  <c:v>43.813265306122467</c:v>
                </c:pt>
                <c:pt idx="796" formatCode="0.000">
                  <c:v>43.777346938775523</c:v>
                </c:pt>
                <c:pt idx="797" formatCode="0.000">
                  <c:v>43.749795918367361</c:v>
                </c:pt>
                <c:pt idx="798" formatCode="0.000">
                  <c:v>43.719795918367353</c:v>
                </c:pt>
                <c:pt idx="799" formatCode="0.000">
                  <c:v>43.683673469387763</c:v>
                </c:pt>
                <c:pt idx="800" formatCode="0.000">
                  <c:v>43.655102040816345</c:v>
                </c:pt>
                <c:pt idx="801" formatCode="0.000">
                  <c:v>43.628979591836746</c:v>
                </c:pt>
                <c:pt idx="802" formatCode="0.000">
                  <c:v>43.595714285714294</c:v>
                </c:pt>
                <c:pt idx="803" formatCode="0.000">
                  <c:v>43.561428571428586</c:v>
                </c:pt>
                <c:pt idx="804" formatCode="0.000">
                  <c:v>43.522857142857141</c:v>
                </c:pt>
                <c:pt idx="805" formatCode="0.000">
                  <c:v>43.48591836734694</c:v>
                </c:pt>
                <c:pt idx="806" formatCode="0.000">
                  <c:v>43.456530612244904</c:v>
                </c:pt>
                <c:pt idx="807" formatCode="0.000">
                  <c:v>43.431020408163263</c:v>
                </c:pt>
                <c:pt idx="808" formatCode="0.000">
                  <c:v>43.398775510204075</c:v>
                </c:pt>
                <c:pt idx="809" formatCode="0.000">
                  <c:v>43.361020408163263</c:v>
                </c:pt>
                <c:pt idx="810" formatCode="0.000">
                  <c:v>43.315918367346939</c:v>
                </c:pt>
                <c:pt idx="811" formatCode="0.000">
                  <c:v>43.269591836734698</c:v>
                </c:pt>
                <c:pt idx="812" formatCode="0.000">
                  <c:v>43.225714285714297</c:v>
                </c:pt>
                <c:pt idx="813" formatCode="0.000">
                  <c:v>43.171836734693876</c:v>
                </c:pt>
                <c:pt idx="814" formatCode="0.000">
                  <c:v>43.128571428571426</c:v>
                </c:pt>
                <c:pt idx="815" formatCode="0.000">
                  <c:v>43.081224489795908</c:v>
                </c:pt>
                <c:pt idx="816" formatCode="0.000">
                  <c:v>43.053061224489795</c:v>
                </c:pt>
                <c:pt idx="817" formatCode="0.000">
                  <c:v>43.025510204081634</c:v>
                </c:pt>
                <c:pt idx="818" formatCode="0.000">
                  <c:v>43.003877551020409</c:v>
                </c:pt>
                <c:pt idx="819" formatCode="0.000">
                  <c:v>42.992040816326522</c:v>
                </c:pt>
                <c:pt idx="820" formatCode="0.000">
                  <c:v>42.991428571428578</c:v>
                </c:pt>
                <c:pt idx="821" formatCode="0.000">
                  <c:v>42.991428571428578</c:v>
                </c:pt>
                <c:pt idx="822" formatCode="0.000">
                  <c:v>42.998775510204084</c:v>
                </c:pt>
                <c:pt idx="823" formatCode="0.000">
                  <c:v>43.022448979591836</c:v>
                </c:pt>
                <c:pt idx="824" formatCode="0.000">
                  <c:v>43.031020408163272</c:v>
                </c:pt>
                <c:pt idx="825" formatCode="0.000">
                  <c:v>43.042653061224492</c:v>
                </c:pt>
                <c:pt idx="826" formatCode="0.000">
                  <c:v>43.045102040816339</c:v>
                </c:pt>
                <c:pt idx="827" formatCode="0.000">
                  <c:v>43.055714285714295</c:v>
                </c:pt>
                <c:pt idx="828" formatCode="0.000">
                  <c:v>43.085510204081643</c:v>
                </c:pt>
                <c:pt idx="829" formatCode="0.000">
                  <c:v>43.106530612244903</c:v>
                </c:pt>
                <c:pt idx="830" formatCode="0.000">
                  <c:v>43.105306122448987</c:v>
                </c:pt>
                <c:pt idx="831" formatCode="0.000">
                  <c:v>43.088571428571441</c:v>
                </c:pt>
                <c:pt idx="832" formatCode="0.000">
                  <c:v>43.09265306122451</c:v>
                </c:pt>
                <c:pt idx="833" formatCode="0.000">
                  <c:v>43.08693877551022</c:v>
                </c:pt>
                <c:pt idx="834" formatCode="0.000">
                  <c:v>43.078979591836742</c:v>
                </c:pt>
                <c:pt idx="835" formatCode="0.000">
                  <c:v>43.064081632653078</c:v>
                </c:pt>
                <c:pt idx="836" formatCode="0.000">
                  <c:v>43.044897959183679</c:v>
                </c:pt>
                <c:pt idx="837" formatCode="0.000">
                  <c:v>43.019183673469392</c:v>
                </c:pt>
                <c:pt idx="838" formatCode="0.000">
                  <c:v>42.996734693877556</c:v>
                </c:pt>
                <c:pt idx="839" formatCode="0.000">
                  <c:v>42.965102040816326</c:v>
                </c:pt>
                <c:pt idx="840" formatCode="0.000">
                  <c:v>42.935714285714283</c:v>
                </c:pt>
                <c:pt idx="841" formatCode="0.000">
                  <c:v>42.918571428571411</c:v>
                </c:pt>
                <c:pt idx="842" formatCode="0.000">
                  <c:v>42.921020408163258</c:v>
                </c:pt>
                <c:pt idx="843" formatCode="0.000">
                  <c:v>42.916326530612238</c:v>
                </c:pt>
                <c:pt idx="844" formatCode="0.000">
                  <c:v>42.935102040816311</c:v>
                </c:pt>
                <c:pt idx="845" formatCode="0.000">
                  <c:v>42.980612244897941</c:v>
                </c:pt>
                <c:pt idx="846" formatCode="0.000">
                  <c:v>43.019183673469371</c:v>
                </c:pt>
                <c:pt idx="847" formatCode="0.000">
                  <c:v>43.041428571428568</c:v>
                </c:pt>
                <c:pt idx="848" formatCode="0.000">
                  <c:v>43.077346938775499</c:v>
                </c:pt>
                <c:pt idx="849" formatCode="0.000">
                  <c:v>43.122244897959177</c:v>
                </c:pt>
                <c:pt idx="850" formatCode="0.000">
                  <c:v>43.17551020408164</c:v>
                </c:pt>
                <c:pt idx="851" formatCode="0.000">
                  <c:v>43.233673469387753</c:v>
                </c:pt>
                <c:pt idx="852" formatCode="0.000">
                  <c:v>43.282040816326521</c:v>
                </c:pt>
                <c:pt idx="853" formatCode="0.000">
                  <c:v>43.345510204081627</c:v>
                </c:pt>
                <c:pt idx="854" formatCode="0.000">
                  <c:v>43.413061224489795</c:v>
                </c:pt>
                <c:pt idx="855" formatCode="0.000">
                  <c:v>43.481020408163261</c:v>
                </c:pt>
                <c:pt idx="856" formatCode="0.000">
                  <c:v>43.544285714285714</c:v>
                </c:pt>
                <c:pt idx="857" formatCode="0.000">
                  <c:v>43.601632653061216</c:v>
                </c:pt>
                <c:pt idx="858" formatCode="0.000">
                  <c:v>43.667346938775509</c:v>
                </c:pt>
                <c:pt idx="859" formatCode="0.000">
                  <c:v>43.756530612244902</c:v>
                </c:pt>
                <c:pt idx="860" formatCode="0.000">
                  <c:v>43.852244897959181</c:v>
                </c:pt>
                <c:pt idx="861" formatCode="0.000">
                  <c:v>43.93204081632652</c:v>
                </c:pt>
                <c:pt idx="862" formatCode="0.000">
                  <c:v>44.014693877551018</c:v>
                </c:pt>
                <c:pt idx="863" formatCode="0.000">
                  <c:v>44.100816326530612</c:v>
                </c:pt>
                <c:pt idx="864" formatCode="0.000">
                  <c:v>44.185306122448978</c:v>
                </c:pt>
                <c:pt idx="865" formatCode="0.000">
                  <c:v>44.262448979591831</c:v>
                </c:pt>
                <c:pt idx="866" formatCode="0.000">
                  <c:v>44.350204081632647</c:v>
                </c:pt>
                <c:pt idx="867" formatCode="0.000">
                  <c:v>44.436938775510214</c:v>
                </c:pt>
                <c:pt idx="868" formatCode="0.000">
                  <c:v>44.514897959183692</c:v>
                </c:pt>
                <c:pt idx="869" formatCode="0.000">
                  <c:v>44.576530612244909</c:v>
                </c:pt>
                <c:pt idx="870" formatCode="0.000">
                  <c:v>44.64489795918368</c:v>
                </c:pt>
                <c:pt idx="871" formatCode="0.000">
                  <c:v>44.705306122448988</c:v>
                </c:pt>
                <c:pt idx="872" formatCode="0.000">
                  <c:v>44.753061224489798</c:v>
                </c:pt>
                <c:pt idx="873" formatCode="0.000">
                  <c:v>44.809795918367342</c:v>
                </c:pt>
                <c:pt idx="874" formatCode="0.000">
                  <c:v>44.86326530612245</c:v>
                </c:pt>
                <c:pt idx="875" formatCode="0.000">
                  <c:v>44.92</c:v>
                </c:pt>
                <c:pt idx="876" formatCode="0.000">
                  <c:v>44.974081632653053</c:v>
                </c:pt>
                <c:pt idx="877" formatCode="0.000">
                  <c:v>45.027142857142856</c:v>
                </c:pt>
                <c:pt idx="878" formatCode="0.000">
                  <c:v>45.06408163265305</c:v>
                </c:pt>
                <c:pt idx="879" formatCode="0.000">
                  <c:v>45.099795918367334</c:v>
                </c:pt>
                <c:pt idx="880" formatCode="0.000">
                  <c:v>45.143061224489784</c:v>
                </c:pt>
                <c:pt idx="881" formatCode="0.000">
                  <c:v>45.173877551020396</c:v>
                </c:pt>
                <c:pt idx="882" formatCode="0.000">
                  <c:v>45.217551020408159</c:v>
                </c:pt>
                <c:pt idx="883" formatCode="0.000">
                  <c:v>45.253673469387763</c:v>
                </c:pt>
                <c:pt idx="884" formatCode="0.000">
                  <c:v>45.295918367346935</c:v>
                </c:pt>
                <c:pt idx="885" formatCode="0.000">
                  <c:v>45.333877551020407</c:v>
                </c:pt>
                <c:pt idx="886" formatCode="0.000">
                  <c:v>45.360816326530617</c:v>
                </c:pt>
                <c:pt idx="887" formatCode="0.000">
                  <c:v>45.384897959183682</c:v>
                </c:pt>
                <c:pt idx="888" formatCode="0.000">
                  <c:v>45.426734693877563</c:v>
                </c:pt>
                <c:pt idx="889" formatCode="0.000">
                  <c:v>45.481836734693893</c:v>
                </c:pt>
                <c:pt idx="890" formatCode="0.000">
                  <c:v>45.527755102040828</c:v>
                </c:pt>
                <c:pt idx="891" formatCode="0.000">
                  <c:v>45.572653061224486</c:v>
                </c:pt>
                <c:pt idx="892" formatCode="0.000">
                  <c:v>45.618979591836734</c:v>
                </c:pt>
                <c:pt idx="893" formatCode="0.000">
                  <c:v>45.664897959183669</c:v>
                </c:pt>
                <c:pt idx="894" formatCode="0.000">
                  <c:v>45.688775510204074</c:v>
                </c:pt>
                <c:pt idx="895" formatCode="0.000">
                  <c:v>45.716326530612236</c:v>
                </c:pt>
                <c:pt idx="896" formatCode="0.000">
                  <c:v>45.755510204081624</c:v>
                </c:pt>
                <c:pt idx="897" formatCode="0.000">
                  <c:v>45.775102040816314</c:v>
                </c:pt>
                <c:pt idx="898" formatCode="0.000">
                  <c:v>45.798979591836734</c:v>
                </c:pt>
                <c:pt idx="899" formatCode="0.000">
                  <c:v>45.839183673469385</c:v>
                </c:pt>
                <c:pt idx="900" formatCode="0.000">
                  <c:v>45.876734693877545</c:v>
                </c:pt>
                <c:pt idx="901" formatCode="0.000">
                  <c:v>45.904081632653067</c:v>
                </c:pt>
                <c:pt idx="902" formatCode="0.000">
                  <c:v>45.912857142857142</c:v>
                </c:pt>
                <c:pt idx="903" formatCode="0.000">
                  <c:v>45.92775510204082</c:v>
                </c:pt>
                <c:pt idx="904" formatCode="0.000">
                  <c:v>45.946122448979601</c:v>
                </c:pt>
                <c:pt idx="905" formatCode="0.000">
                  <c:v>45.964693877551028</c:v>
                </c:pt>
                <c:pt idx="906" formatCode="0.000">
                  <c:v>45.990816326530613</c:v>
                </c:pt>
                <c:pt idx="907" formatCode="0.000">
                  <c:v>46.016326530612261</c:v>
                </c:pt>
                <c:pt idx="908" formatCode="0.000">
                  <c:v>46.011836734693887</c:v>
                </c:pt>
                <c:pt idx="909" formatCode="0.000">
                  <c:v>46.003877551020402</c:v>
                </c:pt>
                <c:pt idx="910" formatCode="0.000">
                  <c:v>45.997142857142862</c:v>
                </c:pt>
                <c:pt idx="911" formatCode="0.000">
                  <c:v>46.002244897959187</c:v>
                </c:pt>
                <c:pt idx="912" formatCode="0.000">
                  <c:v>45.997346938775507</c:v>
                </c:pt>
                <c:pt idx="913" formatCode="0.000">
                  <c:v>45.982857142857142</c:v>
                </c:pt>
                <c:pt idx="914" formatCode="0.000">
                  <c:v>45.951428571428558</c:v>
                </c:pt>
                <c:pt idx="915" formatCode="0.000">
                  <c:v>45.911836734693864</c:v>
                </c:pt>
                <c:pt idx="916" formatCode="0.000">
                  <c:v>45.876326530612225</c:v>
                </c:pt>
                <c:pt idx="917" formatCode="0.000">
                  <c:v>45.855714285714271</c:v>
                </c:pt>
                <c:pt idx="918" formatCode="0.000">
                  <c:v>45.849795918367342</c:v>
                </c:pt>
                <c:pt idx="919" formatCode="0.000">
                  <c:v>45.834693877551025</c:v>
                </c:pt>
                <c:pt idx="920" formatCode="0.000">
                  <c:v>45.839795918367351</c:v>
                </c:pt>
                <c:pt idx="921" formatCode="0.000">
                  <c:v>45.842653061224496</c:v>
                </c:pt>
                <c:pt idx="922" formatCode="0.000">
                  <c:v>45.852244897959196</c:v>
                </c:pt>
                <c:pt idx="923" formatCode="0.000">
                  <c:v>45.865510204081637</c:v>
                </c:pt>
                <c:pt idx="924" formatCode="0.000">
                  <c:v>45.871428571428574</c:v>
                </c:pt>
                <c:pt idx="925" formatCode="0.000">
                  <c:v>45.857551020408174</c:v>
                </c:pt>
                <c:pt idx="926" formatCode="0.000">
                  <c:v>45.852040816326543</c:v>
                </c:pt>
                <c:pt idx="927" formatCode="0.000">
                  <c:v>45.880816326530621</c:v>
                </c:pt>
                <c:pt idx="928" formatCode="0.000">
                  <c:v>45.920612244897974</c:v>
                </c:pt>
                <c:pt idx="929" formatCode="0.000">
                  <c:v>45.962244897959188</c:v>
                </c:pt>
                <c:pt idx="930" formatCode="0.000">
                  <c:v>46.010612244897956</c:v>
                </c:pt>
                <c:pt idx="931" formatCode="0.000">
                  <c:v>46.071836734693875</c:v>
                </c:pt>
                <c:pt idx="932" formatCode="0.000">
                  <c:v>46.148163265306124</c:v>
                </c:pt>
                <c:pt idx="933" formatCode="0.000">
                  <c:v>46.230612244897962</c:v>
                </c:pt>
                <c:pt idx="934" formatCode="0.000">
                  <c:v>46.320000000000007</c:v>
                </c:pt>
                <c:pt idx="935" formatCode="0.000">
                  <c:v>46.424285714285723</c:v>
                </c:pt>
                <c:pt idx="936" formatCode="0.000">
                  <c:v>46.528571428571432</c:v>
                </c:pt>
                <c:pt idx="937" formatCode="0.000">
                  <c:v>46.620000000000005</c:v>
                </c:pt>
                <c:pt idx="938" formatCode="0.000">
                  <c:v>46.701428571428579</c:v>
                </c:pt>
                <c:pt idx="939" formatCode="0.000">
                  <c:v>46.783469387755098</c:v>
                </c:pt>
                <c:pt idx="940" formatCode="0.000">
                  <c:v>46.867346938775512</c:v>
                </c:pt>
                <c:pt idx="941" formatCode="0.000">
                  <c:v>46.958979591836737</c:v>
                </c:pt>
                <c:pt idx="942" formatCode="0.000">
                  <c:v>47.023061224489801</c:v>
                </c:pt>
                <c:pt idx="943" formatCode="0.000">
                  <c:v>47.082244897959178</c:v>
                </c:pt>
                <c:pt idx="944" formatCode="0.000">
                  <c:v>47.144081632653062</c:v>
                </c:pt>
                <c:pt idx="945" formatCode="0.000">
                  <c:v>47.196122448979587</c:v>
                </c:pt>
                <c:pt idx="946" formatCode="0.000">
                  <c:v>47.26632653061224</c:v>
                </c:pt>
                <c:pt idx="947" formatCode="0.000">
                  <c:v>47.342857142857135</c:v>
                </c:pt>
                <c:pt idx="948" formatCode="0.000">
                  <c:v>47.390612244897959</c:v>
                </c:pt>
                <c:pt idx="949" formatCode="0.000">
                  <c:v>47.46857142857143</c:v>
                </c:pt>
                <c:pt idx="950" formatCode="0.000">
                  <c:v>47.542448979591846</c:v>
                </c:pt>
                <c:pt idx="951" formatCode="0.000">
                  <c:v>47.622040816326532</c:v>
                </c:pt>
                <c:pt idx="952" formatCode="0.000">
                  <c:v>47.694081632653059</c:v>
                </c:pt>
                <c:pt idx="953" formatCode="0.000">
                  <c:v>47.756938775510207</c:v>
                </c:pt>
                <c:pt idx="954" formatCode="0.000">
                  <c:v>47.819183673469382</c:v>
                </c:pt>
                <c:pt idx="955" formatCode="0.000">
                  <c:v>47.88673469387755</c:v>
                </c:pt>
                <c:pt idx="956" formatCode="0.000">
                  <c:v>47.942040816326518</c:v>
                </c:pt>
                <c:pt idx="957" formatCode="0.000">
                  <c:v>48.015510204081622</c:v>
                </c:pt>
                <c:pt idx="958" formatCode="0.000">
                  <c:v>48.086734693877531</c:v>
                </c:pt>
                <c:pt idx="959" formatCode="0.000">
                  <c:v>48.136734693877536</c:v>
                </c:pt>
                <c:pt idx="960" formatCode="0.000">
                  <c:v>48.174285714285702</c:v>
                </c:pt>
                <c:pt idx="961" formatCode="0.000">
                  <c:v>48.205102040816321</c:v>
                </c:pt>
                <c:pt idx="962" formatCode="0.000">
                  <c:v>48.243061224489793</c:v>
                </c:pt>
                <c:pt idx="963" formatCode="0.000">
                  <c:v>48.302857142857142</c:v>
                </c:pt>
                <c:pt idx="964" formatCode="0.000">
                  <c:v>48.328979591836742</c:v>
                </c:pt>
                <c:pt idx="965" formatCode="0.000">
                  <c:v>48.370408163265317</c:v>
                </c:pt>
                <c:pt idx="966" formatCode="0.000">
                  <c:v>48.412040816326538</c:v>
                </c:pt>
                <c:pt idx="967" formatCode="0.000">
                  <c:v>48.439387755102047</c:v>
                </c:pt>
                <c:pt idx="968" formatCode="0.000">
                  <c:v>48.474897959183686</c:v>
                </c:pt>
                <c:pt idx="969" formatCode="0.000">
                  <c:v>48.487142857142857</c:v>
                </c:pt>
                <c:pt idx="970" formatCode="0.000">
                  <c:v>48.50081632653059</c:v>
                </c:pt>
                <c:pt idx="971" formatCode="0.000">
                  <c:v>48.525510204081627</c:v>
                </c:pt>
                <c:pt idx="972" formatCode="0.000">
                  <c:v>48.529999999999987</c:v>
                </c:pt>
                <c:pt idx="973" formatCode="0.000">
                  <c:v>48.54979591836733</c:v>
                </c:pt>
                <c:pt idx="974" formatCode="0.000">
                  <c:v>48.563061224489786</c:v>
                </c:pt>
                <c:pt idx="975" formatCode="0.000">
                  <c:v>48.575510204081631</c:v>
                </c:pt>
                <c:pt idx="976" formatCode="0.000">
                  <c:v>48.569591836734702</c:v>
                </c:pt>
                <c:pt idx="977" formatCode="0.000">
                  <c:v>48.554693877551024</c:v>
                </c:pt>
                <c:pt idx="978" formatCode="0.000">
                  <c:v>48.551224489795935</c:v>
                </c:pt>
                <c:pt idx="979" formatCode="0.000">
                  <c:v>48.529183673469404</c:v>
                </c:pt>
                <c:pt idx="980" formatCode="0.000">
                  <c:v>48.495918367346952</c:v>
                </c:pt>
                <c:pt idx="981" formatCode="0.000">
                  <c:v>48.465306122448993</c:v>
                </c:pt>
                <c:pt idx="982" formatCode="0.000">
                  <c:v>48.431632653061229</c:v>
                </c:pt>
                <c:pt idx="983" formatCode="0.000">
                  <c:v>48.410000000000004</c:v>
                </c:pt>
                <c:pt idx="984" formatCode="0.000">
                  <c:v>48.369387755102039</c:v>
                </c:pt>
                <c:pt idx="985" formatCode="0.000">
                  <c:v>48.318367346938764</c:v>
                </c:pt>
                <c:pt idx="986" formatCode="0.000">
                  <c:v>48.263469387755102</c:v>
                </c:pt>
                <c:pt idx="987" formatCode="0.000">
                  <c:v>48.215306122448972</c:v>
                </c:pt>
                <c:pt idx="988" formatCode="0.000">
                  <c:v>48.176938775510209</c:v>
                </c:pt>
                <c:pt idx="989" formatCode="0.000">
                  <c:v>48.135306122448988</c:v>
                </c:pt>
                <c:pt idx="990" formatCode="0.000">
                  <c:v>48.09836734693878</c:v>
                </c:pt>
                <c:pt idx="991" formatCode="0.000">
                  <c:v>48.095714285714287</c:v>
                </c:pt>
                <c:pt idx="992" formatCode="0.000">
                  <c:v>48.106530612244903</c:v>
                </c:pt>
                <c:pt idx="993" formatCode="0.000">
                  <c:v>48.111428571428583</c:v>
                </c:pt>
                <c:pt idx="994" formatCode="0.000">
                  <c:v>48.122653061224504</c:v>
                </c:pt>
                <c:pt idx="995" formatCode="0.000">
                  <c:v>48.12530612244899</c:v>
                </c:pt>
                <c:pt idx="996" formatCode="0.000">
                  <c:v>48.12326530612247</c:v>
                </c:pt>
                <c:pt idx="997" formatCode="0.000">
                  <c:v>48.137142857142869</c:v>
                </c:pt>
                <c:pt idx="998" formatCode="0.000">
                  <c:v>48.124693877551032</c:v>
                </c:pt>
                <c:pt idx="999" formatCode="0.000">
                  <c:v>48.04102040816327</c:v>
                </c:pt>
                <c:pt idx="1000" formatCode="0.000">
                  <c:v>47.952448979591829</c:v>
                </c:pt>
                <c:pt idx="1001" formatCode="0.000">
                  <c:v>47.859591836734694</c:v>
                </c:pt>
                <c:pt idx="1002" formatCode="0.000">
                  <c:v>47.778163265306112</c:v>
                </c:pt>
                <c:pt idx="1003" formatCode="0.000">
                  <c:v>47.70918367346939</c:v>
                </c:pt>
                <c:pt idx="1004" formatCode="0.000">
                  <c:v>47.622244897959199</c:v>
                </c:pt>
                <c:pt idx="1005" formatCode="0.000">
                  <c:v>47.534897959183681</c:v>
                </c:pt>
                <c:pt idx="1006" formatCode="0.000">
                  <c:v>47.437346938775519</c:v>
                </c:pt>
                <c:pt idx="1007" formatCode="0.000">
                  <c:v>47.347551020408176</c:v>
                </c:pt>
                <c:pt idx="1008" formatCode="0.000">
                  <c:v>47.28653061224491</c:v>
                </c:pt>
                <c:pt idx="1009" formatCode="0.000">
                  <c:v>47.226530612244908</c:v>
                </c:pt>
                <c:pt idx="1010" formatCode="0.000">
                  <c:v>47.180612244897965</c:v>
                </c:pt>
                <c:pt idx="1011" formatCode="0.000">
                  <c:v>47.141020408163271</c:v>
                </c:pt>
                <c:pt idx="1012" formatCode="0.000">
                  <c:v>47.097755102040814</c:v>
                </c:pt>
                <c:pt idx="1013" formatCode="0.000">
                  <c:v>47.083877551020407</c:v>
                </c:pt>
                <c:pt idx="1014" formatCode="0.000">
                  <c:v>47.041020408163263</c:v>
                </c:pt>
                <c:pt idx="1015" formatCode="0.000">
                  <c:v>47.013469387755102</c:v>
                </c:pt>
                <c:pt idx="1016" formatCode="0.000">
                  <c:v>46.99</c:v>
                </c:pt>
                <c:pt idx="1017" formatCode="0.000">
                  <c:v>46.966938775510194</c:v>
                </c:pt>
                <c:pt idx="1018" formatCode="0.000">
                  <c:v>46.941836734693872</c:v>
                </c:pt>
                <c:pt idx="1019" formatCode="0.000">
                  <c:v>46.914489795918364</c:v>
                </c:pt>
                <c:pt idx="1020" formatCode="0.000">
                  <c:v>46.870408163265296</c:v>
                </c:pt>
                <c:pt idx="1021" formatCode="0.000">
                  <c:v>46.842040816326517</c:v>
                </c:pt>
                <c:pt idx="1022" formatCode="0.000">
                  <c:v>46.80224489795917</c:v>
                </c:pt>
                <c:pt idx="1023" formatCode="0.000">
                  <c:v>46.780612244897959</c:v>
                </c:pt>
                <c:pt idx="1024" formatCode="0.000">
                  <c:v>46.757346938775513</c:v>
                </c:pt>
                <c:pt idx="1025" formatCode="0.000">
                  <c:v>46.730612244897962</c:v>
                </c:pt>
                <c:pt idx="1026" formatCode="0.000">
                  <c:v>46.720204081632659</c:v>
                </c:pt>
                <c:pt idx="1027" formatCode="0.000">
                  <c:v>46.700612244897968</c:v>
                </c:pt>
                <c:pt idx="1028" formatCode="0.000">
                  <c:v>46.693673469387754</c:v>
                </c:pt>
                <c:pt idx="1029" formatCode="0.000">
                  <c:v>46.689591836734692</c:v>
                </c:pt>
                <c:pt idx="1030" formatCode="0.000">
                  <c:v>46.671428571428571</c:v>
                </c:pt>
                <c:pt idx="1031" formatCode="0.000">
                  <c:v>46.647959183673478</c:v>
                </c:pt>
                <c:pt idx="1032" formatCode="0.000">
                  <c:v>46.605306122448987</c:v>
                </c:pt>
                <c:pt idx="1033" formatCode="0.000">
                  <c:v>46.580612244897964</c:v>
                </c:pt>
                <c:pt idx="1034" formatCode="0.000">
                  <c:v>46.562244897959175</c:v>
                </c:pt>
                <c:pt idx="1035" formatCode="0.000">
                  <c:v>46.549591836734692</c:v>
                </c:pt>
                <c:pt idx="1036" formatCode="0.000">
                  <c:v>46.534693877551014</c:v>
                </c:pt>
                <c:pt idx="1037" formatCode="0.000">
                  <c:v>46.509795918367345</c:v>
                </c:pt>
                <c:pt idx="1038" formatCode="0.000">
                  <c:v>46.480816326530608</c:v>
                </c:pt>
                <c:pt idx="1039" formatCode="0.000">
                  <c:v>46.440816326530609</c:v>
                </c:pt>
                <c:pt idx="1040" formatCode="0.000">
                  <c:v>46.394897959183659</c:v>
                </c:pt>
                <c:pt idx="1041" formatCode="0.000">
                  <c:v>46.347755102040807</c:v>
                </c:pt>
                <c:pt idx="1042" formatCode="0.000">
                  <c:v>46.30734693877551</c:v>
                </c:pt>
                <c:pt idx="1043" formatCode="0.000">
                  <c:v>46.267755102040823</c:v>
                </c:pt>
                <c:pt idx="1044" formatCode="0.000">
                  <c:v>46.224897959183672</c:v>
                </c:pt>
                <c:pt idx="1045" formatCode="0.000">
                  <c:v>46.196326530612254</c:v>
                </c:pt>
                <c:pt idx="1046" formatCode="0.000">
                  <c:v>46.162040816326531</c:v>
                </c:pt>
                <c:pt idx="1047" formatCode="0.000">
                  <c:v>46.122244897959192</c:v>
                </c:pt>
                <c:pt idx="1048" formatCode="0.000">
                  <c:v>46.176734693877556</c:v>
                </c:pt>
                <c:pt idx="1049" formatCode="0.000">
                  <c:v>46.241632653061238</c:v>
                </c:pt>
                <c:pt idx="1050" formatCode="0.000">
                  <c:v>46.327959183673485</c:v>
                </c:pt>
                <c:pt idx="1051" formatCode="0.000">
                  <c:v>46.399183673469395</c:v>
                </c:pt>
                <c:pt idx="1052" formatCode="0.000">
                  <c:v>46.450816326530614</c:v>
                </c:pt>
                <c:pt idx="1053" formatCode="0.000">
                  <c:v>46.52102040816326</c:v>
                </c:pt>
                <c:pt idx="1054" formatCode="0.000">
                  <c:v>46.593061224489794</c:v>
                </c:pt>
                <c:pt idx="1055" formatCode="0.000">
                  <c:v>46.660612244897955</c:v>
                </c:pt>
                <c:pt idx="1056" formatCode="0.000">
                  <c:v>46.719999999999992</c:v>
                </c:pt>
                <c:pt idx="1057" formatCode="0.000">
                  <c:v>46.762040816326525</c:v>
                </c:pt>
                <c:pt idx="1058" formatCode="0.000">
                  <c:v>46.819387755102042</c:v>
                </c:pt>
                <c:pt idx="1059" formatCode="0.000">
                  <c:v>46.86836734693879</c:v>
                </c:pt>
                <c:pt idx="1060" formatCode="0.000">
                  <c:v>46.931428571428576</c:v>
                </c:pt>
                <c:pt idx="1061" formatCode="0.000">
                  <c:v>47.007551020408179</c:v>
                </c:pt>
                <c:pt idx="1062" formatCode="0.000">
                  <c:v>47.095306122448989</c:v>
                </c:pt>
                <c:pt idx="1063" formatCode="0.000">
                  <c:v>47.184285714285721</c:v>
                </c:pt>
                <c:pt idx="1064" formatCode="0.000">
                  <c:v>47.238775510204079</c:v>
                </c:pt>
                <c:pt idx="1065" formatCode="0.000">
                  <c:v>47.290816326530603</c:v>
                </c:pt>
                <c:pt idx="1066" formatCode="0.000">
                  <c:v>47.36081632653061</c:v>
                </c:pt>
                <c:pt idx="1067" formatCode="0.000">
                  <c:v>47.445510204081629</c:v>
                </c:pt>
                <c:pt idx="1068" formatCode="0.000">
                  <c:v>47.533469387755112</c:v>
                </c:pt>
                <c:pt idx="1069" formatCode="0.000">
                  <c:v>47.60877551020409</c:v>
                </c:pt>
                <c:pt idx="1070" formatCode="0.000">
                  <c:v>47.671020408163265</c:v>
                </c:pt>
                <c:pt idx="1071" formatCode="0.000">
                  <c:v>47.746938775510202</c:v>
                </c:pt>
                <c:pt idx="1072" formatCode="0.000">
                  <c:v>47.820816326530618</c:v>
                </c:pt>
                <c:pt idx="1073" formatCode="0.000">
                  <c:v>47.903469387755109</c:v>
                </c:pt>
                <c:pt idx="1074" formatCode="0.000">
                  <c:v>47.984489795918371</c:v>
                </c:pt>
                <c:pt idx="1075" formatCode="0.000">
                  <c:v>48.068979591836744</c:v>
                </c:pt>
                <c:pt idx="1076" formatCode="0.000">
                  <c:v>48.166734693877565</c:v>
                </c:pt>
                <c:pt idx="1077" formatCode="0.000">
                  <c:v>48.266938775510205</c:v>
                </c:pt>
                <c:pt idx="1078" formatCode="0.000">
                  <c:v>48.359183673469389</c:v>
                </c:pt>
                <c:pt idx="1079" formatCode="0.000">
                  <c:v>48.453265306122447</c:v>
                </c:pt>
                <c:pt idx="1080" formatCode="0.000">
                  <c:v>48.556734693877544</c:v>
                </c:pt>
                <c:pt idx="1081" formatCode="0.000">
                  <c:v>48.657755102040817</c:v>
                </c:pt>
                <c:pt idx="1082" formatCode="0.000">
                  <c:v>48.756326530612235</c:v>
                </c:pt>
                <c:pt idx="1083" formatCode="0.000">
                  <c:v>48.846122448979585</c:v>
                </c:pt>
                <c:pt idx="1084" formatCode="0.000">
                  <c:v>48.92959183673468</c:v>
                </c:pt>
                <c:pt idx="1085" formatCode="0.000">
                  <c:v>49.020408163265294</c:v>
                </c:pt>
                <c:pt idx="1086" formatCode="0.000">
                  <c:v>49.122857142857136</c:v>
                </c:pt>
                <c:pt idx="1087" formatCode="0.000">
                  <c:v>49.221632653061221</c:v>
                </c:pt>
                <c:pt idx="1088" formatCode="0.000">
                  <c:v>49.327346938775499</c:v>
                </c:pt>
                <c:pt idx="1089" formatCode="0.000">
                  <c:v>49.424489795918369</c:v>
                </c:pt>
                <c:pt idx="1090" formatCode="0.000">
                  <c:v>49.509591836734693</c:v>
                </c:pt>
                <c:pt idx="1091" formatCode="0.000">
                  <c:v>49.587142857142858</c:v>
                </c:pt>
                <c:pt idx="1092" formatCode="0.000">
                  <c:v>49.657346938775518</c:v>
                </c:pt>
                <c:pt idx="1093" formatCode="0.000">
                  <c:v>49.7430612244898</c:v>
                </c:pt>
                <c:pt idx="1094" formatCode="0.000">
                  <c:v>49.820000000000007</c:v>
                </c:pt>
                <c:pt idx="1095" formatCode="0.000">
                  <c:v>49.904081632653067</c:v>
                </c:pt>
                <c:pt idx="1096" formatCode="0.000">
                  <c:v>49.991224489795933</c:v>
                </c:pt>
                <c:pt idx="1097" formatCode="0.000">
                  <c:v>50.067551020408175</c:v>
                </c:pt>
                <c:pt idx="1098" formatCode="0.000">
                  <c:v>50.132244897959204</c:v>
                </c:pt>
                <c:pt idx="1099" formatCode="0.000">
                  <c:v>50.188571428571443</c:v>
                </c:pt>
                <c:pt idx="1100" formatCode="0.000">
                  <c:v>50.258979591836749</c:v>
                </c:pt>
                <c:pt idx="1101" formatCode="0.000">
                  <c:v>50.335102040816338</c:v>
                </c:pt>
                <c:pt idx="1102" formatCode="0.000">
                  <c:v>50.404693877551026</c:v>
                </c:pt>
                <c:pt idx="1103" formatCode="0.000">
                  <c:v>50.479591836734706</c:v>
                </c:pt>
                <c:pt idx="1104" formatCode="0.000">
                  <c:v>50.564897959183668</c:v>
                </c:pt>
                <c:pt idx="1105" formatCode="0.000">
                  <c:v>50.650204081632644</c:v>
                </c:pt>
                <c:pt idx="1106" formatCode="0.000">
                  <c:v>50.731632653061226</c:v>
                </c:pt>
                <c:pt idx="1107" formatCode="0.000">
                  <c:v>50.793469387755088</c:v>
                </c:pt>
                <c:pt idx="1108" formatCode="0.000">
                  <c:v>50.921632653061202</c:v>
                </c:pt>
                <c:pt idx="1109" formatCode="0.000">
                  <c:v>51.025510204081613</c:v>
                </c:pt>
                <c:pt idx="1110" formatCode="0.000">
                  <c:v>51.10489795918366</c:v>
                </c:pt>
                <c:pt idx="1111" formatCode="0.000">
                  <c:v>51.19857142857142</c:v>
                </c:pt>
                <c:pt idx="1112" formatCode="0.000">
                  <c:v>51.296326530612234</c:v>
                </c:pt>
                <c:pt idx="1113" formatCode="0.000">
                  <c:v>51.395714285714277</c:v>
                </c:pt>
                <c:pt idx="1114" formatCode="0.000">
                  <c:v>51.477959183673462</c:v>
                </c:pt>
                <c:pt idx="1115" formatCode="0.000">
                  <c:v>51.526530612244891</c:v>
                </c:pt>
                <c:pt idx="1116" formatCode="0.000">
                  <c:v>51.57714285714286</c:v>
                </c:pt>
                <c:pt idx="1117" formatCode="0.000">
                  <c:v>51.618775510204088</c:v>
                </c:pt>
                <c:pt idx="1118" formatCode="0.000">
                  <c:v>51.683469387755096</c:v>
                </c:pt>
                <c:pt idx="1119" formatCode="0.000">
                  <c:v>51.776734693877543</c:v>
                </c:pt>
                <c:pt idx="1120" formatCode="0.000">
                  <c:v>51.867346938775491</c:v>
                </c:pt>
                <c:pt idx="1121" formatCode="0.000">
                  <c:v>51.954897959183661</c:v>
                </c:pt>
                <c:pt idx="1122" formatCode="0.000">
                  <c:v>52.020612244897954</c:v>
                </c:pt>
                <c:pt idx="1123" formatCode="0.000">
                  <c:v>52.092040816326524</c:v>
                </c:pt>
                <c:pt idx="1124" formatCode="0.000">
                  <c:v>52.137142857142841</c:v>
                </c:pt>
                <c:pt idx="1125" formatCode="0.000">
                  <c:v>52.187551020408158</c:v>
                </c:pt>
                <c:pt idx="1126" formatCode="0.000">
                  <c:v>52.24714285714284</c:v>
                </c:pt>
                <c:pt idx="1127" formatCode="0.000">
                  <c:v>52.314693877551015</c:v>
                </c:pt>
                <c:pt idx="1128" formatCode="0.000">
                  <c:v>52.366734693877547</c:v>
                </c:pt>
                <c:pt idx="1129" formatCode="0.000">
                  <c:v>52.416938775510204</c:v>
                </c:pt>
                <c:pt idx="1130" formatCode="0.000">
                  <c:v>52.485510204081621</c:v>
                </c:pt>
                <c:pt idx="1131" formatCode="0.000">
                  <c:v>52.535102040816319</c:v>
                </c:pt>
                <c:pt idx="1132" formatCode="0.000">
                  <c:v>52.609999999999985</c:v>
                </c:pt>
                <c:pt idx="1133" formatCode="0.000">
                  <c:v>52.693265306122434</c:v>
                </c:pt>
                <c:pt idx="1134" formatCode="0.000">
                  <c:v>52.774693877551023</c:v>
                </c:pt>
                <c:pt idx="1135" formatCode="0.000">
                  <c:v>52.843877551020405</c:v>
                </c:pt>
                <c:pt idx="1136" formatCode="0.000">
                  <c:v>52.915102040816322</c:v>
                </c:pt>
                <c:pt idx="1137" formatCode="0.000">
                  <c:v>52.984081632653066</c:v>
                </c:pt>
                <c:pt idx="1138" formatCode="0.000">
                  <c:v>53.065918367346939</c:v>
                </c:pt>
                <c:pt idx="1139" formatCode="0.000">
                  <c:v>53.147551020408166</c:v>
                </c:pt>
                <c:pt idx="1140" formatCode="0.000">
                  <c:v>53.232244897959184</c:v>
                </c:pt>
                <c:pt idx="1141" formatCode="0.000">
                  <c:v>53.305714285714295</c:v>
                </c:pt>
                <c:pt idx="1142" formatCode="0.000">
                  <c:v>53.362857142857159</c:v>
                </c:pt>
                <c:pt idx="1143" formatCode="0.000">
                  <c:v>53.419795918367356</c:v>
                </c:pt>
                <c:pt idx="1144" formatCode="0.000">
                  <c:v>53.481224489795935</c:v>
                </c:pt>
                <c:pt idx="1145" formatCode="0.000">
                  <c:v>53.525102040816343</c:v>
                </c:pt>
                <c:pt idx="1146" formatCode="0.000">
                  <c:v>53.565102040816349</c:v>
                </c:pt>
                <c:pt idx="1147" formatCode="0.000">
                  <c:v>53.619183673469401</c:v>
                </c:pt>
                <c:pt idx="1148" formatCode="0.000">
                  <c:v>53.668367346938787</c:v>
                </c:pt>
                <c:pt idx="1149" formatCode="0.000">
                  <c:v>53.718979591836735</c:v>
                </c:pt>
                <c:pt idx="1150" formatCode="0.000">
                  <c:v>53.755510204081631</c:v>
                </c:pt>
                <c:pt idx="1151" formatCode="0.000">
                  <c:v>53.796530612244894</c:v>
                </c:pt>
                <c:pt idx="1152" formatCode="0.000">
                  <c:v>53.840612244897962</c:v>
                </c:pt>
                <c:pt idx="1153" formatCode="0.000">
                  <c:v>53.881224489795912</c:v>
                </c:pt>
                <c:pt idx="1154" formatCode="0.000">
                  <c:v>53.929387755102042</c:v>
                </c:pt>
                <c:pt idx="1155" formatCode="0.000">
                  <c:v>53.988979591836724</c:v>
                </c:pt>
                <c:pt idx="1156" formatCode="0.000">
                  <c:v>54.05469387755101</c:v>
                </c:pt>
                <c:pt idx="1157" formatCode="0.000">
                  <c:v>54.061224489795897</c:v>
                </c:pt>
                <c:pt idx="1158" formatCode="0.000">
                  <c:v>54.046938775510192</c:v>
                </c:pt>
                <c:pt idx="1159" formatCode="0.000">
                  <c:v>54.062653061224474</c:v>
                </c:pt>
                <c:pt idx="1160" formatCode="0.000">
                  <c:v>54.070204081632646</c:v>
                </c:pt>
                <c:pt idx="1161" formatCode="0.000">
                  <c:v>54.067755102040813</c:v>
                </c:pt>
                <c:pt idx="1162" formatCode="0.000">
                  <c:v>54.064897959183668</c:v>
                </c:pt>
                <c:pt idx="1163" formatCode="0.000">
                  <c:v>54.089387755102031</c:v>
                </c:pt>
                <c:pt idx="1164" formatCode="0.000">
                  <c:v>54.122653061224483</c:v>
                </c:pt>
                <c:pt idx="1165" formatCode="0.000">
                  <c:v>54.14244897959184</c:v>
                </c:pt>
                <c:pt idx="1166" formatCode="0.000">
                  <c:v>54.176122448979605</c:v>
                </c:pt>
                <c:pt idx="1167" formatCode="0.000">
                  <c:v>54.201428571428579</c:v>
                </c:pt>
                <c:pt idx="1168" formatCode="0.000">
                  <c:v>54.207755102040821</c:v>
                </c:pt>
                <c:pt idx="1169" formatCode="0.000">
                  <c:v>54.209795918367348</c:v>
                </c:pt>
                <c:pt idx="1170" formatCode="0.000">
                  <c:v>54.237551020408169</c:v>
                </c:pt>
                <c:pt idx="1171" formatCode="0.000">
                  <c:v>54.258571428571436</c:v>
                </c:pt>
                <c:pt idx="1172" formatCode="0.000">
                  <c:v>54.265714285714296</c:v>
                </c:pt>
                <c:pt idx="1173" formatCode="0.000">
                  <c:v>54.299387755102039</c:v>
                </c:pt>
                <c:pt idx="1174" formatCode="0.000">
                  <c:v>54.314489795918377</c:v>
                </c:pt>
                <c:pt idx="1175" formatCode="0.000">
                  <c:v>54.301020408163275</c:v>
                </c:pt>
                <c:pt idx="1176" formatCode="0.000">
                  <c:v>54.278163265306134</c:v>
                </c:pt>
                <c:pt idx="1177" formatCode="0.000">
                  <c:v>54.268571428571434</c:v>
                </c:pt>
                <c:pt idx="1178" formatCode="0.000">
                  <c:v>54.265306122448976</c:v>
                </c:pt>
                <c:pt idx="1179" formatCode="0.000">
                  <c:v>54.26408163265306</c:v>
                </c:pt>
                <c:pt idx="1180" formatCode="0.000">
                  <c:v>54.267346938775518</c:v>
                </c:pt>
                <c:pt idx="1181" formatCode="0.000">
                  <c:v>54.238775510204079</c:v>
                </c:pt>
                <c:pt idx="1182" formatCode="0.000">
                  <c:v>54.191836734693872</c:v>
                </c:pt>
                <c:pt idx="1183" formatCode="0.000">
                  <c:v>54.144693877551013</c:v>
                </c:pt>
                <c:pt idx="1184" formatCode="0.000">
                  <c:v>54.088367346938767</c:v>
                </c:pt>
                <c:pt idx="1185" formatCode="0.000">
                  <c:v>54.030612244897952</c:v>
                </c:pt>
                <c:pt idx="1186" formatCode="0.000">
                  <c:v>53.959999999999987</c:v>
                </c:pt>
                <c:pt idx="1187" formatCode="0.000">
                  <c:v>53.87714285714285</c:v>
                </c:pt>
                <c:pt idx="1188" formatCode="0.000">
                  <c:v>53.821836734693868</c:v>
                </c:pt>
                <c:pt idx="1189" formatCode="0.000">
                  <c:v>53.768775510204073</c:v>
                </c:pt>
                <c:pt idx="1190" formatCode="0.000">
                  <c:v>53.731020408163268</c:v>
                </c:pt>
                <c:pt idx="1191" formatCode="0.000">
                  <c:v>53.703061224489801</c:v>
                </c:pt>
                <c:pt idx="1192" formatCode="0.000">
                  <c:v>53.66857142857144</c:v>
                </c:pt>
                <c:pt idx="1193" formatCode="0.000">
                  <c:v>53.630000000000017</c:v>
                </c:pt>
                <c:pt idx="1194" formatCode="0.000">
                  <c:v>53.603469387755112</c:v>
                </c:pt>
                <c:pt idx="1195" formatCode="0.000">
                  <c:v>53.584489795918387</c:v>
                </c:pt>
                <c:pt idx="1196" formatCode="0.000">
                  <c:v>53.563673469387766</c:v>
                </c:pt>
                <c:pt idx="1197" formatCode="0.000">
                  <c:v>53.556938775510204</c:v>
                </c:pt>
                <c:pt idx="1198" formatCode="0.000">
                  <c:v>53.545306122448977</c:v>
                </c:pt>
                <c:pt idx="1199" formatCode="0.000">
                  <c:v>53.534897959183674</c:v>
                </c:pt>
                <c:pt idx="1200" formatCode="0.000">
                  <c:v>53.52693877551021</c:v>
                </c:pt>
                <c:pt idx="1201" formatCode="0.000">
                  <c:v>53.516734693877552</c:v>
                </c:pt>
                <c:pt idx="1202" formatCode="0.000">
                  <c:v>53.519183673469399</c:v>
                </c:pt>
                <c:pt idx="1203" formatCode="0.000">
                  <c:v>53.515102040816338</c:v>
                </c:pt>
                <c:pt idx="1204" formatCode="0.000">
                  <c:v>53.517346938775518</c:v>
                </c:pt>
                <c:pt idx="1205" formatCode="0.000">
                  <c:v>53.509795918367367</c:v>
                </c:pt>
                <c:pt idx="1206" formatCode="0.000">
                  <c:v>53.491836734693891</c:v>
                </c:pt>
                <c:pt idx="1207" formatCode="0.000">
                  <c:v>53.509591836734707</c:v>
                </c:pt>
                <c:pt idx="1208" formatCode="0.000">
                  <c:v>53.515714285714303</c:v>
                </c:pt>
                <c:pt idx="1209" formatCode="0.000">
                  <c:v>53.513265306122463</c:v>
                </c:pt>
                <c:pt idx="1210" formatCode="0.000">
                  <c:v>53.524489795918385</c:v>
                </c:pt>
                <c:pt idx="1211" formatCode="0.000">
                  <c:v>53.541632653061235</c:v>
                </c:pt>
                <c:pt idx="1212" formatCode="0.000">
                  <c:v>53.543265306122457</c:v>
                </c:pt>
                <c:pt idx="1213" formatCode="0.000">
                  <c:v>53.556734693877559</c:v>
                </c:pt>
                <c:pt idx="1214" formatCode="0.000">
                  <c:v>53.590816326530614</c:v>
                </c:pt>
                <c:pt idx="1215" formatCode="0.000">
                  <c:v>53.623673469387754</c:v>
                </c:pt>
                <c:pt idx="1216" formatCode="0.000">
                  <c:v>53.648163265306117</c:v>
                </c:pt>
                <c:pt idx="1217" formatCode="0.000">
                  <c:v>53.679387755102042</c:v>
                </c:pt>
                <c:pt idx="1218" formatCode="0.000">
                  <c:v>53.711224489795917</c:v>
                </c:pt>
                <c:pt idx="1219" formatCode="0.000">
                  <c:v>53.721224489795915</c:v>
                </c:pt>
                <c:pt idx="1220" formatCode="0.000">
                  <c:v>53.744081632653064</c:v>
                </c:pt>
                <c:pt idx="1221" formatCode="0.000">
                  <c:v>53.767346938775496</c:v>
                </c:pt>
                <c:pt idx="1222" formatCode="0.000">
                  <c:v>53.768367346938774</c:v>
                </c:pt>
                <c:pt idx="1223" formatCode="0.000">
                  <c:v>53.769591836734698</c:v>
                </c:pt>
                <c:pt idx="1224" formatCode="0.000">
                  <c:v>53.779795918367348</c:v>
                </c:pt>
                <c:pt idx="1225" formatCode="0.000">
                  <c:v>53.79571428571429</c:v>
                </c:pt>
                <c:pt idx="1226" formatCode="0.000">
                  <c:v>53.835102040816338</c:v>
                </c:pt>
                <c:pt idx="1227" formatCode="0.000">
                  <c:v>53.867551020408179</c:v>
                </c:pt>
                <c:pt idx="1228" formatCode="0.000">
                  <c:v>53.9022448979592</c:v>
                </c:pt>
                <c:pt idx="1229" formatCode="0.000">
                  <c:v>53.945102040816344</c:v>
                </c:pt>
                <c:pt idx="1230" formatCode="0.000">
                  <c:v>54.01775510204083</c:v>
                </c:pt>
                <c:pt idx="1231" formatCode="0.000">
                  <c:v>54.107551020408181</c:v>
                </c:pt>
                <c:pt idx="1232" formatCode="0.000">
                  <c:v>54.192040816326546</c:v>
                </c:pt>
                <c:pt idx="1233" formatCode="0.000">
                  <c:v>54.291632653061242</c:v>
                </c:pt>
                <c:pt idx="1234" formatCode="0.000">
                  <c:v>54.401836734693894</c:v>
                </c:pt>
                <c:pt idx="1235" formatCode="0.000">
                  <c:v>54.524081632653079</c:v>
                </c:pt>
                <c:pt idx="1236" formatCode="0.000">
                  <c:v>54.645918367346958</c:v>
                </c:pt>
                <c:pt idx="1237" formatCode="0.000">
                  <c:v>54.749387755102056</c:v>
                </c:pt>
                <c:pt idx="1238" formatCode="0.000">
                  <c:v>54.838775510204087</c:v>
                </c:pt>
                <c:pt idx="1239" formatCode="0.000">
                  <c:v>54.927346938775521</c:v>
                </c:pt>
                <c:pt idx="1240" formatCode="0.000">
                  <c:v>55.046326530612255</c:v>
                </c:pt>
                <c:pt idx="1241" formatCode="0.000">
                  <c:v>55.154897959183685</c:v>
                </c:pt>
                <c:pt idx="1242" formatCode="0.000">
                  <c:v>55.264285714285727</c:v>
                </c:pt>
                <c:pt idx="1243" formatCode="0.000">
                  <c:v>55.384285714285724</c:v>
                </c:pt>
                <c:pt idx="1244" formatCode="0.000">
                  <c:v>55.503061224489805</c:v>
                </c:pt>
                <c:pt idx="1245" formatCode="0.000">
                  <c:v>55.620816326530615</c:v>
                </c:pt>
                <c:pt idx="1246" formatCode="0.000">
                  <c:v>55.72877551020408</c:v>
                </c:pt>
                <c:pt idx="1247" formatCode="0.000">
                  <c:v>55.847142857142863</c:v>
                </c:pt>
                <c:pt idx="1248" formatCode="0.000">
                  <c:v>55.973469387755109</c:v>
                </c:pt>
                <c:pt idx="1249" formatCode="0.000">
                  <c:v>56.08897959183674</c:v>
                </c:pt>
                <c:pt idx="1250" formatCode="0.000">
                  <c:v>56.207551020408168</c:v>
                </c:pt>
                <c:pt idx="1251" formatCode="0.000">
                  <c:v>56.323061224489805</c:v>
                </c:pt>
                <c:pt idx="1252" formatCode="0.000">
                  <c:v>56.432040816326534</c:v>
                </c:pt>
                <c:pt idx="1253" formatCode="0.000">
                  <c:v>56.541224489795916</c:v>
                </c:pt>
                <c:pt idx="1254" formatCode="0.000">
                  <c:v>56.6565306122449</c:v>
                </c:pt>
                <c:pt idx="1255" formatCode="0.000">
                  <c:v>56.786326530612243</c:v>
                </c:pt>
                <c:pt idx="1256" formatCode="0.000">
                  <c:v>56.882244897959183</c:v>
                </c:pt>
                <c:pt idx="1257" formatCode="0.000">
                  <c:v>56.957346938775515</c:v>
                </c:pt>
                <c:pt idx="1258" formatCode="0.000">
                  <c:v>57.022244897959176</c:v>
                </c:pt>
                <c:pt idx="1259" formatCode="0.000">
                  <c:v>57.03265306122448</c:v>
                </c:pt>
                <c:pt idx="1260" formatCode="0.000">
                  <c:v>57.013673469387747</c:v>
                </c:pt>
                <c:pt idx="1261" formatCode="0.000">
                  <c:v>57.054693877551017</c:v>
                </c:pt>
                <c:pt idx="1262" formatCode="0.000">
                  <c:v>57.090204081632642</c:v>
                </c:pt>
                <c:pt idx="1263" formatCode="0.000">
                  <c:v>57.170816326530613</c:v>
                </c:pt>
                <c:pt idx="1264" formatCode="0.000">
                  <c:v>57.208163265306112</c:v>
                </c:pt>
                <c:pt idx="1265" formatCode="0.000">
                  <c:v>57.219387755102034</c:v>
                </c:pt>
                <c:pt idx="1266" formatCode="0.000">
                  <c:v>57.154897959183664</c:v>
                </c:pt>
                <c:pt idx="1267" formatCode="0.000">
                  <c:v>57.120408163265296</c:v>
                </c:pt>
                <c:pt idx="1268" formatCode="0.000">
                  <c:v>57.057959183673461</c:v>
                </c:pt>
                <c:pt idx="1269" formatCode="0.000">
                  <c:v>56.890816326530604</c:v>
                </c:pt>
                <c:pt idx="1270" formatCode="0.000">
                  <c:v>56.757755102040797</c:v>
                </c:pt>
                <c:pt idx="1271" formatCode="0.000">
                  <c:v>56.565306122448966</c:v>
                </c:pt>
                <c:pt idx="1272" formatCode="0.000">
                  <c:v>56.412448979591829</c:v>
                </c:pt>
                <c:pt idx="1273" formatCode="0.000">
                  <c:v>56.22061224489795</c:v>
                </c:pt>
                <c:pt idx="1274" formatCode="0.000">
                  <c:v>55.965102040816319</c:v>
                </c:pt>
                <c:pt idx="1275" formatCode="0.000">
                  <c:v>55.617346938775512</c:v>
                </c:pt>
                <c:pt idx="1276" formatCode="0.000">
                  <c:v>55.250612244897951</c:v>
                </c:pt>
                <c:pt idx="1277" formatCode="0.000">
                  <c:v>54.910204081632649</c:v>
                </c:pt>
                <c:pt idx="1278" formatCode="0.000">
                  <c:v>54.616530612244901</c:v>
                </c:pt>
                <c:pt idx="1279" formatCode="0.000">
                  <c:v>54.363265306122443</c:v>
                </c:pt>
                <c:pt idx="1280" formatCode="0.000">
                  <c:v>54.077346938775499</c:v>
                </c:pt>
                <c:pt idx="1281" formatCode="0.000">
                  <c:v>53.833673469387755</c:v>
                </c:pt>
                <c:pt idx="1282" formatCode="0.000">
                  <c:v>53.569999999999993</c:v>
                </c:pt>
                <c:pt idx="1283" formatCode="0.000">
                  <c:v>53.253877551020409</c:v>
                </c:pt>
                <c:pt idx="1284" formatCode="0.000">
                  <c:v>52.970612244897957</c:v>
                </c:pt>
                <c:pt idx="1285" formatCode="0.000">
                  <c:v>52.68795918367347</c:v>
                </c:pt>
                <c:pt idx="1286" formatCode="0.000">
                  <c:v>52.467346938775513</c:v>
                </c:pt>
                <c:pt idx="1287" formatCode="0.000">
                  <c:v>52.253061224489798</c:v>
                </c:pt>
                <c:pt idx="1288" formatCode="0.000">
                  <c:v>52.065510204081633</c:v>
                </c:pt>
                <c:pt idx="1289" formatCode="0.000">
                  <c:v>51.864285714285714</c:v>
                </c:pt>
                <c:pt idx="1290" formatCode="0.000">
                  <c:v>51.630204081632655</c:v>
                </c:pt>
                <c:pt idx="1291" formatCode="0.000">
                  <c:v>51.433061224489791</c:v>
                </c:pt>
                <c:pt idx="1292" formatCode="0.000">
                  <c:v>51.203877551020412</c:v>
                </c:pt>
                <c:pt idx="1293" formatCode="0.000">
                  <c:v>50.964081632653055</c:v>
                </c:pt>
                <c:pt idx="1294" formatCode="0.000">
                  <c:v>50.741020408163266</c:v>
                </c:pt>
                <c:pt idx="1295" formatCode="0.000">
                  <c:v>50.482653061224489</c:v>
                </c:pt>
                <c:pt idx="1296" formatCode="0.000">
                  <c:v>50.189387755102047</c:v>
                </c:pt>
                <c:pt idx="1297" formatCode="0.000">
                  <c:v>49.905510204081629</c:v>
                </c:pt>
                <c:pt idx="1298" formatCode="0.000">
                  <c:v>49.612857142857138</c:v>
                </c:pt>
                <c:pt idx="1299" formatCode="0.000">
                  <c:v>49.32346938775509</c:v>
                </c:pt>
                <c:pt idx="1300" formatCode="0.000">
                  <c:v>49.054693877551017</c:v>
                </c:pt>
                <c:pt idx="1301" formatCode="0.000">
                  <c:v>48.793673469387755</c:v>
                </c:pt>
                <c:pt idx="1302" formatCode="0.000">
                  <c:v>48.535510204081618</c:v>
                </c:pt>
                <c:pt idx="1303" formatCode="0.000">
                  <c:v>48.253265306122437</c:v>
                </c:pt>
                <c:pt idx="1304" formatCode="0.000">
                  <c:v>47.956734693877536</c:v>
                </c:pt>
                <c:pt idx="1305" formatCode="0.000">
                  <c:v>47.681020408163242</c:v>
                </c:pt>
                <c:pt idx="1306" formatCode="0.000">
                  <c:v>47.427551020408153</c:v>
                </c:pt>
                <c:pt idx="1307" formatCode="0.000">
                  <c:v>47.165306122448975</c:v>
                </c:pt>
                <c:pt idx="1308" formatCode="0.000">
                  <c:v>46.954489795918356</c:v>
                </c:pt>
                <c:pt idx="1309" formatCode="0.000">
                  <c:v>46.803877551020406</c:v>
                </c:pt>
                <c:pt idx="1310" formatCode="0.000">
                  <c:v>46.592040816326524</c:v>
                </c:pt>
                <c:pt idx="1311" formatCode="0.000">
                  <c:v>46.362653061224499</c:v>
                </c:pt>
                <c:pt idx="1312" formatCode="0.000">
                  <c:v>46.056938775510211</c:v>
                </c:pt>
                <c:pt idx="1313" formatCode="0.000">
                  <c:v>45.79081632653061</c:v>
                </c:pt>
                <c:pt idx="1314" formatCode="0.000">
                  <c:v>45.54591836734695</c:v>
                </c:pt>
                <c:pt idx="1315" formatCode="0.000">
                  <c:v>45.40530612244897</c:v>
                </c:pt>
                <c:pt idx="1316" formatCode="0.000">
                  <c:v>45.219183673469381</c:v>
                </c:pt>
                <c:pt idx="1317" formatCode="0.000">
                  <c:v>45.090204081632642</c:v>
                </c:pt>
                <c:pt idx="1318" formatCode="0.000">
                  <c:v>45.049591836734692</c:v>
                </c:pt>
                <c:pt idx="1319" formatCode="0.000">
                  <c:v>44.979387755102046</c:v>
                </c:pt>
                <c:pt idx="1320" formatCode="0.000">
                  <c:v>44.996326530612258</c:v>
                </c:pt>
                <c:pt idx="1321" formatCode="0.000">
                  <c:v>44.987142857142864</c:v>
                </c:pt>
                <c:pt idx="1322" formatCode="0.000">
                  <c:v>45.032857142857154</c:v>
                </c:pt>
                <c:pt idx="1323" formatCode="0.000">
                  <c:v>45.131836734693877</c:v>
                </c:pt>
                <c:pt idx="1324" formatCode="0.000">
                  <c:v>45.309183673469377</c:v>
                </c:pt>
                <c:pt idx="1325" formatCode="0.000">
                  <c:v>45.499795918367333</c:v>
                </c:pt>
                <c:pt idx="1326" formatCode="0.000">
                  <c:v>45.672244897959175</c:v>
                </c:pt>
                <c:pt idx="1327" formatCode="0.000">
                  <c:v>45.801020408163254</c:v>
                </c:pt>
                <c:pt idx="1328" formatCode="0.000">
                  <c:v>45.898979591836735</c:v>
                </c:pt>
                <c:pt idx="1329" formatCode="0.000">
                  <c:v>46.042653061224492</c:v>
                </c:pt>
                <c:pt idx="1330" formatCode="0.000">
                  <c:v>46.124285714285719</c:v>
                </c:pt>
                <c:pt idx="1331" formatCode="0.000">
                  <c:v>46.213469387755104</c:v>
                </c:pt>
                <c:pt idx="1332" formatCode="0.000">
                  <c:v>46.283265306122452</c:v>
                </c:pt>
                <c:pt idx="1333" formatCode="0.000">
                  <c:v>46.316938775510202</c:v>
                </c:pt>
                <c:pt idx="1334" formatCode="0.000">
                  <c:v>46.367346938775512</c:v>
                </c:pt>
                <c:pt idx="1335" formatCode="0.000">
                  <c:v>46.369387755102039</c:v>
                </c:pt>
                <c:pt idx="1336" formatCode="0.000">
                  <c:v>46.370816326530615</c:v>
                </c:pt>
                <c:pt idx="1337" formatCode="0.000">
                  <c:v>46.353877551020403</c:v>
                </c:pt>
                <c:pt idx="1338" formatCode="0.000">
                  <c:v>46.29306122448979</c:v>
                </c:pt>
                <c:pt idx="1339" formatCode="0.000">
                  <c:v>46.268775510204073</c:v>
                </c:pt>
                <c:pt idx="1340" formatCode="0.000">
                  <c:v>46.201836734693863</c:v>
                </c:pt>
                <c:pt idx="1341" formatCode="0.000">
                  <c:v>46.141428571428555</c:v>
                </c:pt>
                <c:pt idx="1342" formatCode="0.000">
                  <c:v>46.097142857142842</c:v>
                </c:pt>
                <c:pt idx="1343" formatCode="0.000">
                  <c:v>46.005510204081624</c:v>
                </c:pt>
                <c:pt idx="1344" formatCode="0.000">
                  <c:v>45.961224489795917</c:v>
                </c:pt>
                <c:pt idx="1345" formatCode="0.000">
                  <c:v>45.946938775510198</c:v>
                </c:pt>
                <c:pt idx="1346" formatCode="0.000">
                  <c:v>45.929387755102042</c:v>
                </c:pt>
                <c:pt idx="1347" formatCode="0.000">
                  <c:v>45.92551020408164</c:v>
                </c:pt>
                <c:pt idx="1348" formatCode="0.000">
                  <c:v>45.921428571428571</c:v>
                </c:pt>
                <c:pt idx="1349" formatCode="0.000">
                  <c:v>45.889387755102049</c:v>
                </c:pt>
                <c:pt idx="1350" formatCode="0.000">
                  <c:v>45.855306122448987</c:v>
                </c:pt>
                <c:pt idx="1351" formatCode="0.000">
                  <c:v>45.789795918367346</c:v>
                </c:pt>
                <c:pt idx="1352" formatCode="0.000">
                  <c:v>45.774693877551009</c:v>
                </c:pt>
                <c:pt idx="1353" formatCode="0.000">
                  <c:v>45.767551020408156</c:v>
                </c:pt>
                <c:pt idx="1354" formatCode="0.000">
                  <c:v>45.782448979591834</c:v>
                </c:pt>
                <c:pt idx="1355" formatCode="0.000">
                  <c:v>45.802857142857135</c:v>
                </c:pt>
                <c:pt idx="1356" formatCode="0.000">
                  <c:v>45.831428571428567</c:v>
                </c:pt>
                <c:pt idx="1357" formatCode="0.000">
                  <c:v>45.876734693877559</c:v>
                </c:pt>
                <c:pt idx="1358" formatCode="0.000">
                  <c:v>45.876938775510212</c:v>
                </c:pt>
                <c:pt idx="1359" formatCode="0.000">
                  <c:v>45.910816326530615</c:v>
                </c:pt>
                <c:pt idx="1360" formatCode="0.000">
                  <c:v>45.985510204081635</c:v>
                </c:pt>
                <c:pt idx="1361" formatCode="0.000">
                  <c:v>46.074081632653076</c:v>
                </c:pt>
                <c:pt idx="1362" formatCode="0.000">
                  <c:v>46.171836734693876</c:v>
                </c:pt>
                <c:pt idx="1363" formatCode="0.000">
                  <c:v>46.278367346938779</c:v>
                </c:pt>
                <c:pt idx="1364" formatCode="0.000">
                  <c:v>46.343877551020405</c:v>
                </c:pt>
                <c:pt idx="1365" formatCode="0.000">
                  <c:v>46.414897959183669</c:v>
                </c:pt>
                <c:pt idx="1366" formatCode="0.000">
                  <c:v>46.451632653061225</c:v>
                </c:pt>
                <c:pt idx="1367" formatCode="0.000">
                  <c:v>46.493877551020404</c:v>
                </c:pt>
                <c:pt idx="1368" formatCode="0.000">
                  <c:v>46.51979591836735</c:v>
                </c:pt>
                <c:pt idx="1369" formatCode="0.000">
                  <c:v>46.532040816326536</c:v>
                </c:pt>
                <c:pt idx="1370" formatCode="0.000">
                  <c:v>46.542040816326526</c:v>
                </c:pt>
                <c:pt idx="1371" formatCode="0.000">
                  <c:v>46.550000000000004</c:v>
                </c:pt>
                <c:pt idx="1372" formatCode="0.000">
                  <c:v>46.572857142857153</c:v>
                </c:pt>
                <c:pt idx="1373" formatCode="0.000">
                  <c:v>46.587755102040823</c:v>
                </c:pt>
                <c:pt idx="1374" formatCode="0.000">
                  <c:v>46.608775510204083</c:v>
                </c:pt>
                <c:pt idx="1375" formatCode="0.000">
                  <c:v>46.619591836734685</c:v>
                </c:pt>
                <c:pt idx="1376" formatCode="0.000">
                  <c:v>46.628979591836739</c:v>
                </c:pt>
                <c:pt idx="1377" formatCode="0.000">
                  <c:v>46.615918367346936</c:v>
                </c:pt>
                <c:pt idx="1378" formatCode="0.000">
                  <c:v>46.582448979591838</c:v>
                </c:pt>
                <c:pt idx="1379" formatCode="0.000">
                  <c:v>46.570612244897973</c:v>
                </c:pt>
                <c:pt idx="1380" formatCode="0.000">
                  <c:v>46.545102040816325</c:v>
                </c:pt>
                <c:pt idx="1381" formatCode="0.000">
                  <c:v>46.58204081632654</c:v>
                </c:pt>
                <c:pt idx="1382" formatCode="0.000">
                  <c:v>46.616326530612248</c:v>
                </c:pt>
                <c:pt idx="1383" formatCode="0.000">
                  <c:v>46.650408163265311</c:v>
                </c:pt>
                <c:pt idx="1384" formatCode="0.000">
                  <c:v>46.673673469387758</c:v>
                </c:pt>
                <c:pt idx="1385" formatCode="0.000">
                  <c:v>46.705918367346939</c:v>
                </c:pt>
                <c:pt idx="1386" formatCode="0.000">
                  <c:v>46.731224489795927</c:v>
                </c:pt>
                <c:pt idx="1387" formatCode="0.000">
                  <c:v>46.808979591836732</c:v>
                </c:pt>
                <c:pt idx="1388" formatCode="0.000">
                  <c:v>46.886326530612244</c:v>
                </c:pt>
                <c:pt idx="1389" formatCode="0.000">
                  <c:v>46.957346938775515</c:v>
                </c:pt>
                <c:pt idx="1390" formatCode="0.000">
                  <c:v>47.090816326530614</c:v>
                </c:pt>
                <c:pt idx="1391" formatCode="0.000">
                  <c:v>47.204081632653072</c:v>
                </c:pt>
                <c:pt idx="1392" formatCode="0.000">
                  <c:v>47.35653061224491</c:v>
                </c:pt>
                <c:pt idx="1393" formatCode="0.000">
                  <c:v>47.467755102040819</c:v>
                </c:pt>
                <c:pt idx="1394" formatCode="0.000">
                  <c:v>47.580204081632658</c:v>
                </c:pt>
                <c:pt idx="1395" formatCode="0.000">
                  <c:v>47.685918367346943</c:v>
                </c:pt>
                <c:pt idx="1396" formatCode="0.000">
                  <c:v>47.81204081632653</c:v>
                </c:pt>
                <c:pt idx="1397" formatCode="0.000">
                  <c:v>47.923877551020411</c:v>
                </c:pt>
                <c:pt idx="1398" formatCode="0.000">
                  <c:v>48.043061224489804</c:v>
                </c:pt>
                <c:pt idx="1399" formatCode="0.000">
                  <c:v>48.159795918367358</c:v>
                </c:pt>
                <c:pt idx="1400" formatCode="0.000">
                  <c:v>48.295306122448984</c:v>
                </c:pt>
                <c:pt idx="1401" formatCode="0.000">
                  <c:v>48.403469387755109</c:v>
                </c:pt>
                <c:pt idx="1402" formatCode="0.000">
                  <c:v>48.481836734693893</c:v>
                </c:pt>
                <c:pt idx="1403" formatCode="0.000">
                  <c:v>48.559183673469391</c:v>
                </c:pt>
                <c:pt idx="1404" formatCode="0.000">
                  <c:v>48.596122448979592</c:v>
                </c:pt>
                <c:pt idx="1405" formatCode="0.000">
                  <c:v>48.648163265306117</c:v>
                </c:pt>
                <c:pt idx="1406" formatCode="0.000">
                  <c:v>48.686938775510193</c:v>
                </c:pt>
                <c:pt idx="1407" formatCode="0.000">
                  <c:v>48.751428571428555</c:v>
                </c:pt>
                <c:pt idx="1408" formatCode="0.000">
                  <c:v>48.786530612244889</c:v>
                </c:pt>
                <c:pt idx="1409" formatCode="0.000">
                  <c:v>48.804693877551017</c:v>
                </c:pt>
                <c:pt idx="1410" formatCode="0.000">
                  <c:v>48.823061224489784</c:v>
                </c:pt>
                <c:pt idx="1411" formatCode="0.000">
                  <c:v>48.8408163265306</c:v>
                </c:pt>
                <c:pt idx="1412" formatCode="0.000">
                  <c:v>48.859183673469389</c:v>
                </c:pt>
                <c:pt idx="1413" formatCode="0.000">
                  <c:v>48.874693877551024</c:v>
                </c:pt>
                <c:pt idx="1414" formatCode="0.000">
                  <c:v>48.906122448979595</c:v>
                </c:pt>
                <c:pt idx="1415" formatCode="0.000">
                  <c:v>48.962653061224493</c:v>
                </c:pt>
                <c:pt idx="1416" formatCode="0.000">
                  <c:v>49.035510204081625</c:v>
                </c:pt>
                <c:pt idx="1417" formatCode="0.000">
                  <c:v>49.133265306122453</c:v>
                </c:pt>
                <c:pt idx="1418" formatCode="0.000">
                  <c:v>49.205306122448981</c:v>
                </c:pt>
                <c:pt idx="1419" formatCode="0.000">
                  <c:v>49.264489795918358</c:v>
                </c:pt>
                <c:pt idx="1420" formatCode="0.000">
                  <c:v>49.315714285714272</c:v>
                </c:pt>
                <c:pt idx="1421" formatCode="0.000">
                  <c:v>49.361224489795916</c:v>
                </c:pt>
                <c:pt idx="1422" formatCode="0.000">
                  <c:v>49.399999999999991</c:v>
                </c:pt>
                <c:pt idx="1423" formatCode="0.000">
                  <c:v>49.447346938775503</c:v>
                </c:pt>
                <c:pt idx="1424" formatCode="0.000">
                  <c:v>49.479183673469379</c:v>
                </c:pt>
                <c:pt idx="1425" formatCode="0.000">
                  <c:v>49.526122448979578</c:v>
                </c:pt>
                <c:pt idx="1426" formatCode="0.000">
                  <c:v>49.568367346938764</c:v>
                </c:pt>
                <c:pt idx="1427" formatCode="0.000">
                  <c:v>49.600816326530605</c:v>
                </c:pt>
                <c:pt idx="1428" formatCode="0.000">
                  <c:v>49.631020408163259</c:v>
                </c:pt>
                <c:pt idx="1429" formatCode="0.000">
                  <c:v>49.643061224489792</c:v>
                </c:pt>
                <c:pt idx="1430" formatCode="0.000">
                  <c:v>49.656734693877539</c:v>
                </c:pt>
                <c:pt idx="1431" formatCode="0.000">
                  <c:v>49.67265306122448</c:v>
                </c:pt>
                <c:pt idx="1432" formatCode="0.000">
                  <c:v>49.685918367346929</c:v>
                </c:pt>
                <c:pt idx="1433" formatCode="0.000">
                  <c:v>49.715306122448972</c:v>
                </c:pt>
                <c:pt idx="1434" formatCode="0.000">
                  <c:v>49.73591836734694</c:v>
                </c:pt>
                <c:pt idx="1435" formatCode="0.000">
                  <c:v>49.760612244897949</c:v>
                </c:pt>
                <c:pt idx="1436" formatCode="0.000">
                  <c:v>49.752857142857131</c:v>
                </c:pt>
                <c:pt idx="1437" formatCode="0.000">
                  <c:v>49.814897959183668</c:v>
                </c:pt>
                <c:pt idx="1438" formatCode="0.000">
                  <c:v>49.914081632653058</c:v>
                </c:pt>
                <c:pt idx="1439" formatCode="0.000">
                  <c:v>49.962857142857139</c:v>
                </c:pt>
                <c:pt idx="1440" formatCode="0.000">
                  <c:v>50.014489795918365</c:v>
                </c:pt>
                <c:pt idx="1441" formatCode="0.000">
                  <c:v>50.063673469387744</c:v>
                </c:pt>
                <c:pt idx="1442" formatCode="0.000">
                  <c:v>50.146122448979582</c:v>
                </c:pt>
                <c:pt idx="1443" formatCode="0.000">
                  <c:v>50.217346938775492</c:v>
                </c:pt>
                <c:pt idx="1444" formatCode="0.000">
                  <c:v>50.270612244897947</c:v>
                </c:pt>
                <c:pt idx="1445" formatCode="0.000">
                  <c:v>50.312857142857133</c:v>
                </c:pt>
                <c:pt idx="1446" formatCode="0.000">
                  <c:v>50.352857142857133</c:v>
                </c:pt>
                <c:pt idx="1447" formatCode="0.000">
                  <c:v>50.386122448979584</c:v>
                </c:pt>
                <c:pt idx="1448" formatCode="0.000">
                  <c:v>50.435714285714276</c:v>
                </c:pt>
                <c:pt idx="1449" formatCode="0.000">
                  <c:v>50.484285714285697</c:v>
                </c:pt>
                <c:pt idx="1450" formatCode="0.000">
                  <c:v>50.530204081632647</c:v>
                </c:pt>
                <c:pt idx="1451" formatCode="0.000">
                  <c:v>50.58142857142856</c:v>
                </c:pt>
                <c:pt idx="1452" formatCode="0.000">
                  <c:v>50.629999999999988</c:v>
                </c:pt>
                <c:pt idx="1453" formatCode="0.000">
                  <c:v>50.709591836734674</c:v>
                </c:pt>
                <c:pt idx="1454" formatCode="0.000">
                  <c:v>50.79285714285713</c:v>
                </c:pt>
                <c:pt idx="1455" formatCode="0.000">
                  <c:v>50.897551020408152</c:v>
                </c:pt>
                <c:pt idx="1456" formatCode="0.000">
                  <c:v>50.973265306122428</c:v>
                </c:pt>
                <c:pt idx="1457" formatCode="0.000">
                  <c:v>51.060204081632641</c:v>
                </c:pt>
                <c:pt idx="1458" formatCode="0.000">
                  <c:v>51.14102040816325</c:v>
                </c:pt>
                <c:pt idx="1459" formatCode="0.000">
                  <c:v>51.220000000000006</c:v>
                </c:pt>
                <c:pt idx="1460" formatCode="0.000">
                  <c:v>51.301428571428573</c:v>
                </c:pt>
                <c:pt idx="1461" formatCode="0.000">
                  <c:v>51.380816326530606</c:v>
                </c:pt>
                <c:pt idx="1462" formatCode="0.000">
                  <c:v>51.480816326530608</c:v>
                </c:pt>
                <c:pt idx="1463" formatCode="0.000">
                  <c:v>51.55224489795917</c:v>
                </c:pt>
                <c:pt idx="1464" formatCode="0.000">
                  <c:v>51.60959183673468</c:v>
                </c:pt>
                <c:pt idx="1465" formatCode="0.000">
                  <c:v>51.669387755102029</c:v>
                </c:pt>
                <c:pt idx="1466" formatCode="0.000">
                  <c:v>51.704489795918356</c:v>
                </c:pt>
                <c:pt idx="1467" formatCode="0.000">
                  <c:v>51.756326530612256</c:v>
                </c:pt>
                <c:pt idx="1468" formatCode="0.000">
                  <c:v>51.816734693877549</c:v>
                </c:pt>
                <c:pt idx="1469" formatCode="0.000">
                  <c:v>51.887142857142855</c:v>
                </c:pt>
                <c:pt idx="1470" formatCode="0.000">
                  <c:v>51.971428571428568</c:v>
                </c:pt>
                <c:pt idx="1471" formatCode="0.000">
                  <c:v>52.063469387755099</c:v>
                </c:pt>
                <c:pt idx="1472" formatCode="0.000">
                  <c:v>52.148979591836728</c:v>
                </c:pt>
                <c:pt idx="1473" formatCode="0.000">
                  <c:v>52.247959183673473</c:v>
                </c:pt>
                <c:pt idx="1474" formatCode="0.000">
                  <c:v>52.290408163265305</c:v>
                </c:pt>
                <c:pt idx="1475" formatCode="0.000">
                  <c:v>52.324285714285715</c:v>
                </c:pt>
                <c:pt idx="1476" formatCode="0.000">
                  <c:v>52.338979591836726</c:v>
                </c:pt>
                <c:pt idx="1477" formatCode="0.000">
                  <c:v>52.340204081632642</c:v>
                </c:pt>
                <c:pt idx="1478" formatCode="0.000">
                  <c:v>52.4038775510204</c:v>
                </c:pt>
                <c:pt idx="1479" formatCode="0.000">
                  <c:v>52.44836734693876</c:v>
                </c:pt>
                <c:pt idx="1480" formatCode="0.000">
                  <c:v>52.490204081632641</c:v>
                </c:pt>
                <c:pt idx="1481" formatCode="0.000">
                  <c:v>52.521632653061211</c:v>
                </c:pt>
                <c:pt idx="1482" formatCode="0.000">
                  <c:v>52.519183673469378</c:v>
                </c:pt>
                <c:pt idx="1483" formatCode="0.000">
                  <c:v>52.509591836734678</c:v>
                </c:pt>
                <c:pt idx="1484" formatCode="0.000">
                  <c:v>52.490612244897946</c:v>
                </c:pt>
                <c:pt idx="1485" formatCode="0.000">
                  <c:v>52.474897959183657</c:v>
                </c:pt>
                <c:pt idx="1486" formatCode="0.000">
                  <c:v>52.401020408163248</c:v>
                </c:pt>
                <c:pt idx="1487" formatCode="0.000">
                  <c:v>52.288979591836714</c:v>
                </c:pt>
                <c:pt idx="1488" formatCode="0.000">
                  <c:v>52.191020408163261</c:v>
                </c:pt>
                <c:pt idx="1489" formatCode="0.000">
                  <c:v>52.115102040816318</c:v>
                </c:pt>
                <c:pt idx="1490" formatCode="0.000">
                  <c:v>52.014693877551018</c:v>
                </c:pt>
                <c:pt idx="1491" formatCode="0.000">
                  <c:v>51.918775510204078</c:v>
                </c:pt>
                <c:pt idx="1492" formatCode="0.000">
                  <c:v>51.805918367346941</c:v>
                </c:pt>
                <c:pt idx="1493" formatCode="0.000">
                  <c:v>51.721632653061228</c:v>
                </c:pt>
                <c:pt idx="1494" formatCode="0.000">
                  <c:v>51.636530612244911</c:v>
                </c:pt>
                <c:pt idx="1495" formatCode="0.000">
                  <c:v>51.556938775510211</c:v>
                </c:pt>
                <c:pt idx="1496" formatCode="0.000">
                  <c:v>51.482040816326545</c:v>
                </c:pt>
                <c:pt idx="1497" formatCode="0.000">
                  <c:v>51.409183673469407</c:v>
                </c:pt>
                <c:pt idx="1498" formatCode="0.000">
                  <c:v>51.347755102040843</c:v>
                </c:pt>
                <c:pt idx="1499" formatCode="0.000">
                  <c:v>51.286530612244917</c:v>
                </c:pt>
                <c:pt idx="1500" formatCode="0.000">
                  <c:v>51.245714285714293</c:v>
                </c:pt>
                <c:pt idx="1501" formatCode="0.000">
                  <c:v>51.210204081632654</c:v>
                </c:pt>
                <c:pt idx="1502" formatCode="0.000">
                  <c:v>51.18122448979593</c:v>
                </c:pt>
                <c:pt idx="1503" formatCode="0.000">
                  <c:v>51.130000000000017</c:v>
                </c:pt>
                <c:pt idx="1504" formatCode="0.000">
                  <c:v>51.054081632653073</c:v>
                </c:pt>
                <c:pt idx="1505" formatCode="0.000">
                  <c:v>51.008775510204096</c:v>
                </c:pt>
                <c:pt idx="1506" formatCode="0.000">
                  <c:v>50.946122448979601</c:v>
                </c:pt>
                <c:pt idx="1507" formatCode="0.000">
                  <c:v>50.891020408163278</c:v>
                </c:pt>
                <c:pt idx="1508" formatCode="0.000">
                  <c:v>50.839795918367365</c:v>
                </c:pt>
                <c:pt idx="1509" formatCode="0.000">
                  <c:v>50.785918367346959</c:v>
                </c:pt>
                <c:pt idx="1510" formatCode="0.000">
                  <c:v>50.722653061224506</c:v>
                </c:pt>
                <c:pt idx="1511" formatCode="0.000">
                  <c:v>50.623673469387775</c:v>
                </c:pt>
                <c:pt idx="1512" formatCode="0.000">
                  <c:v>50.559183673469398</c:v>
                </c:pt>
                <c:pt idx="1513" formatCode="0.000">
                  <c:v>50.494489795918383</c:v>
                </c:pt>
                <c:pt idx="1514" formatCode="0.000">
                  <c:v>50.417755102040822</c:v>
                </c:pt>
                <c:pt idx="1515" formatCode="0.000">
                  <c:v>50.359183673469396</c:v>
                </c:pt>
                <c:pt idx="1516" formatCode="0.000">
                  <c:v>50.318979591836744</c:v>
                </c:pt>
                <c:pt idx="1517" formatCode="0.000">
                  <c:v>50.289591836734694</c:v>
                </c:pt>
                <c:pt idx="1518" formatCode="0.000">
                  <c:v>50.236938775510204</c:v>
                </c:pt>
                <c:pt idx="1519" formatCode="0.000">
                  <c:v>50.181428571428576</c:v>
                </c:pt>
                <c:pt idx="1520" formatCode="0.000">
                  <c:v>50.115102040816332</c:v>
                </c:pt>
                <c:pt idx="1521" formatCode="0.000">
                  <c:v>50.031836734693883</c:v>
                </c:pt>
                <c:pt idx="1522" formatCode="0.000">
                  <c:v>49.954081632653072</c:v>
                </c:pt>
                <c:pt idx="1523" formatCode="0.000">
                  <c:v>49.922653061224509</c:v>
                </c:pt>
                <c:pt idx="1524" formatCode="0.000">
                  <c:v>49.903469387755109</c:v>
                </c:pt>
                <c:pt idx="1525" formatCode="0.000">
                  <c:v>49.90448979591838</c:v>
                </c:pt>
                <c:pt idx="1526" formatCode="0.000">
                  <c:v>49.921836734693876</c:v>
                </c:pt>
                <c:pt idx="1527" formatCode="0.000">
                  <c:v>49.920204081632654</c:v>
                </c:pt>
                <c:pt idx="1528" formatCode="0.000">
                  <c:v>49.944489795918372</c:v>
                </c:pt>
                <c:pt idx="1529" formatCode="0.000">
                  <c:v>49.97326530612245</c:v>
                </c:pt>
                <c:pt idx="1530" formatCode="0.000">
                  <c:v>50.011224489795914</c:v>
                </c:pt>
                <c:pt idx="1531" formatCode="0.000">
                  <c:v>50.08897959183674</c:v>
                </c:pt>
                <c:pt idx="1532" formatCode="0.000">
                  <c:v>50.194081632653059</c:v>
                </c:pt>
                <c:pt idx="1533" formatCode="0.000">
                  <c:v>50.288775510204083</c:v>
                </c:pt>
                <c:pt idx="1534" formatCode="0.000">
                  <c:v>50.371020408163261</c:v>
                </c:pt>
                <c:pt idx="1535" formatCode="0.000">
                  <c:v>50.443673469387761</c:v>
                </c:pt>
                <c:pt idx="1536" formatCode="0.000">
                  <c:v>50.531836734693883</c:v>
                </c:pt>
                <c:pt idx="1537" formatCode="0.000">
                  <c:v>50.621836734693886</c:v>
                </c:pt>
                <c:pt idx="1538" formatCode="0.000">
                  <c:v>50.703265306122461</c:v>
                </c:pt>
                <c:pt idx="1539" formatCode="0.000">
                  <c:v>50.79693877551022</c:v>
                </c:pt>
                <c:pt idx="1540" formatCode="0.000">
                  <c:v>50.879183673469399</c:v>
                </c:pt>
                <c:pt idx="1541" formatCode="0.000">
                  <c:v>50.985306122448975</c:v>
                </c:pt>
                <c:pt idx="1542" formatCode="0.000">
                  <c:v>51.07938775510204</c:v>
                </c:pt>
                <c:pt idx="1543" formatCode="0.000">
                  <c:v>51.163469387755107</c:v>
                </c:pt>
                <c:pt idx="1544" formatCode="0.000">
                  <c:v>51.256530612244894</c:v>
                </c:pt>
                <c:pt idx="1545" formatCode="0.000">
                  <c:v>51.351836734693862</c:v>
                </c:pt>
                <c:pt idx="1546" formatCode="0.000">
                  <c:v>51.440612244897956</c:v>
                </c:pt>
                <c:pt idx="1547" formatCode="0.000">
                  <c:v>51.527346938775501</c:v>
                </c:pt>
                <c:pt idx="1548" formatCode="0.000">
                  <c:v>51.627551020408156</c:v>
                </c:pt>
                <c:pt idx="1549" formatCode="0.000">
                  <c:v>51.726326530612241</c:v>
                </c:pt>
                <c:pt idx="1550" formatCode="0.000">
                  <c:v>51.811428571428564</c:v>
                </c:pt>
                <c:pt idx="1551" formatCode="0.000">
                  <c:v>51.872040816326525</c:v>
                </c:pt>
                <c:pt idx="1552" formatCode="0.000">
                  <c:v>51.939591836734685</c:v>
                </c:pt>
                <c:pt idx="1553" formatCode="0.000">
                  <c:v>52.010204081632644</c:v>
                </c:pt>
                <c:pt idx="1554" formatCode="0.000">
                  <c:v>52.081428571428567</c:v>
                </c:pt>
                <c:pt idx="1555" formatCode="0.000">
                  <c:v>52.160408163265309</c:v>
                </c:pt>
                <c:pt idx="1556" formatCode="0.000">
                  <c:v>52.238979591836738</c:v>
                </c:pt>
                <c:pt idx="1557" formatCode="0.000">
                  <c:v>52.312448979591835</c:v>
                </c:pt>
                <c:pt idx="1558" formatCode="0.000">
                  <c:v>52.379591836734683</c:v>
                </c:pt>
                <c:pt idx="1559" formatCode="0.000">
                  <c:v>52.468775510204075</c:v>
                </c:pt>
                <c:pt idx="1560" formatCode="0.000">
                  <c:v>52.581428571428575</c:v>
                </c:pt>
                <c:pt idx="1561" formatCode="0.000">
                  <c:v>52.683673469387763</c:v>
                </c:pt>
                <c:pt idx="1562" formatCode="0.000">
                  <c:v>52.76979591836735</c:v>
                </c:pt>
                <c:pt idx="1563" formatCode="0.000">
                  <c:v>52.852653061224487</c:v>
                </c:pt>
                <c:pt idx="1564" formatCode="0.000">
                  <c:v>52.945918367346934</c:v>
                </c:pt>
                <c:pt idx="1565" formatCode="0.000">
                  <c:v>53.026326530612245</c:v>
                </c:pt>
                <c:pt idx="1566" formatCode="0.000">
                  <c:v>53.087551020408164</c:v>
                </c:pt>
                <c:pt idx="1567" formatCode="0.000">
                  <c:v>53.158571428571427</c:v>
                </c:pt>
                <c:pt idx="1568" formatCode="0.000">
                  <c:v>53.214285714285722</c:v>
                </c:pt>
                <c:pt idx="1569" formatCode="0.000">
                  <c:v>53.29122448979593</c:v>
                </c:pt>
                <c:pt idx="1570" formatCode="0.000">
                  <c:v>53.378163265306128</c:v>
                </c:pt>
                <c:pt idx="1571" formatCode="0.000">
                  <c:v>53.455102040816342</c:v>
                </c:pt>
                <c:pt idx="1572" formatCode="0.000">
                  <c:v>53.527959183673488</c:v>
                </c:pt>
                <c:pt idx="1573" formatCode="0.000">
                  <c:v>53.605306122449008</c:v>
                </c:pt>
                <c:pt idx="1574" formatCode="0.000">
                  <c:v>53.705714285714294</c:v>
                </c:pt>
                <c:pt idx="1575" formatCode="0.000">
                  <c:v>53.797142857142866</c:v>
                </c:pt>
                <c:pt idx="1576" formatCode="0.000">
                  <c:v>53.884489795918377</c:v>
                </c:pt>
                <c:pt idx="1577" formatCode="0.000">
                  <c:v>53.968367346938784</c:v>
                </c:pt>
                <c:pt idx="1578" formatCode="0.000">
                  <c:v>54.052448979591837</c:v>
                </c:pt>
                <c:pt idx="1579" formatCode="0.000">
                  <c:v>54.138571428571424</c:v>
                </c:pt>
                <c:pt idx="1580" formatCode="0.000">
                  <c:v>54.199795918367343</c:v>
                </c:pt>
                <c:pt idx="1581" formatCode="0.000">
                  <c:v>54.236530612244898</c:v>
                </c:pt>
                <c:pt idx="1582" formatCode="0.000">
                  <c:v>54.284081632653063</c:v>
                </c:pt>
                <c:pt idx="1583" formatCode="0.000">
                  <c:v>54.349387755102036</c:v>
                </c:pt>
                <c:pt idx="1584" formatCode="0.000">
                  <c:v>54.423877551020396</c:v>
                </c:pt>
                <c:pt idx="1585" formatCode="0.000">
                  <c:v>54.479795918367344</c:v>
                </c:pt>
                <c:pt idx="1586" formatCode="0.000">
                  <c:v>54.525102040816314</c:v>
                </c:pt>
                <c:pt idx="1587" formatCode="0.000">
                  <c:v>54.553469387755094</c:v>
                </c:pt>
                <c:pt idx="1588" formatCode="0.000">
                  <c:v>54.5908163265306</c:v>
                </c:pt>
                <c:pt idx="1589" formatCode="0.000">
                  <c:v>54.602857142857133</c:v>
                </c:pt>
                <c:pt idx="1590" formatCode="0.000">
                  <c:v>54.623469387755094</c:v>
                </c:pt>
                <c:pt idx="1591" formatCode="0.000">
                  <c:v>54.653469387755102</c:v>
                </c:pt>
                <c:pt idx="1592" formatCode="0.000">
                  <c:v>54.674693877551007</c:v>
                </c:pt>
                <c:pt idx="1593" formatCode="0.000">
                  <c:v>54.696326530612232</c:v>
                </c:pt>
                <c:pt idx="1594" formatCode="0.000">
                  <c:v>54.709387755102036</c:v>
                </c:pt>
                <c:pt idx="1595" formatCode="0.000">
                  <c:v>54.714693877551021</c:v>
                </c:pt>
                <c:pt idx="1596" formatCode="0.000">
                  <c:v>54.708367346938786</c:v>
                </c:pt>
                <c:pt idx="1597" formatCode="0.000">
                  <c:v>54.698163265306135</c:v>
                </c:pt>
                <c:pt idx="1598" formatCode="0.000">
                  <c:v>54.688367346938783</c:v>
                </c:pt>
                <c:pt idx="1599" formatCode="0.000">
                  <c:v>54.682448979591847</c:v>
                </c:pt>
                <c:pt idx="1600" formatCode="0.000">
                  <c:v>54.686938775510221</c:v>
                </c:pt>
                <c:pt idx="1601" formatCode="0.000">
                  <c:v>54.702040816326551</c:v>
                </c:pt>
                <c:pt idx="1602" formatCode="0.000">
                  <c:v>54.713061224489813</c:v>
                </c:pt>
                <c:pt idx="1603" formatCode="0.000">
                  <c:v>54.717142857142875</c:v>
                </c:pt>
                <c:pt idx="1604" formatCode="0.000">
                  <c:v>54.727346938775526</c:v>
                </c:pt>
                <c:pt idx="1605" formatCode="0.000">
                  <c:v>54.738367346938801</c:v>
                </c:pt>
                <c:pt idx="1606" formatCode="0.000">
                  <c:v>54.781632653061244</c:v>
                </c:pt>
                <c:pt idx="1607" formatCode="0.000">
                  <c:v>54.831428571428589</c:v>
                </c:pt>
                <c:pt idx="1608" formatCode="0.000">
                  <c:v>54.869387755102061</c:v>
                </c:pt>
                <c:pt idx="1609" formatCode="0.000">
                  <c:v>54.894285714285715</c:v>
                </c:pt>
                <c:pt idx="1610" formatCode="0.000">
                  <c:v>54.913061224489809</c:v>
                </c:pt>
                <c:pt idx="1611" formatCode="0.000">
                  <c:v>54.958571428571446</c:v>
                </c:pt>
                <c:pt idx="1612" formatCode="0.000">
                  <c:v>55.008163265306131</c:v>
                </c:pt>
                <c:pt idx="1613" formatCode="0.000">
                  <c:v>55.059183673469398</c:v>
                </c:pt>
                <c:pt idx="1614" formatCode="0.000">
                  <c:v>55.106734693877563</c:v>
                </c:pt>
                <c:pt idx="1615" formatCode="0.000">
                  <c:v>55.160204081632664</c:v>
                </c:pt>
                <c:pt idx="1616" formatCode="0.000">
                  <c:v>55.209183673469397</c:v>
                </c:pt>
                <c:pt idx="1617" formatCode="0.000">
                  <c:v>55.267959183673469</c:v>
                </c:pt>
                <c:pt idx="1618" formatCode="0.000">
                  <c:v>55.316530612244904</c:v>
                </c:pt>
                <c:pt idx="1619" formatCode="0.000">
                  <c:v>55.362653061224499</c:v>
                </c:pt>
                <c:pt idx="1620" formatCode="0.000">
                  <c:v>55.405918367346942</c:v>
                </c:pt>
                <c:pt idx="1621" formatCode="0.000">
                  <c:v>55.432653061224507</c:v>
                </c:pt>
                <c:pt idx="1622" formatCode="0.000">
                  <c:v>55.462653061224501</c:v>
                </c:pt>
                <c:pt idx="1623" formatCode="0.000">
                  <c:v>55.486122448979593</c:v>
                </c:pt>
                <c:pt idx="1624" formatCode="0.000">
                  <c:v>55.513877551020414</c:v>
                </c:pt>
                <c:pt idx="1625" formatCode="0.000">
                  <c:v>55.5448979591837</c:v>
                </c:pt>
                <c:pt idx="1626" formatCode="0.000">
                  <c:v>55.570000000000014</c:v>
                </c:pt>
                <c:pt idx="1627" formatCode="0.000">
                  <c:v>55.594489795918385</c:v>
                </c:pt>
                <c:pt idx="1628" formatCode="0.000">
                  <c:v>55.614693877551034</c:v>
                </c:pt>
                <c:pt idx="1629" formatCode="0.000">
                  <c:v>55.644081632653076</c:v>
                </c:pt>
                <c:pt idx="1630" formatCode="0.000">
                  <c:v>55.677346938775521</c:v>
                </c:pt>
                <c:pt idx="1631" formatCode="0.000">
                  <c:v>55.698163265306135</c:v>
                </c:pt>
                <c:pt idx="1632" formatCode="0.000">
                  <c:v>55.71755102040818</c:v>
                </c:pt>
                <c:pt idx="1633" formatCode="0.000">
                  <c:v>55.727346938775526</c:v>
                </c:pt>
                <c:pt idx="1634" formatCode="0.000">
                  <c:v>55.745510204081647</c:v>
                </c:pt>
                <c:pt idx="1635" formatCode="0.000">
                  <c:v>55.757755102040839</c:v>
                </c:pt>
                <c:pt idx="1636" formatCode="0.000">
                  <c:v>55.786326530612264</c:v>
                </c:pt>
                <c:pt idx="1637" formatCode="0.000">
                  <c:v>55.798367346938804</c:v>
                </c:pt>
                <c:pt idx="1638" formatCode="0.000">
                  <c:v>55.836734693877567</c:v>
                </c:pt>
                <c:pt idx="1639" formatCode="0.000">
                  <c:v>55.873877551020421</c:v>
                </c:pt>
                <c:pt idx="1640" formatCode="0.000">
                  <c:v>55.909591836734705</c:v>
                </c:pt>
                <c:pt idx="1641" formatCode="0.000">
                  <c:v>55.962040816326535</c:v>
                </c:pt>
                <c:pt idx="1642" formatCode="0.000">
                  <c:v>56.01061224489797</c:v>
                </c:pt>
                <c:pt idx="1643" formatCode="0.000">
                  <c:v>56.05979591836735</c:v>
                </c:pt>
                <c:pt idx="1644" formatCode="0.000">
                  <c:v>56.088571428571434</c:v>
                </c:pt>
                <c:pt idx="1645" formatCode="0.000">
                  <c:v>56.140816326530626</c:v>
                </c:pt>
                <c:pt idx="1646" formatCode="0.000">
                  <c:v>56.17653061224491</c:v>
                </c:pt>
                <c:pt idx="1647" formatCode="0.000">
                  <c:v>56.210204081632668</c:v>
                </c:pt>
                <c:pt idx="1648" formatCode="0.000">
                  <c:v>56.248775510204091</c:v>
                </c:pt>
                <c:pt idx="1649" formatCode="0.000">
                  <c:v>56.285714285714292</c:v>
                </c:pt>
                <c:pt idx="1650" formatCode="0.000">
                  <c:v>56.317551020408175</c:v>
                </c:pt>
                <c:pt idx="1651" formatCode="0.000">
                  <c:v>56.34244897959185</c:v>
                </c:pt>
                <c:pt idx="1652" formatCode="0.000">
                  <c:v>56.342040816326552</c:v>
                </c:pt>
                <c:pt idx="1653" formatCode="0.000">
                  <c:v>56.333469387755116</c:v>
                </c:pt>
                <c:pt idx="1654" formatCode="0.000">
                  <c:v>56.313673469387773</c:v>
                </c:pt>
                <c:pt idx="1655" formatCode="0.000">
                  <c:v>56.27020408163267</c:v>
                </c:pt>
                <c:pt idx="1656" formatCode="0.000">
                  <c:v>56.221224489795929</c:v>
                </c:pt>
                <c:pt idx="1657" formatCode="0.000">
                  <c:v>56.170000000000016</c:v>
                </c:pt>
                <c:pt idx="1658" formatCode="0.000">
                  <c:v>56.126734693877573</c:v>
                </c:pt>
                <c:pt idx="1659" formatCode="0.000">
                  <c:v>56.061632653061231</c:v>
                </c:pt>
                <c:pt idx="1660" formatCode="0.000">
                  <c:v>55.98836734693878</c:v>
                </c:pt>
                <c:pt idx="1661" formatCode="0.000">
                  <c:v>55.906734693877546</c:v>
                </c:pt>
                <c:pt idx="1662" formatCode="0.000">
                  <c:v>55.825306122448978</c:v>
                </c:pt>
                <c:pt idx="1663" formatCode="0.000">
                  <c:v>55.742244897959182</c:v>
                </c:pt>
                <c:pt idx="1664" formatCode="0.000">
                  <c:v>55.656938775510199</c:v>
                </c:pt>
                <c:pt idx="1665" formatCode="0.000">
                  <c:v>55.595102040816322</c:v>
                </c:pt>
                <c:pt idx="1666" formatCode="0.000">
                  <c:v>55.530408163265299</c:v>
                </c:pt>
                <c:pt idx="1667" formatCode="0.000">
                  <c:v>55.471020408163255</c:v>
                </c:pt>
                <c:pt idx="1668" formatCode="0.000">
                  <c:v>55.416938775510204</c:v>
                </c:pt>
                <c:pt idx="1669" formatCode="0.000">
                  <c:v>55.362040816326527</c:v>
                </c:pt>
                <c:pt idx="1670" formatCode="0.000">
                  <c:v>55.324081632653048</c:v>
                </c:pt>
                <c:pt idx="1671" formatCode="0.000">
                  <c:v>55.285510204081618</c:v>
                </c:pt>
                <c:pt idx="1672" formatCode="0.000">
                  <c:v>55.241428571428564</c:v>
                </c:pt>
                <c:pt idx="1673" formatCode="0.000">
                  <c:v>55.186122448979589</c:v>
                </c:pt>
                <c:pt idx="1674" formatCode="0.000">
                  <c:v>55.132040816326537</c:v>
                </c:pt>
                <c:pt idx="1675" formatCode="0.000">
                  <c:v>55.089183673469385</c:v>
                </c:pt>
                <c:pt idx="1676" formatCode="0.000">
                  <c:v>55.03836734693877</c:v>
                </c:pt>
                <c:pt idx="1677" formatCode="0.000">
                  <c:v>54.981632653061226</c:v>
                </c:pt>
                <c:pt idx="1678" formatCode="0.000">
                  <c:v>54.915306122448989</c:v>
                </c:pt>
                <c:pt idx="1679" formatCode="0.000">
                  <c:v>54.857959183673472</c:v>
                </c:pt>
                <c:pt idx="1680" formatCode="0.000">
                  <c:v>54.837959183673469</c:v>
                </c:pt>
                <c:pt idx="1681" formatCode="0.000">
                  <c:v>54.821224489795917</c:v>
                </c:pt>
                <c:pt idx="1682" formatCode="0.000">
                  <c:v>54.815714285714279</c:v>
                </c:pt>
                <c:pt idx="1683" formatCode="0.000">
                  <c:v>54.810204081632648</c:v>
                </c:pt>
                <c:pt idx="1684" formatCode="0.000">
                  <c:v>54.812040816326522</c:v>
                </c:pt>
                <c:pt idx="1685" formatCode="0.000">
                  <c:v>54.81653061224489</c:v>
                </c:pt>
                <c:pt idx="1686" formatCode="0.000">
                  <c:v>54.838163265306115</c:v>
                </c:pt>
                <c:pt idx="1687" formatCode="0.000">
                  <c:v>54.862448979591832</c:v>
                </c:pt>
                <c:pt idx="1688" formatCode="0.000">
                  <c:v>54.865510204081623</c:v>
                </c:pt>
                <c:pt idx="1689" formatCode="0.000">
                  <c:v>54.869183673469372</c:v>
                </c:pt>
                <c:pt idx="1690" formatCode="0.000">
                  <c:v>54.869795918367338</c:v>
                </c:pt>
                <c:pt idx="1691" formatCode="0.000">
                  <c:v>54.869183673469372</c:v>
                </c:pt>
                <c:pt idx="1692" formatCode="0.000">
                  <c:v>54.86673469387754</c:v>
                </c:pt>
                <c:pt idx="1693" formatCode="0.000">
                  <c:v>54.886122448979577</c:v>
                </c:pt>
                <c:pt idx="1694" formatCode="0.000">
                  <c:v>54.882040816326516</c:v>
                </c:pt>
                <c:pt idx="1695" formatCode="0.000">
                  <c:v>54.883061224489779</c:v>
                </c:pt>
                <c:pt idx="1696" formatCode="0.000">
                  <c:v>54.878979591836718</c:v>
                </c:pt>
                <c:pt idx="1697" formatCode="0.000">
                  <c:v>54.859795918367332</c:v>
                </c:pt>
                <c:pt idx="1698" formatCode="0.000">
                  <c:v>54.855306122448958</c:v>
                </c:pt>
                <c:pt idx="1699" formatCode="0.000">
                  <c:v>54.855306122448958</c:v>
                </c:pt>
                <c:pt idx="1700" formatCode="0.000">
                  <c:v>54.85693877551018</c:v>
                </c:pt>
                <c:pt idx="1701" formatCode="0.000">
                  <c:v>54.842448979591815</c:v>
                </c:pt>
                <c:pt idx="1702" formatCode="0.000">
                  <c:v>54.853061224489778</c:v>
                </c:pt>
                <c:pt idx="1703" formatCode="0.000">
                  <c:v>54.820408163265284</c:v>
                </c:pt>
                <c:pt idx="1704" formatCode="0.000">
                  <c:v>54.783061224489778</c:v>
                </c:pt>
                <c:pt idx="1705" formatCode="0.000">
                  <c:v>54.763265306122435</c:v>
                </c:pt>
                <c:pt idx="1706" formatCode="0.000">
                  <c:v>54.756122448979575</c:v>
                </c:pt>
                <c:pt idx="1707" formatCode="0.000">
                  <c:v>54.782653061224472</c:v>
                </c:pt>
                <c:pt idx="1708" formatCode="0.000">
                  <c:v>54.835102040816309</c:v>
                </c:pt>
                <c:pt idx="1709" formatCode="0.000">
                  <c:v>54.876734693877545</c:v>
                </c:pt>
                <c:pt idx="1710" formatCode="0.000">
                  <c:v>54.925510204081633</c:v>
                </c:pt>
                <c:pt idx="1711" formatCode="0.000">
                  <c:v>54.992040816326536</c:v>
                </c:pt>
                <c:pt idx="1712" formatCode="0.000">
                  <c:v>55.089387755102052</c:v>
                </c:pt>
                <c:pt idx="1713" formatCode="0.000">
                  <c:v>55.185714285714305</c:v>
                </c:pt>
                <c:pt idx="1714" formatCode="0.000">
                  <c:v>55.274489795918385</c:v>
                </c:pt>
                <c:pt idx="1715" formatCode="0.000">
                  <c:v>55.3718367346939</c:v>
                </c:pt>
                <c:pt idx="1716" formatCode="0.000">
                  <c:v>55.44551020408165</c:v>
                </c:pt>
                <c:pt idx="1717" formatCode="0.000">
                  <c:v>55.51306122448981</c:v>
                </c:pt>
                <c:pt idx="1718" formatCode="0.000">
                  <c:v>55.585306122448998</c:v>
                </c:pt>
                <c:pt idx="1719" formatCode="0.000">
                  <c:v>55.665714285714301</c:v>
                </c:pt>
                <c:pt idx="1720" formatCode="0.000">
                  <c:v>55.739387755102051</c:v>
                </c:pt>
                <c:pt idx="1721" formatCode="0.000">
                  <c:v>55.824489795918382</c:v>
                </c:pt>
                <c:pt idx="1722" formatCode="0.000">
                  <c:v>55.925306122448994</c:v>
                </c:pt>
                <c:pt idx="1723" formatCode="0.000">
                  <c:v>56.023265306122454</c:v>
                </c:pt>
                <c:pt idx="1724" formatCode="0.000">
                  <c:v>56.107959183673479</c:v>
                </c:pt>
                <c:pt idx="1725" formatCode="0.000">
                  <c:v>56.20714285714287</c:v>
                </c:pt>
                <c:pt idx="1726" formatCode="0.000">
                  <c:v>56.3061224489796</c:v>
                </c:pt>
                <c:pt idx="1727" formatCode="0.000">
                  <c:v>56.429795918367347</c:v>
                </c:pt>
                <c:pt idx="1728" formatCode="0.000">
                  <c:v>56.558775510204072</c:v>
                </c:pt>
                <c:pt idx="1729" formatCode="0.000">
                  <c:v>56.659795918367344</c:v>
                </c:pt>
                <c:pt idx="1730" formatCode="0.000">
                  <c:v>56.7473469387755</c:v>
                </c:pt>
                <c:pt idx="1731" formatCode="0.000">
                  <c:v>56.830204081632644</c:v>
                </c:pt>
                <c:pt idx="1732" formatCode="0.000">
                  <c:v>56.917551020408155</c:v>
                </c:pt>
                <c:pt idx="1733" formatCode="0.000">
                  <c:v>57.008163265306116</c:v>
                </c:pt>
                <c:pt idx="1734" formatCode="0.000">
                  <c:v>57.102244897959181</c:v>
                </c:pt>
                <c:pt idx="1735" formatCode="0.000">
                  <c:v>57.199999999999996</c:v>
                </c:pt>
                <c:pt idx="1736" formatCode="0.000">
                  <c:v>57.282857142857146</c:v>
                </c:pt>
                <c:pt idx="1737" formatCode="0.000">
                  <c:v>57.378163265306114</c:v>
                </c:pt>
                <c:pt idx="1738" formatCode="0.000">
                  <c:v>57.465102040816319</c:v>
                </c:pt>
                <c:pt idx="1739" formatCode="0.000">
                  <c:v>57.541224489795908</c:v>
                </c:pt>
                <c:pt idx="1740" formatCode="0.000">
                  <c:v>57.606938775510187</c:v>
                </c:pt>
                <c:pt idx="1741" formatCode="0.000">
                  <c:v>57.672448979591834</c:v>
                </c:pt>
                <c:pt idx="1742" formatCode="0.000">
                  <c:v>57.733265306122448</c:v>
                </c:pt>
                <c:pt idx="1743" formatCode="0.000">
                  <c:v>57.803265306122455</c:v>
                </c:pt>
                <c:pt idx="1744" formatCode="0.000">
                  <c:v>57.903877551020408</c:v>
                </c:pt>
                <c:pt idx="1745" formatCode="0.000">
                  <c:v>58.018163265306129</c:v>
                </c:pt>
                <c:pt idx="1746" formatCode="0.000">
                  <c:v>58.128979591836746</c:v>
                </c:pt>
                <c:pt idx="1747" formatCode="0.000">
                  <c:v>58.24551020408164</c:v>
                </c:pt>
                <c:pt idx="1748" formatCode="0.000">
                  <c:v>58.362448979591854</c:v>
                </c:pt>
                <c:pt idx="1749" formatCode="0.000">
                  <c:v>58.475306122448991</c:v>
                </c:pt>
                <c:pt idx="1750" formatCode="0.000">
                  <c:v>58.635918367346946</c:v>
                </c:pt>
                <c:pt idx="1751" formatCode="0.000">
                  <c:v>58.787346938775521</c:v>
                </c:pt>
                <c:pt idx="1752" formatCode="0.000">
                  <c:v>58.962653061224501</c:v>
                </c:pt>
                <c:pt idx="1753" formatCode="0.000">
                  <c:v>59.147959183673478</c:v>
                </c:pt>
                <c:pt idx="1754" formatCode="0.000">
                  <c:v>59.295306122448984</c:v>
                </c:pt>
                <c:pt idx="1755" formatCode="0.000">
                  <c:v>59.441020408163276</c:v>
                </c:pt>
                <c:pt idx="1756" formatCode="0.000">
                  <c:v>59.563469387755106</c:v>
                </c:pt>
                <c:pt idx="1757" formatCode="0.000">
                  <c:v>59.679591836734694</c:v>
                </c:pt>
                <c:pt idx="1758" formatCode="0.000">
                  <c:v>59.824897959183673</c:v>
                </c:pt>
                <c:pt idx="1759" formatCode="0.000">
                  <c:v>59.981632653061226</c:v>
                </c:pt>
                <c:pt idx="1760" formatCode="0.000">
                  <c:v>60.104081632653056</c:v>
                </c:pt>
                <c:pt idx="1761" formatCode="0.000">
                  <c:v>60.182244897959187</c:v>
                </c:pt>
                <c:pt idx="1762" formatCode="0.000">
                  <c:v>60.237551020408169</c:v>
                </c:pt>
                <c:pt idx="1763" formatCode="0.000">
                  <c:v>60.335306122448976</c:v>
                </c:pt>
                <c:pt idx="1764" formatCode="0.000">
                  <c:v>60.408571428571427</c:v>
                </c:pt>
                <c:pt idx="1765" formatCode="0.000">
                  <c:v>60.49510204081632</c:v>
                </c:pt>
                <c:pt idx="1766" formatCode="0.000">
                  <c:v>60.594897959183669</c:v>
                </c:pt>
                <c:pt idx="1767" formatCode="0.000">
                  <c:v>60.690816326530594</c:v>
                </c:pt>
                <c:pt idx="1768" formatCode="0.000">
                  <c:v>60.780408163265292</c:v>
                </c:pt>
                <c:pt idx="1769" formatCode="0.000">
                  <c:v>60.838775510204073</c:v>
                </c:pt>
                <c:pt idx="1770" formatCode="0.000">
                  <c:v>60.838979591836718</c:v>
                </c:pt>
                <c:pt idx="1771" formatCode="0.000">
                  <c:v>60.840612244897954</c:v>
                </c:pt>
                <c:pt idx="1772" formatCode="0.000">
                  <c:v>60.81877551020407</c:v>
                </c:pt>
                <c:pt idx="1773" formatCode="0.000">
                  <c:v>60.801224489795914</c:v>
                </c:pt>
                <c:pt idx="1774" formatCode="0.000">
                  <c:v>60.787551020408166</c:v>
                </c:pt>
                <c:pt idx="1775" formatCode="0.000">
                  <c:v>60.794081632653061</c:v>
                </c:pt>
                <c:pt idx="1776" formatCode="0.000">
                  <c:v>60.777142857142849</c:v>
                </c:pt>
                <c:pt idx="1777" formatCode="0.000">
                  <c:v>60.762857142857136</c:v>
                </c:pt>
                <c:pt idx="1778" formatCode="0.000">
                  <c:v>60.755306122448964</c:v>
                </c:pt>
                <c:pt idx="1779" formatCode="0.000">
                  <c:v>60.760408163265289</c:v>
                </c:pt>
                <c:pt idx="1780" formatCode="0.000">
                  <c:v>60.767959183673462</c:v>
                </c:pt>
                <c:pt idx="1781" formatCode="0.000">
                  <c:v>60.766938775510205</c:v>
                </c:pt>
                <c:pt idx="1782" formatCode="0.000">
                  <c:v>60.775918367346939</c:v>
                </c:pt>
                <c:pt idx="1783" formatCode="0.000">
                  <c:v>60.78877551020409</c:v>
                </c:pt>
                <c:pt idx="1784" formatCode="0.000">
                  <c:v>60.799591836734706</c:v>
                </c:pt>
                <c:pt idx="1785" formatCode="0.000">
                  <c:v>60.825306122448993</c:v>
                </c:pt>
                <c:pt idx="1786" formatCode="0.000">
                  <c:v>60.85</c:v>
                </c:pt>
                <c:pt idx="1787" formatCode="0.000">
                  <c:v>60.875510204081635</c:v>
                </c:pt>
                <c:pt idx="1788" formatCode="0.000">
                  <c:v>60.924897959183674</c:v>
                </c:pt>
                <c:pt idx="1789" formatCode="0.000">
                  <c:v>60.977551020408164</c:v>
                </c:pt>
                <c:pt idx="1790" formatCode="0.000">
                  <c:v>61.031632653061216</c:v>
                </c:pt>
                <c:pt idx="1791" formatCode="0.000">
                  <c:v>61.103061224489792</c:v>
                </c:pt>
                <c:pt idx="1792" formatCode="0.000">
                  <c:v>61.180408163265298</c:v>
                </c:pt>
                <c:pt idx="1793" formatCode="0.000">
                  <c:v>61.241428571428571</c:v>
                </c:pt>
                <c:pt idx="1794" formatCode="0.000">
                  <c:v>61.298571428571421</c:v>
                </c:pt>
                <c:pt idx="1795" formatCode="0.000">
                  <c:v>61.380204081632648</c:v>
                </c:pt>
                <c:pt idx="1796" formatCode="0.000">
                  <c:v>61.452653061224474</c:v>
                </c:pt>
                <c:pt idx="1797" formatCode="0.000">
                  <c:v>61.522244897959169</c:v>
                </c:pt>
                <c:pt idx="1798" formatCode="0.000">
                  <c:v>61.593265306122433</c:v>
                </c:pt>
                <c:pt idx="1799" formatCode="0.000">
                  <c:v>61.664081632653044</c:v>
                </c:pt>
                <c:pt idx="1800" formatCode="0.000">
                  <c:v>61.744897959183668</c:v>
                </c:pt>
                <c:pt idx="1801" formatCode="0.000">
                  <c:v>61.850408163265307</c:v>
                </c:pt>
                <c:pt idx="1802" formatCode="0.000">
                  <c:v>61.929387755102042</c:v>
                </c:pt>
                <c:pt idx="1803" formatCode="0.000">
                  <c:v>62.044693877551019</c:v>
                </c:pt>
                <c:pt idx="1804" formatCode="0.000">
                  <c:v>62.133877551020419</c:v>
                </c:pt>
                <c:pt idx="1805" formatCode="0.000">
                  <c:v>62.22877551020408</c:v>
                </c:pt>
                <c:pt idx="1806" formatCode="0.000">
                  <c:v>62.33673469387756</c:v>
                </c:pt>
                <c:pt idx="1807" formatCode="0.000">
                  <c:v>62.387551020408168</c:v>
                </c:pt>
                <c:pt idx="1808" formatCode="0.000">
                  <c:v>62.405918367346942</c:v>
                </c:pt>
                <c:pt idx="1809" formatCode="0.000">
                  <c:v>62.422244897959196</c:v>
                </c:pt>
                <c:pt idx="1810" formatCode="0.000">
                  <c:v>62.492448979591849</c:v>
                </c:pt>
                <c:pt idx="1811" formatCode="0.000">
                  <c:v>62.574081632653083</c:v>
                </c:pt>
                <c:pt idx="1812" formatCode="0.000">
                  <c:v>62.612653061224506</c:v>
                </c:pt>
                <c:pt idx="1813" formatCode="0.000">
                  <c:v>62.661020408163282</c:v>
                </c:pt>
                <c:pt idx="1814" formatCode="0.000">
                  <c:v>62.702653061224517</c:v>
                </c:pt>
                <c:pt idx="1815" formatCode="0.000">
                  <c:v>62.74102040816328</c:v>
                </c:pt>
                <c:pt idx="1816" formatCode="0.000">
                  <c:v>62.782653061224508</c:v>
                </c:pt>
                <c:pt idx="1817" formatCode="0.000">
                  <c:v>62.84693877551021</c:v>
                </c:pt>
                <c:pt idx="1818" formatCode="0.000">
                  <c:v>62.946530612244906</c:v>
                </c:pt>
                <c:pt idx="1819" formatCode="0.000">
                  <c:v>63.091836734693885</c:v>
                </c:pt>
                <c:pt idx="1820" formatCode="0.000">
                  <c:v>63.137551020408175</c:v>
                </c:pt>
                <c:pt idx="1821" formatCode="0.000">
                  <c:v>63.180816326530625</c:v>
                </c:pt>
                <c:pt idx="1822" formatCode="0.000">
                  <c:v>63.243265306122453</c:v>
                </c:pt>
                <c:pt idx="1823" formatCode="0.000">
                  <c:v>63.331428571428589</c:v>
                </c:pt>
                <c:pt idx="1824" formatCode="0.000">
                  <c:v>63.421224489795925</c:v>
                </c:pt>
                <c:pt idx="1825" formatCode="0.000">
                  <c:v>63.515306122448997</c:v>
                </c:pt>
                <c:pt idx="1826" formatCode="0.000">
                  <c:v>63.601224489795939</c:v>
                </c:pt>
                <c:pt idx="1827" formatCode="0.000">
                  <c:v>63.694693877551032</c:v>
                </c:pt>
                <c:pt idx="1828" formatCode="0.000">
                  <c:v>63.751836734693889</c:v>
                </c:pt>
                <c:pt idx="1829" formatCode="0.000">
                  <c:v>63.798163265306144</c:v>
                </c:pt>
                <c:pt idx="1830" formatCode="0.000">
                  <c:v>63.866122448979603</c:v>
                </c:pt>
                <c:pt idx="1831" formatCode="0.000">
                  <c:v>63.90673469387756</c:v>
                </c:pt>
                <c:pt idx="1832" formatCode="0.000">
                  <c:v>63.934081632653069</c:v>
                </c:pt>
                <c:pt idx="1833" formatCode="0.000">
                  <c:v>63.961224489795917</c:v>
                </c:pt>
                <c:pt idx="1834" formatCode="0.000">
                  <c:v>63.976122448979588</c:v>
                </c:pt>
                <c:pt idx="1835" formatCode="0.000">
                  <c:v>63.967755102040819</c:v>
                </c:pt>
                <c:pt idx="1836" formatCode="0.000">
                  <c:v>63.955714285714286</c:v>
                </c:pt>
                <c:pt idx="1837" formatCode="0.000">
                  <c:v>63.924489795918369</c:v>
                </c:pt>
                <c:pt idx="1838" formatCode="0.000">
                  <c:v>63.856938775510208</c:v>
                </c:pt>
                <c:pt idx="1839" formatCode="0.000">
                  <c:v>63.799795918367352</c:v>
                </c:pt>
                <c:pt idx="1840" formatCode="0.000">
                  <c:v>63.717551020408166</c:v>
                </c:pt>
                <c:pt idx="1841" formatCode="0.000">
                  <c:v>63.635714285714286</c:v>
                </c:pt>
                <c:pt idx="1842" formatCode="0.000">
                  <c:v>63.571836734693868</c:v>
                </c:pt>
                <c:pt idx="1843" formatCode="0.000">
                  <c:v>63.517551020408156</c:v>
                </c:pt>
                <c:pt idx="1844" formatCode="0.000">
                  <c:v>63.462857142857139</c:v>
                </c:pt>
                <c:pt idx="1845" formatCode="0.000">
                  <c:v>63.428367346938771</c:v>
                </c:pt>
                <c:pt idx="1846" formatCode="0.000">
                  <c:v>63.385306122448974</c:v>
                </c:pt>
                <c:pt idx="1847" formatCode="0.000">
                  <c:v>63.341224489795913</c:v>
                </c:pt>
                <c:pt idx="1848" formatCode="0.000">
                  <c:v>63.293469387755103</c:v>
                </c:pt>
                <c:pt idx="1849" formatCode="0.000">
                  <c:v>63.23122448979592</c:v>
                </c:pt>
                <c:pt idx="1850" formatCode="0.000">
                  <c:v>63.193877551020407</c:v>
                </c:pt>
                <c:pt idx="1851" formatCode="0.000">
                  <c:v>63.153673469387762</c:v>
                </c:pt>
                <c:pt idx="1852" formatCode="0.000">
                  <c:v>63.102040816326543</c:v>
                </c:pt>
                <c:pt idx="1853" formatCode="0.000">
                  <c:v>63.05836734693878</c:v>
                </c:pt>
                <c:pt idx="1854" formatCode="0.000">
                  <c:v>63.008979591836727</c:v>
                </c:pt>
                <c:pt idx="1855" formatCode="0.000">
                  <c:v>62.942653061224483</c:v>
                </c:pt>
                <c:pt idx="1856" formatCode="0.000">
                  <c:v>62.903061224489797</c:v>
                </c:pt>
                <c:pt idx="1857" formatCode="0.000">
                  <c:v>62.881428571428572</c:v>
                </c:pt>
                <c:pt idx="1858" formatCode="0.000">
                  <c:v>62.863061224489805</c:v>
                </c:pt>
                <c:pt idx="1859" formatCode="0.000">
                  <c:v>62.811428571428578</c:v>
                </c:pt>
                <c:pt idx="1860" formatCode="0.000">
                  <c:v>62.753061224489798</c:v>
                </c:pt>
                <c:pt idx="1861" formatCode="0.000">
                  <c:v>62.707959183673481</c:v>
                </c:pt>
                <c:pt idx="1862" formatCode="0.000">
                  <c:v>62.644489795918375</c:v>
                </c:pt>
                <c:pt idx="1863" formatCode="0.000">
                  <c:v>62.590408163265323</c:v>
                </c:pt>
                <c:pt idx="1864" formatCode="0.000">
                  <c:v>62.534897959183695</c:v>
                </c:pt>
                <c:pt idx="1865" formatCode="0.000">
                  <c:v>62.487551020408191</c:v>
                </c:pt>
                <c:pt idx="1866" formatCode="0.000">
                  <c:v>62.436326530612263</c:v>
                </c:pt>
                <c:pt idx="1867" formatCode="0.000">
                  <c:v>62.376122448979615</c:v>
                </c:pt>
                <c:pt idx="1868" formatCode="0.000">
                  <c:v>62.341020408163281</c:v>
                </c:pt>
                <c:pt idx="1869" formatCode="0.000">
                  <c:v>62.401632653061249</c:v>
                </c:pt>
                <c:pt idx="1870" formatCode="0.000">
                  <c:v>62.493877551020439</c:v>
                </c:pt>
                <c:pt idx="1871" formatCode="0.000">
                  <c:v>62.548163265306151</c:v>
                </c:pt>
                <c:pt idx="1872" formatCode="0.000">
                  <c:v>62.569795918367376</c:v>
                </c:pt>
                <c:pt idx="1873" formatCode="0.000">
                  <c:v>62.562653061224523</c:v>
                </c:pt>
                <c:pt idx="1874" formatCode="0.000">
                  <c:v>62.548571428571456</c:v>
                </c:pt>
                <c:pt idx="1875" formatCode="0.000">
                  <c:v>62.521428571428615</c:v>
                </c:pt>
                <c:pt idx="1876" formatCode="0.000">
                  <c:v>62.488163265306149</c:v>
                </c:pt>
                <c:pt idx="1877" formatCode="0.000">
                  <c:v>62.493673469387787</c:v>
                </c:pt>
                <c:pt idx="1878" formatCode="0.000">
                  <c:v>62.496734693877571</c:v>
                </c:pt>
                <c:pt idx="1879" formatCode="0.000">
                  <c:v>62.496122448979619</c:v>
                </c:pt>
                <c:pt idx="1880" formatCode="0.000">
                  <c:v>62.527346938775523</c:v>
                </c:pt>
                <c:pt idx="1881" formatCode="0.000">
                  <c:v>62.571428571428591</c:v>
                </c:pt>
                <c:pt idx="1882" formatCode="0.000">
                  <c:v>62.604693877551028</c:v>
                </c:pt>
                <c:pt idx="1883" formatCode="0.000">
                  <c:v>62.652244897959193</c:v>
                </c:pt>
                <c:pt idx="1884" formatCode="0.000">
                  <c:v>62.72102040816327</c:v>
                </c:pt>
                <c:pt idx="1885" formatCode="0.000">
                  <c:v>62.777959183673467</c:v>
                </c:pt>
                <c:pt idx="1886" formatCode="0.000">
                  <c:v>62.837755102040823</c:v>
                </c:pt>
                <c:pt idx="1887" formatCode="0.000">
                  <c:v>62.942448979591845</c:v>
                </c:pt>
                <c:pt idx="1888" formatCode="0.000">
                  <c:v>63.044489795918373</c:v>
                </c:pt>
                <c:pt idx="1889" formatCode="0.000">
                  <c:v>63.126938775510212</c:v>
                </c:pt>
                <c:pt idx="1890" formatCode="0.000">
                  <c:v>63.194285714285712</c:v>
                </c:pt>
                <c:pt idx="1891" formatCode="0.000">
                  <c:v>63.223877551020415</c:v>
                </c:pt>
                <c:pt idx="1892" formatCode="0.000">
                  <c:v>63.235306122448982</c:v>
                </c:pt>
                <c:pt idx="1893" formatCode="0.000">
                  <c:v>63.237755102040815</c:v>
                </c:pt>
                <c:pt idx="1894" formatCode="0.000">
                  <c:v>63.199183673469392</c:v>
                </c:pt>
                <c:pt idx="1895" formatCode="0.000">
                  <c:v>63.16387755102042</c:v>
                </c:pt>
                <c:pt idx="1896" formatCode="0.000">
                  <c:v>63.164489795918385</c:v>
                </c:pt>
                <c:pt idx="1897" formatCode="0.000">
                  <c:v>63.152040816326547</c:v>
                </c:pt>
                <c:pt idx="1898" formatCode="0.000">
                  <c:v>63.140000000000015</c:v>
                </c:pt>
                <c:pt idx="1899" formatCode="0.000">
                  <c:v>63.101632653061237</c:v>
                </c:pt>
                <c:pt idx="1900" formatCode="0.000">
                  <c:v>63.044285714285728</c:v>
                </c:pt>
                <c:pt idx="1901" formatCode="0.000">
                  <c:v>62.990816326530627</c:v>
                </c:pt>
                <c:pt idx="1902" formatCode="0.000">
                  <c:v>62.921836734693898</c:v>
                </c:pt>
                <c:pt idx="1903" formatCode="0.000">
                  <c:v>62.848367346938787</c:v>
                </c:pt>
                <c:pt idx="1904" formatCode="0.000">
                  <c:v>62.788163265306117</c:v>
                </c:pt>
                <c:pt idx="1905" formatCode="0.000">
                  <c:v>62.731632653061226</c:v>
                </c:pt>
                <c:pt idx="1906" formatCode="0.000">
                  <c:v>62.670816326530613</c:v>
                </c:pt>
                <c:pt idx="1907" formatCode="0.000">
                  <c:v>62.611224489795916</c:v>
                </c:pt>
                <c:pt idx="1908" formatCode="0.000">
                  <c:v>62.53163265306123</c:v>
                </c:pt>
                <c:pt idx="1909" formatCode="0.000">
                  <c:v>62.45448979591837</c:v>
                </c:pt>
                <c:pt idx="1910" formatCode="0.000">
                  <c:v>62.328979591836735</c:v>
                </c:pt>
                <c:pt idx="1911" formatCode="0.000">
                  <c:v>62.236734693877551</c:v>
                </c:pt>
                <c:pt idx="1912" formatCode="0.000">
                  <c:v>62.138979591836744</c:v>
                </c:pt>
                <c:pt idx="1913" formatCode="0.000">
                  <c:v>62.025306122448995</c:v>
                </c:pt>
                <c:pt idx="1914" formatCode="0.000">
                  <c:v>61.912244897959191</c:v>
                </c:pt>
                <c:pt idx="1915" formatCode="0.000">
                  <c:v>61.781020408163272</c:v>
                </c:pt>
                <c:pt idx="1916" formatCode="0.000">
                  <c:v>61.642857142857153</c:v>
                </c:pt>
                <c:pt idx="1917" formatCode="0.000">
                  <c:v>61.458571428571446</c:v>
                </c:pt>
                <c:pt idx="1918" formatCode="0.000">
                  <c:v>61.261428571428588</c:v>
                </c:pt>
                <c:pt idx="1919" formatCode="0.000">
                  <c:v>61.054693877551038</c:v>
                </c:pt>
                <c:pt idx="1920" formatCode="0.000">
                  <c:v>60.867755102040825</c:v>
                </c:pt>
                <c:pt idx="1921" formatCode="0.000">
                  <c:v>60.688571428571443</c:v>
                </c:pt>
                <c:pt idx="1922" formatCode="0.000">
                  <c:v>60.52938775510205</c:v>
                </c:pt>
                <c:pt idx="1923" formatCode="0.000">
                  <c:v>60.357959183673479</c:v>
                </c:pt>
                <c:pt idx="1924" formatCode="0.000">
                  <c:v>60.209387755102043</c:v>
                </c:pt>
                <c:pt idx="1925" formatCode="0.000">
                  <c:v>60.074489795918382</c:v>
                </c:pt>
                <c:pt idx="1926" formatCode="0.000">
                  <c:v>59.917551020408176</c:v>
                </c:pt>
                <c:pt idx="1927" formatCode="0.000">
                  <c:v>59.751428571428576</c:v>
                </c:pt>
                <c:pt idx="1928" formatCode="0.000">
                  <c:v>59.5934693877551</c:v>
                </c:pt>
                <c:pt idx="1929" formatCode="0.000">
                  <c:v>59.45204081632653</c:v>
                </c:pt>
                <c:pt idx="1930" formatCode="0.000">
                  <c:v>59.327959183673471</c:v>
                </c:pt>
                <c:pt idx="1931" formatCode="0.000">
                  <c:v>59.215918367346937</c:v>
                </c:pt>
                <c:pt idx="1932" formatCode="0.000">
                  <c:v>59.099795918367356</c:v>
                </c:pt>
                <c:pt idx="1933" formatCode="0.000">
                  <c:v>59.009795918367345</c:v>
                </c:pt>
                <c:pt idx="1934" formatCode="0.000">
                  <c:v>58.921020408163265</c:v>
                </c:pt>
                <c:pt idx="1935" formatCode="0.000">
                  <c:v>58.826530612244895</c:v>
                </c:pt>
                <c:pt idx="1936" formatCode="0.000">
                  <c:v>58.713265306122452</c:v>
                </c:pt>
                <c:pt idx="1937" formatCode="0.000">
                  <c:v>58.593061224489801</c:v>
                </c:pt>
                <c:pt idx="1938" formatCode="0.000">
                  <c:v>58.514489795918379</c:v>
                </c:pt>
                <c:pt idx="1939" formatCode="0.000">
                  <c:v>58.448367346938781</c:v>
                </c:pt>
                <c:pt idx="1940" formatCode="0.000">
                  <c:v>58.396326530612249</c:v>
                </c:pt>
                <c:pt idx="1941" formatCode="0.000">
                  <c:v>58.336326530612247</c:v>
                </c:pt>
                <c:pt idx="1942" formatCode="0.000">
                  <c:v>58.313469387755106</c:v>
                </c:pt>
                <c:pt idx="1943" formatCode="0.000">
                  <c:v>58.316938775510216</c:v>
                </c:pt>
                <c:pt idx="1944" formatCode="0.000">
                  <c:v>58.307755102040836</c:v>
                </c:pt>
                <c:pt idx="1945" formatCode="0.000">
                  <c:v>58.273469387755121</c:v>
                </c:pt>
                <c:pt idx="1946" formatCode="0.000">
                  <c:v>58.240816326530627</c:v>
                </c:pt>
                <c:pt idx="1947" formatCode="0.000">
                  <c:v>58.207959183673481</c:v>
                </c:pt>
                <c:pt idx="1948" formatCode="0.000">
                  <c:v>58.18020408163266</c:v>
                </c:pt>
                <c:pt idx="1949" formatCode="0.000">
                  <c:v>58.213061224489806</c:v>
                </c:pt>
                <c:pt idx="1950" formatCode="0.000">
                  <c:v>58.244897959183682</c:v>
                </c:pt>
                <c:pt idx="1951" formatCode="0.000">
                  <c:v>58.308163265306121</c:v>
                </c:pt>
                <c:pt idx="1952" formatCode="0.000">
                  <c:v>58.372448979591837</c:v>
                </c:pt>
                <c:pt idx="1953" formatCode="0.000">
                  <c:v>58.42775510204082</c:v>
                </c:pt>
                <c:pt idx="1954" formatCode="0.000">
                  <c:v>58.480408163265302</c:v>
                </c:pt>
                <c:pt idx="1955" formatCode="0.000">
                  <c:v>58.566326530612244</c:v>
                </c:pt>
                <c:pt idx="1956" formatCode="0.000">
                  <c:v>58.658775510204073</c:v>
                </c:pt>
                <c:pt idx="1957" formatCode="0.000">
                  <c:v>58.776122448979585</c:v>
                </c:pt>
                <c:pt idx="1958" formatCode="0.000">
                  <c:v>58.890408163265299</c:v>
                </c:pt>
                <c:pt idx="1959" formatCode="0.000">
                  <c:v>59.034489795918368</c:v>
                </c:pt>
                <c:pt idx="1960" formatCode="0.000">
                  <c:v>59.168367346938766</c:v>
                </c:pt>
                <c:pt idx="1961" formatCode="0.000">
                  <c:v>59.316122448979584</c:v>
                </c:pt>
                <c:pt idx="1962" formatCode="0.000">
                  <c:v>59.461428571428577</c:v>
                </c:pt>
                <c:pt idx="1963" formatCode="0.000">
                  <c:v>59.61081632653061</c:v>
                </c:pt>
                <c:pt idx="1964" formatCode="0.000">
                  <c:v>59.757959183673456</c:v>
                </c:pt>
                <c:pt idx="1965" formatCode="0.000">
                  <c:v>59.916122448979571</c:v>
                </c:pt>
                <c:pt idx="1966" formatCode="0.000">
                  <c:v>60.081020408163241</c:v>
                </c:pt>
                <c:pt idx="1967" formatCode="0.000">
                  <c:v>60.249183673469368</c:v>
                </c:pt>
                <c:pt idx="1968" formatCode="0.000">
                  <c:v>60.421632653061209</c:v>
                </c:pt>
                <c:pt idx="1969" formatCode="0.000">
                  <c:v>60.591224489795906</c:v>
                </c:pt>
                <c:pt idx="1970" formatCode="0.000">
                  <c:v>60.767959183673462</c:v>
                </c:pt>
                <c:pt idx="1971" formatCode="0.000">
                  <c:v>60.920408163265293</c:v>
                </c:pt>
                <c:pt idx="1972" formatCode="0.000">
                  <c:v>61.100816326530612</c:v>
                </c:pt>
                <c:pt idx="1973" formatCode="0.000">
                  <c:v>61.274693877551023</c:v>
                </c:pt>
                <c:pt idx="1974" formatCode="0.000">
                  <c:v>61.420204081632654</c:v>
                </c:pt>
                <c:pt idx="1975" formatCode="0.000">
                  <c:v>61.583265306122449</c:v>
                </c:pt>
                <c:pt idx="1976" formatCode="0.000">
                  <c:v>61.757346938775513</c:v>
                </c:pt>
                <c:pt idx="1977" formatCode="0.000">
                  <c:v>61.900000000000006</c:v>
                </c:pt>
                <c:pt idx="1978" formatCode="0.000">
                  <c:v>62.009183673469394</c:v>
                </c:pt>
                <c:pt idx="1979" formatCode="0.000">
                  <c:v>62.075510204081638</c:v>
                </c:pt>
                <c:pt idx="1980" formatCode="0.000">
                  <c:v>62.157346938775518</c:v>
                </c:pt>
                <c:pt idx="1981" formatCode="0.000">
                  <c:v>62.220204081632673</c:v>
                </c:pt>
                <c:pt idx="1982" formatCode="0.000">
                  <c:v>62.248163265306147</c:v>
                </c:pt>
                <c:pt idx="1983" formatCode="0.000">
                  <c:v>62.292244897959208</c:v>
                </c:pt>
                <c:pt idx="1984" formatCode="0.000">
                  <c:v>62.324285714285729</c:v>
                </c:pt>
                <c:pt idx="1985" formatCode="0.000">
                  <c:v>62.37775510204083</c:v>
                </c:pt>
                <c:pt idx="1986" formatCode="0.000">
                  <c:v>62.436938775510214</c:v>
                </c:pt>
                <c:pt idx="1987" formatCode="0.000">
                  <c:v>62.448163265306121</c:v>
                </c:pt>
                <c:pt idx="1988" formatCode="0.000">
                  <c:v>62.452857142857134</c:v>
                </c:pt>
                <c:pt idx="1989" formatCode="0.000">
                  <c:v>62.462653061224479</c:v>
                </c:pt>
                <c:pt idx="1990" formatCode="0.000">
                  <c:v>62.492448979591821</c:v>
                </c:pt>
                <c:pt idx="1991" formatCode="0.000">
                  <c:v>62.48571428571428</c:v>
                </c:pt>
                <c:pt idx="1992" formatCode="0.000">
                  <c:v>62.477755102040803</c:v>
                </c:pt>
                <c:pt idx="1993" formatCode="0.000">
                  <c:v>62.479387755102024</c:v>
                </c:pt>
                <c:pt idx="1994" formatCode="0.000">
                  <c:v>62.476530612244879</c:v>
                </c:pt>
                <c:pt idx="1995" formatCode="0.000">
                  <c:v>62.478979591836712</c:v>
                </c:pt>
                <c:pt idx="1996" formatCode="0.000">
                  <c:v>62.49142857142855</c:v>
                </c:pt>
                <c:pt idx="1997" formatCode="0.000">
                  <c:v>62.495306122448959</c:v>
                </c:pt>
                <c:pt idx="1998" formatCode="0.000">
                  <c:v>62.458571428571418</c:v>
                </c:pt>
                <c:pt idx="1999" formatCode="0.000">
                  <c:v>62.407142857142844</c:v>
                </c:pt>
                <c:pt idx="2000" formatCode="0.000">
                  <c:v>62.356938775510187</c:v>
                </c:pt>
                <c:pt idx="2001" formatCode="0.000">
                  <c:v>62.303469387755101</c:v>
                </c:pt>
                <c:pt idx="2002" formatCode="0.000">
                  <c:v>62.242653061224487</c:v>
                </c:pt>
                <c:pt idx="2003" formatCode="0.000">
                  <c:v>62.184285714285707</c:v>
                </c:pt>
                <c:pt idx="2004" formatCode="0.000">
                  <c:v>62.10285714285714</c:v>
                </c:pt>
                <c:pt idx="2005" formatCode="0.000">
                  <c:v>62.037755102040812</c:v>
                </c:pt>
                <c:pt idx="2006" formatCode="0.000">
                  <c:v>61.940612244897963</c:v>
                </c:pt>
                <c:pt idx="2007" formatCode="0.000">
                  <c:v>61.861428571428576</c:v>
                </c:pt>
                <c:pt idx="2008" formatCode="0.000">
                  <c:v>61.775306122448974</c:v>
                </c:pt>
                <c:pt idx="2009" formatCode="0.000">
                  <c:v>61.705510204081634</c:v>
                </c:pt>
                <c:pt idx="2010" formatCode="0.000">
                  <c:v>61.623673469387761</c:v>
                </c:pt>
                <c:pt idx="2011" formatCode="0.000">
                  <c:v>61.559183673469398</c:v>
                </c:pt>
                <c:pt idx="2012" formatCode="0.000">
                  <c:v>61.480000000000011</c:v>
                </c:pt>
                <c:pt idx="2013" formatCode="0.000">
                  <c:v>61.395306122448993</c:v>
                </c:pt>
                <c:pt idx="2014" formatCode="0.000">
                  <c:v>61.310204081632669</c:v>
                </c:pt>
                <c:pt idx="2015" formatCode="0.000">
                  <c:v>61.236734693877558</c:v>
                </c:pt>
                <c:pt idx="2016" formatCode="0.000">
                  <c:v>61.157346938775518</c:v>
                </c:pt>
                <c:pt idx="2017" formatCode="0.000">
                  <c:v>61.09367346938776</c:v>
                </c:pt>
                <c:pt idx="2018" formatCode="0.000">
                  <c:v>61.025306122448981</c:v>
                </c:pt>
                <c:pt idx="2019" formatCode="0.000">
                  <c:v>60.955102040816342</c:v>
                </c:pt>
                <c:pt idx="2020" formatCode="0.000">
                  <c:v>60.887142857142869</c:v>
                </c:pt>
                <c:pt idx="2021" formatCode="0.000">
                  <c:v>60.810000000000009</c:v>
                </c:pt>
                <c:pt idx="2022" formatCode="0.000">
                  <c:v>60.713061224489806</c:v>
                </c:pt>
                <c:pt idx="2023" formatCode="0.000">
                  <c:v>60.624081632653066</c:v>
                </c:pt>
                <c:pt idx="2024" formatCode="0.000">
                  <c:v>60.539591836734701</c:v>
                </c:pt>
                <c:pt idx="2025" formatCode="0.000">
                  <c:v>60.46653061224491</c:v>
                </c:pt>
                <c:pt idx="2026" formatCode="0.000">
                  <c:v>60.415102040816329</c:v>
                </c:pt>
                <c:pt idx="2027" formatCode="0.000">
                  <c:v>60.361632653061228</c:v>
                </c:pt>
                <c:pt idx="2028" formatCode="0.000">
                  <c:v>60.317142857142855</c:v>
                </c:pt>
                <c:pt idx="2029" formatCode="0.000">
                  <c:v>60.26</c:v>
                </c:pt>
                <c:pt idx="2030" formatCode="0.000">
                  <c:v>60.213265306122445</c:v>
                </c:pt>
                <c:pt idx="2031" formatCode="0.000">
                  <c:v>60.170816326530613</c:v>
                </c:pt>
                <c:pt idx="2032" formatCode="0.000">
                  <c:v>60.128163265306128</c:v>
                </c:pt>
                <c:pt idx="2033" formatCode="0.000">
                  <c:v>60.121836734693886</c:v>
                </c:pt>
                <c:pt idx="2034" formatCode="0.000">
                  <c:v>60.12020408163265</c:v>
                </c:pt>
                <c:pt idx="2035" formatCode="0.000">
                  <c:v>60.114897959183679</c:v>
                </c:pt>
                <c:pt idx="2036" formatCode="0.000">
                  <c:v>60.156734693877546</c:v>
                </c:pt>
                <c:pt idx="2037" formatCode="0.000">
                  <c:v>60.200204081632648</c:v>
                </c:pt>
                <c:pt idx="2038" formatCode="0.000">
                  <c:v>60.24</c:v>
                </c:pt>
                <c:pt idx="2039" formatCode="0.000">
                  <c:v>60.284285714285723</c:v>
                </c:pt>
                <c:pt idx="2040" formatCode="0.000">
                  <c:v>60.318163265306133</c:v>
                </c:pt>
                <c:pt idx="2041" formatCode="0.000">
                  <c:v>60.356326530612264</c:v>
                </c:pt>
                <c:pt idx="2042" formatCode="0.000">
                  <c:v>60.397755102040833</c:v>
                </c:pt>
                <c:pt idx="2043" formatCode="0.000">
                  <c:v>60.442653061224512</c:v>
                </c:pt>
                <c:pt idx="2044" formatCode="0.000">
                  <c:v>60.482244897959205</c:v>
                </c:pt>
                <c:pt idx="2045" formatCode="0.000">
                  <c:v>60.510204081632672</c:v>
                </c:pt>
                <c:pt idx="2046" formatCode="0.000">
                  <c:v>60.547346938775526</c:v>
                </c:pt>
                <c:pt idx="2047" formatCode="0.000">
                  <c:v>60.603877551020432</c:v>
                </c:pt>
                <c:pt idx="2048" formatCode="0.000">
                  <c:v>60.677959183673494</c:v>
                </c:pt>
                <c:pt idx="2049" formatCode="0.000">
                  <c:v>60.747142857142876</c:v>
                </c:pt>
                <c:pt idx="2050" formatCode="0.000">
                  <c:v>60.820816326530625</c:v>
                </c:pt>
                <c:pt idx="2051" formatCode="0.000">
                  <c:v>60.907346938775532</c:v>
                </c:pt>
                <c:pt idx="2052" formatCode="0.000">
                  <c:v>60.997755102040834</c:v>
                </c:pt>
                <c:pt idx="2053" formatCode="0.000">
                  <c:v>61.086122448979594</c:v>
                </c:pt>
                <c:pt idx="2054" formatCode="0.000">
                  <c:v>61.152448979591838</c:v>
                </c:pt>
                <c:pt idx="2055" formatCode="0.000">
                  <c:v>61.233265306122462</c:v>
                </c:pt>
                <c:pt idx="2056" formatCode="0.000">
                  <c:v>61.316734693877549</c:v>
                </c:pt>
                <c:pt idx="2057" formatCode="0.000">
                  <c:v>61.417346938775516</c:v>
                </c:pt>
                <c:pt idx="2058" formatCode="0.000">
                  <c:v>61.502653061224493</c:v>
                </c:pt>
                <c:pt idx="2059" formatCode="0.000">
                  <c:v>61.588571428571441</c:v>
                </c:pt>
                <c:pt idx="2060" formatCode="0.000">
                  <c:v>61.663469387755107</c:v>
                </c:pt>
                <c:pt idx="2061" formatCode="0.000">
                  <c:v>61.737551020408169</c:v>
                </c:pt>
                <c:pt idx="2062" formatCode="0.000">
                  <c:v>61.822857142857146</c:v>
                </c:pt>
                <c:pt idx="2063" formatCode="0.000">
                  <c:v>61.9065306122449</c:v>
                </c:pt>
                <c:pt idx="2064" formatCode="0.000">
                  <c:v>61.98571428571428</c:v>
                </c:pt>
                <c:pt idx="2065" formatCode="0.000">
                  <c:v>62.080408163265304</c:v>
                </c:pt>
                <c:pt idx="2066" formatCode="0.000">
                  <c:v>62.164897959183669</c:v>
                </c:pt>
                <c:pt idx="2067" formatCode="0.000">
                  <c:v>62.260204081632665</c:v>
                </c:pt>
                <c:pt idx="2068" formatCode="0.000">
                  <c:v>62.333265306122456</c:v>
                </c:pt>
                <c:pt idx="2069" formatCode="0.000">
                  <c:v>62.398775510204089</c:v>
                </c:pt>
                <c:pt idx="2070" formatCode="0.000">
                  <c:v>62.462244897959195</c:v>
                </c:pt>
                <c:pt idx="2071" formatCode="0.000">
                  <c:v>62.530408163265321</c:v>
                </c:pt>
                <c:pt idx="2072" formatCode="0.000">
                  <c:v>62.604285714285723</c:v>
                </c:pt>
                <c:pt idx="2073" formatCode="0.000">
                  <c:v>62.638979591836751</c:v>
                </c:pt>
                <c:pt idx="2074" formatCode="0.000">
                  <c:v>62.666938775510218</c:v>
                </c:pt>
                <c:pt idx="2075" formatCode="0.000">
                  <c:v>62.676122448979605</c:v>
                </c:pt>
                <c:pt idx="2076" formatCode="0.000">
                  <c:v>62.678367346938778</c:v>
                </c:pt>
                <c:pt idx="2077" formatCode="0.000">
                  <c:v>62.683265306122465</c:v>
                </c:pt>
                <c:pt idx="2078" formatCode="0.000">
                  <c:v>62.666530612244919</c:v>
                </c:pt>
                <c:pt idx="2079" formatCode="0.000">
                  <c:v>62.653061224489818</c:v>
                </c:pt>
                <c:pt idx="2080" formatCode="0.000">
                  <c:v>62.652040816326547</c:v>
                </c:pt>
                <c:pt idx="2081" formatCode="0.000">
                  <c:v>62.677346938775528</c:v>
                </c:pt>
                <c:pt idx="2082" formatCode="0.000">
                  <c:v>62.67428571428573</c:v>
                </c:pt>
                <c:pt idx="2083" formatCode="0.000">
                  <c:v>62.653061224489804</c:v>
                </c:pt>
                <c:pt idx="2084" formatCode="0.000">
                  <c:v>62.628571428571433</c:v>
                </c:pt>
                <c:pt idx="2085" formatCode="0.000">
                  <c:v>62.59816326530612</c:v>
                </c:pt>
                <c:pt idx="2086" formatCode="0.000">
                  <c:v>62.570000000000007</c:v>
                </c:pt>
                <c:pt idx="2087" formatCode="0.000">
                  <c:v>62.532857142857146</c:v>
                </c:pt>
                <c:pt idx="2088" formatCode="0.000">
                  <c:v>62.493061224489793</c:v>
                </c:pt>
                <c:pt idx="2089" formatCode="0.000">
                  <c:v>62.465510204081625</c:v>
                </c:pt>
                <c:pt idx="2090" formatCode="0.000">
                  <c:v>62.433469387755089</c:v>
                </c:pt>
                <c:pt idx="2091" formatCode="0.000">
                  <c:v>62.409591836734691</c:v>
                </c:pt>
                <c:pt idx="2092" formatCode="0.000">
                  <c:v>62.380408163265301</c:v>
                </c:pt>
                <c:pt idx="2093" formatCode="0.000">
                  <c:v>62.356938775510201</c:v>
                </c:pt>
                <c:pt idx="2094" formatCode="0.000">
                  <c:v>62.339795918367329</c:v>
                </c:pt>
                <c:pt idx="2095" formatCode="0.000">
                  <c:v>62.29999999999999</c:v>
                </c:pt>
                <c:pt idx="2096" formatCode="0.000">
                  <c:v>62.262653061224469</c:v>
                </c:pt>
                <c:pt idx="2097" formatCode="0.000">
                  <c:v>62.214285714285708</c:v>
                </c:pt>
                <c:pt idx="2098" formatCode="0.000">
                  <c:v>62.152244897959179</c:v>
                </c:pt>
                <c:pt idx="2099" formatCode="0.000">
                  <c:v>62.077551020408158</c:v>
                </c:pt>
                <c:pt idx="2100" formatCode="0.000">
                  <c:v>62.001224489795909</c:v>
                </c:pt>
                <c:pt idx="2101" formatCode="0.000">
                  <c:v>61.930408163265298</c:v>
                </c:pt>
                <c:pt idx="2102" formatCode="0.000">
                  <c:v>61.870816326530601</c:v>
                </c:pt>
                <c:pt idx="2103" formatCode="0.000">
                  <c:v>61.803673469387746</c:v>
                </c:pt>
                <c:pt idx="2104" formatCode="0.000">
                  <c:v>61.726326530612248</c:v>
                </c:pt>
                <c:pt idx="2105" formatCode="0.000">
                  <c:v>61.637142857142855</c:v>
                </c:pt>
                <c:pt idx="2106" formatCode="0.000">
                  <c:v>61.542653061224492</c:v>
                </c:pt>
                <c:pt idx="2107" formatCode="0.000">
                  <c:v>61.451632653061218</c:v>
                </c:pt>
                <c:pt idx="2108" formatCode="0.000">
                  <c:v>61.376938775510197</c:v>
                </c:pt>
                <c:pt idx="2109" formatCode="0.000">
                  <c:v>61.320816326530618</c:v>
                </c:pt>
                <c:pt idx="2110" formatCode="0.000">
                  <c:v>61.261428571428567</c:v>
                </c:pt>
                <c:pt idx="2111" formatCode="0.000">
                  <c:v>61.191020408163268</c:v>
                </c:pt>
                <c:pt idx="2112" formatCode="0.000">
                  <c:v>61.144489795918368</c:v>
                </c:pt>
                <c:pt idx="2113" formatCode="0.000">
                  <c:v>61.124081632653059</c:v>
                </c:pt>
                <c:pt idx="2114" formatCode="0.000">
                  <c:v>61.102448979591834</c:v>
                </c:pt>
                <c:pt idx="2115" formatCode="0.000">
                  <c:v>61.073877551020409</c:v>
                </c:pt>
                <c:pt idx="2116" formatCode="0.000">
                  <c:v>61.035918367346945</c:v>
                </c:pt>
                <c:pt idx="2117" formatCode="0.000">
                  <c:v>61.017755102040823</c:v>
                </c:pt>
                <c:pt idx="2118" formatCode="0.000">
                  <c:v>61.001836734693882</c:v>
                </c:pt>
                <c:pt idx="2119" formatCode="0.000">
                  <c:v>60.988163265306127</c:v>
                </c:pt>
                <c:pt idx="2120" formatCode="0.000">
                  <c:v>60.970408163265297</c:v>
                </c:pt>
                <c:pt idx="2121" formatCode="0.000">
                  <c:v>60.948775510204086</c:v>
                </c:pt>
                <c:pt idx="2122" formatCode="0.000">
                  <c:v>60.957959183673474</c:v>
                </c:pt>
                <c:pt idx="2123" formatCode="0.000">
                  <c:v>60.962857142857139</c:v>
                </c:pt>
                <c:pt idx="2124" formatCode="0.000">
                  <c:v>60.959387755102036</c:v>
                </c:pt>
                <c:pt idx="2125" formatCode="0.000">
                  <c:v>60.975306122448977</c:v>
                </c:pt>
                <c:pt idx="2126" formatCode="0.000">
                  <c:v>60.988775510204079</c:v>
                </c:pt>
                <c:pt idx="2127" formatCode="0.000">
                  <c:v>61.014897959183664</c:v>
                </c:pt>
                <c:pt idx="2128" formatCode="0.000">
                  <c:v>61.040612244897957</c:v>
                </c:pt>
                <c:pt idx="2129" formatCode="0.000">
                  <c:v>61.064489795918362</c:v>
                </c:pt>
                <c:pt idx="2130" formatCode="0.000">
                  <c:v>61.058775510204086</c:v>
                </c:pt>
                <c:pt idx="2131" formatCode="0.000">
                  <c:v>61.053061224489802</c:v>
                </c:pt>
                <c:pt idx="2132" formatCode="0.000">
                  <c:v>61.056530612244899</c:v>
                </c:pt>
                <c:pt idx="2133" formatCode="0.000">
                  <c:v>61.064489795918362</c:v>
                </c:pt>
                <c:pt idx="2134" formatCode="0.000">
                  <c:v>61.076326530612242</c:v>
                </c:pt>
                <c:pt idx="2135" formatCode="0.000">
                  <c:v>61.075510204081631</c:v>
                </c:pt>
                <c:pt idx="2136" formatCode="0.000">
                  <c:v>61.07244897959184</c:v>
                </c:pt>
                <c:pt idx="2137" formatCode="0.000">
                  <c:v>61.068775510204077</c:v>
                </c:pt>
                <c:pt idx="2138" formatCode="0.000">
                  <c:v>61.053469387755108</c:v>
                </c:pt>
                <c:pt idx="2139" formatCode="0.000">
                  <c:v>61.03632653061225</c:v>
                </c:pt>
                <c:pt idx="2140" formatCode="0.000">
                  <c:v>61.013673469387754</c:v>
                </c:pt>
                <c:pt idx="2141" formatCode="0.000">
                  <c:v>60.998163265306125</c:v>
                </c:pt>
                <c:pt idx="2142" formatCode="0.000">
                  <c:v>60.978571428571435</c:v>
                </c:pt>
                <c:pt idx="2143" formatCode="0.000">
                  <c:v>60.937346938775505</c:v>
                </c:pt>
                <c:pt idx="2144" formatCode="0.000">
                  <c:v>60.898775510204082</c:v>
                </c:pt>
                <c:pt idx="2145" formatCode="0.000">
                  <c:v>60.849795918367342</c:v>
                </c:pt>
                <c:pt idx="2146" formatCode="0.000">
                  <c:v>60.802653061224497</c:v>
                </c:pt>
                <c:pt idx="2147" formatCode="0.000">
                  <c:v>60.757959183673464</c:v>
                </c:pt>
                <c:pt idx="2148" formatCode="0.000">
                  <c:v>60.723469387755095</c:v>
                </c:pt>
                <c:pt idx="2149" formatCode="0.000">
                  <c:v>60.696122448979594</c:v>
                </c:pt>
                <c:pt idx="2150" formatCode="0.000">
                  <c:v>60.6495918367347</c:v>
                </c:pt>
                <c:pt idx="2151" formatCode="0.000">
                  <c:v>60.596734693877565</c:v>
                </c:pt>
                <c:pt idx="2152" formatCode="0.000">
                  <c:v>60.553877551020427</c:v>
                </c:pt>
                <c:pt idx="2153" formatCode="0.000">
                  <c:v>60.516734693877567</c:v>
                </c:pt>
                <c:pt idx="2154" formatCode="0.000">
                  <c:v>60.496122448979612</c:v>
                </c:pt>
                <c:pt idx="2155" formatCode="0.000">
                  <c:v>60.468775510204097</c:v>
                </c:pt>
                <c:pt idx="2156" formatCode="0.000">
                  <c:v>60.440204081632665</c:v>
                </c:pt>
                <c:pt idx="2157" formatCode="0.000">
                  <c:v>60.382857142857155</c:v>
                </c:pt>
                <c:pt idx="2158" formatCode="0.000">
                  <c:v>60.315510204081654</c:v>
                </c:pt>
                <c:pt idx="2159" formatCode="0.000">
                  <c:v>60.237755102040836</c:v>
                </c:pt>
                <c:pt idx="2160" formatCode="0.000">
                  <c:v>60.155306122448998</c:v>
                </c:pt>
                <c:pt idx="2161" formatCode="0.000">
                  <c:v>60.039183673469388</c:v>
                </c:pt>
                <c:pt idx="2162" formatCode="0.000">
                  <c:v>59.904897959183678</c:v>
                </c:pt>
                <c:pt idx="2163" formatCode="0.000">
                  <c:v>59.773061224489801</c:v>
                </c:pt>
                <c:pt idx="2164" formatCode="0.000">
                  <c:v>59.630612244897954</c:v>
                </c:pt>
                <c:pt idx="2165" formatCode="0.000">
                  <c:v>59.48020408163265</c:v>
                </c:pt>
                <c:pt idx="2166" formatCode="0.000">
                  <c:v>59.316734693877542</c:v>
                </c:pt>
                <c:pt idx="2167" formatCode="0.000">
                  <c:v>59.111428571428576</c:v>
                </c:pt>
                <c:pt idx="2168" formatCode="0.000">
                  <c:v>58.920816326530613</c:v>
                </c:pt>
                <c:pt idx="2169" formatCode="0.000">
                  <c:v>58.736122448979586</c:v>
                </c:pt>
                <c:pt idx="2170" formatCode="0.000">
                  <c:v>58.578163265306124</c:v>
                </c:pt>
                <c:pt idx="2171" formatCode="0.000">
                  <c:v>58.409795918367358</c:v>
                </c:pt>
                <c:pt idx="2172" formatCode="0.000">
                  <c:v>58.229591836734706</c:v>
                </c:pt>
                <c:pt idx="2173" formatCode="0.000">
                  <c:v>58.070000000000007</c:v>
                </c:pt>
                <c:pt idx="2174" formatCode="0.000">
                  <c:v>57.911632653061218</c:v>
                </c:pt>
                <c:pt idx="2175" formatCode="0.000">
                  <c:v>57.771836734693871</c:v>
                </c:pt>
                <c:pt idx="2176" formatCode="0.000">
                  <c:v>57.628775510204093</c:v>
                </c:pt>
                <c:pt idx="2177" formatCode="0.000">
                  <c:v>57.494693877551022</c:v>
                </c:pt>
                <c:pt idx="2178" formatCode="0.000">
                  <c:v>57.360000000000014</c:v>
                </c:pt>
                <c:pt idx="2179" formatCode="0.000">
                  <c:v>57.221224489795929</c:v>
                </c:pt>
                <c:pt idx="2180" formatCode="0.000">
                  <c:v>57.122653061224497</c:v>
                </c:pt>
                <c:pt idx="2181" formatCode="0.000">
                  <c:v>57.033673469387764</c:v>
                </c:pt>
                <c:pt idx="2182" formatCode="0.000">
                  <c:v>56.935102040816339</c:v>
                </c:pt>
                <c:pt idx="2183" formatCode="0.000">
                  <c:v>56.818571428571438</c:v>
                </c:pt>
                <c:pt idx="2184" formatCode="0.000">
                  <c:v>56.731224489795927</c:v>
                </c:pt>
                <c:pt idx="2185" formatCode="0.000">
                  <c:v>56.658367346938782</c:v>
                </c:pt>
                <c:pt idx="2186" formatCode="0.000">
                  <c:v>56.580204081632658</c:v>
                </c:pt>
                <c:pt idx="2187" formatCode="0.000">
                  <c:v>56.518571428571434</c:v>
                </c:pt>
                <c:pt idx="2188" formatCode="0.000">
                  <c:v>56.444081632653059</c:v>
                </c:pt>
                <c:pt idx="2189" formatCode="0.000">
                  <c:v>56.370816326530601</c:v>
                </c:pt>
                <c:pt idx="2190" formatCode="0.000">
                  <c:v>56.303061224489788</c:v>
                </c:pt>
                <c:pt idx="2191" formatCode="0.000">
                  <c:v>56.234081632653059</c:v>
                </c:pt>
                <c:pt idx="2192" formatCode="0.000">
                  <c:v>56.169387755102029</c:v>
                </c:pt>
                <c:pt idx="2193" formatCode="0.000">
                  <c:v>56.116530612244887</c:v>
                </c:pt>
                <c:pt idx="2194" formatCode="0.000">
                  <c:v>56.077959183673457</c:v>
                </c:pt>
                <c:pt idx="2195" formatCode="0.000">
                  <c:v>56.043673469387734</c:v>
                </c:pt>
                <c:pt idx="2196" formatCode="0.000">
                  <c:v>56.020816326530593</c:v>
                </c:pt>
                <c:pt idx="2197" formatCode="0.000">
                  <c:v>55.996734693877542</c:v>
                </c:pt>
                <c:pt idx="2198" formatCode="0.000">
                  <c:v>55.963673469387743</c:v>
                </c:pt>
                <c:pt idx="2199" formatCode="0.000">
                  <c:v>55.945306122448962</c:v>
                </c:pt>
                <c:pt idx="2200" formatCode="0.000">
                  <c:v>55.936938775510193</c:v>
                </c:pt>
                <c:pt idx="2201" formatCode="0.000">
                  <c:v>55.936122448979589</c:v>
                </c:pt>
                <c:pt idx="2202" formatCode="0.000">
                  <c:v>55.948979591836746</c:v>
                </c:pt>
                <c:pt idx="2203" formatCode="0.000">
                  <c:v>55.95224489795919</c:v>
                </c:pt>
                <c:pt idx="2204" formatCode="0.000">
                  <c:v>55.960408163265306</c:v>
                </c:pt>
                <c:pt idx="2205" formatCode="0.000">
                  <c:v>55.956122448979599</c:v>
                </c:pt>
                <c:pt idx="2206" formatCode="0.000">
                  <c:v>55.974489795918387</c:v>
                </c:pt>
                <c:pt idx="2207" formatCode="0.000">
                  <c:v>55.995714285714307</c:v>
                </c:pt>
                <c:pt idx="2208" formatCode="0.000">
                  <c:v>56.027755102040835</c:v>
                </c:pt>
                <c:pt idx="2209" formatCode="0.000">
                  <c:v>56.071224489795945</c:v>
                </c:pt>
                <c:pt idx="2210" formatCode="0.000">
                  <c:v>56.125306122448997</c:v>
                </c:pt>
                <c:pt idx="2211" formatCode="0.000">
                  <c:v>56.185102040816332</c:v>
                </c:pt>
                <c:pt idx="2212" formatCode="0.000">
                  <c:v>56.2387755102041</c:v>
                </c:pt>
                <c:pt idx="2213" formatCode="0.000">
                  <c:v>56.311428571428578</c:v>
                </c:pt>
                <c:pt idx="2214" formatCode="0.000">
                  <c:v>56.404081632653067</c:v>
                </c:pt>
                <c:pt idx="2215" formatCode="0.000">
                  <c:v>56.503877551020402</c:v>
                </c:pt>
                <c:pt idx="2216" formatCode="0.000">
                  <c:v>56.639795918367348</c:v>
                </c:pt>
                <c:pt idx="2217" formatCode="0.000">
                  <c:v>56.751224489795909</c:v>
                </c:pt>
                <c:pt idx="2218" formatCode="0.000">
                  <c:v>56.876530612244885</c:v>
                </c:pt>
                <c:pt idx="2219" formatCode="0.000">
                  <c:v>56.974489795918359</c:v>
                </c:pt>
                <c:pt idx="2220" formatCode="0.000">
                  <c:v>57.054081632653052</c:v>
                </c:pt>
                <c:pt idx="2221" formatCode="0.000">
                  <c:v>57.159795918367337</c:v>
                </c:pt>
                <c:pt idx="2222" formatCode="0.000">
                  <c:v>57.270612244897961</c:v>
                </c:pt>
                <c:pt idx="2223" formatCode="0.000">
                  <c:v>57.375306122448976</c:v>
                </c:pt>
                <c:pt idx="2224" formatCode="0.000">
                  <c:v>57.470000000000006</c:v>
                </c:pt>
                <c:pt idx="2225" formatCode="0.000">
                  <c:v>57.565918367346939</c:v>
                </c:pt>
                <c:pt idx="2226" formatCode="0.000">
                  <c:v>57.659387755102038</c:v>
                </c:pt>
                <c:pt idx="2227" formatCode="0.000">
                  <c:v>57.766530612244885</c:v>
                </c:pt>
                <c:pt idx="2228" formatCode="0.000">
                  <c:v>57.886530612244897</c:v>
                </c:pt>
                <c:pt idx="2229" formatCode="0.000">
                  <c:v>57.970612244897964</c:v>
                </c:pt>
                <c:pt idx="2230" formatCode="0.000">
                  <c:v>58.043061224489804</c:v>
                </c:pt>
                <c:pt idx="2231" formatCode="0.000">
                  <c:v>58.131428571428579</c:v>
                </c:pt>
                <c:pt idx="2232" formatCode="0.000">
                  <c:v>58.228571428571435</c:v>
                </c:pt>
                <c:pt idx="2233" formatCode="0.000">
                  <c:v>58.311224489795919</c:v>
                </c:pt>
                <c:pt idx="2234" formatCode="0.000">
                  <c:v>58.378979591836732</c:v>
                </c:pt>
                <c:pt idx="2235" formatCode="0.000">
                  <c:v>58.459591836734695</c:v>
                </c:pt>
                <c:pt idx="2236" formatCode="0.000">
                  <c:v>58.518775510204073</c:v>
                </c:pt>
                <c:pt idx="2237" formatCode="0.000">
                  <c:v>58.585102040816309</c:v>
                </c:pt>
                <c:pt idx="2238" formatCode="0.000">
                  <c:v>58.650204081632637</c:v>
                </c:pt>
                <c:pt idx="2239" formatCode="0.000">
                  <c:v>58.704285714285703</c:v>
                </c:pt>
                <c:pt idx="2240" formatCode="0.000">
                  <c:v>58.754897959183658</c:v>
                </c:pt>
                <c:pt idx="2241" formatCode="0.000">
                  <c:v>58.819999999999979</c:v>
                </c:pt>
                <c:pt idx="2242" formatCode="0.000">
                  <c:v>58.864693877550998</c:v>
                </c:pt>
                <c:pt idx="2243" formatCode="0.000">
                  <c:v>58.910204081632635</c:v>
                </c:pt>
                <c:pt idx="2244" formatCode="0.000">
                  <c:v>58.956530612244869</c:v>
                </c:pt>
                <c:pt idx="2245" formatCode="0.000">
                  <c:v>59.007959183673442</c:v>
                </c:pt>
                <c:pt idx="2246" formatCode="0.000">
                  <c:v>59.064081632653028</c:v>
                </c:pt>
                <c:pt idx="2247" formatCode="0.000">
                  <c:v>59.109591836734651</c:v>
                </c:pt>
                <c:pt idx="2248" formatCode="0.000">
                  <c:v>59.182653061224457</c:v>
                </c:pt>
                <c:pt idx="2249" formatCode="0.000">
                  <c:v>59.233877551020385</c:v>
                </c:pt>
                <c:pt idx="2250" formatCode="0.000">
                  <c:v>59.266938775510177</c:v>
                </c:pt>
                <c:pt idx="2251" formatCode="0.000">
                  <c:v>59.29489795918365</c:v>
                </c:pt>
                <c:pt idx="2252" formatCode="0.000">
                  <c:v>59.326122448979575</c:v>
                </c:pt>
                <c:pt idx="2253" formatCode="0.000">
                  <c:v>59.351632653061216</c:v>
                </c:pt>
                <c:pt idx="2254" formatCode="0.000">
                  <c:v>59.378775510204072</c:v>
                </c:pt>
                <c:pt idx="2255" formatCode="0.000">
                  <c:v>59.404489795918352</c:v>
                </c:pt>
                <c:pt idx="2256" formatCode="0.000">
                  <c:v>59.418979591836717</c:v>
                </c:pt>
                <c:pt idx="2257" formatCode="0.000">
                  <c:v>59.433673469387749</c:v>
                </c:pt>
                <c:pt idx="2258" formatCode="0.000">
                  <c:v>59.448775510204079</c:v>
                </c:pt>
                <c:pt idx="2259" formatCode="0.000">
                  <c:v>59.464897959183659</c:v>
                </c:pt>
                <c:pt idx="2260" formatCode="0.000">
                  <c:v>59.504897959183651</c:v>
                </c:pt>
                <c:pt idx="2261" formatCode="0.000">
                  <c:v>59.558571428571405</c:v>
                </c:pt>
                <c:pt idx="2262" formatCode="0.000">
                  <c:v>59.601632653061209</c:v>
                </c:pt>
                <c:pt idx="2263" formatCode="0.000">
                  <c:v>59.637959183673452</c:v>
                </c:pt>
                <c:pt idx="2264" formatCode="0.000">
                  <c:v>59.653877551020386</c:v>
                </c:pt>
                <c:pt idx="2265" formatCode="0.000">
                  <c:v>59.680408163265291</c:v>
                </c:pt>
                <c:pt idx="2266" formatCode="0.000">
                  <c:v>59.717142857142846</c:v>
                </c:pt>
                <c:pt idx="2267" formatCode="0.000">
                  <c:v>59.737551020408148</c:v>
                </c:pt>
                <c:pt idx="2268" formatCode="0.000">
                  <c:v>59.751836734693875</c:v>
                </c:pt>
                <c:pt idx="2269" formatCode="0.000">
                  <c:v>59.796734693877539</c:v>
                </c:pt>
                <c:pt idx="2270" formatCode="0.000">
                  <c:v>59.827959183673464</c:v>
                </c:pt>
                <c:pt idx="2271" formatCode="0.000">
                  <c:v>59.853061224489799</c:v>
                </c:pt>
                <c:pt idx="2272" formatCode="0.000">
                  <c:v>59.871020408163261</c:v>
                </c:pt>
                <c:pt idx="2273" formatCode="0.000">
                  <c:v>59.887551020408168</c:v>
                </c:pt>
                <c:pt idx="2274" formatCode="0.000">
                  <c:v>59.917959183673467</c:v>
                </c:pt>
                <c:pt idx="2275" formatCode="0.000">
                  <c:v>59.95</c:v>
                </c:pt>
                <c:pt idx="2276" formatCode="0.000">
                  <c:v>59.976530612244908</c:v>
                </c:pt>
                <c:pt idx="2277" formatCode="0.000">
                  <c:v>59.987551020408169</c:v>
                </c:pt>
                <c:pt idx="2278" formatCode="0.000">
                  <c:v>59.990000000000016</c:v>
                </c:pt>
                <c:pt idx="2279" formatCode="0.000">
                  <c:v>59.999387755102056</c:v>
                </c:pt>
                <c:pt idx="2280" formatCode="0.000">
                  <c:v>60.001836734693882</c:v>
                </c:pt>
                <c:pt idx="2281" formatCode="0.000">
                  <c:v>60.017142857142872</c:v>
                </c:pt>
                <c:pt idx="2282" formatCode="0.000">
                  <c:v>60.022653061224496</c:v>
                </c:pt>
                <c:pt idx="2283" formatCode="0.000">
                  <c:v>60.036530612244896</c:v>
                </c:pt>
                <c:pt idx="2284" formatCode="0.000">
                  <c:v>60.036734693877548</c:v>
                </c:pt>
                <c:pt idx="2285" formatCode="0.000">
                  <c:v>60.04795918367347</c:v>
                </c:pt>
                <c:pt idx="2286" formatCode="0.000">
                  <c:v>60.069183673469382</c:v>
                </c:pt>
                <c:pt idx="2287" formatCode="0.000">
                  <c:v>60.089999999999996</c:v>
                </c:pt>
                <c:pt idx="2288" formatCode="0.000">
                  <c:v>60.107346938775507</c:v>
                </c:pt>
                <c:pt idx="2289" formatCode="0.000">
                  <c:v>60.119183673469379</c:v>
                </c:pt>
                <c:pt idx="2290" formatCode="0.000">
                  <c:v>60.118775510204088</c:v>
                </c:pt>
                <c:pt idx="2291" formatCode="0.000">
                  <c:v>60.126734693877552</c:v>
                </c:pt>
                <c:pt idx="2292" formatCode="0.000">
                  <c:v>60.133877551020404</c:v>
                </c:pt>
                <c:pt idx="2293" formatCode="0.000">
                  <c:v>60.131836734693877</c:v>
                </c:pt>
                <c:pt idx="2294" formatCode="0.000">
                  <c:v>60.131632653061217</c:v>
                </c:pt>
                <c:pt idx="2295" formatCode="0.000">
                  <c:v>60.111632653061221</c:v>
                </c:pt>
                <c:pt idx="2296" formatCode="0.000">
                  <c:v>60.102653061224494</c:v>
                </c:pt>
                <c:pt idx="2297" formatCode="0.000">
                  <c:v>60.047551020408179</c:v>
                </c:pt>
                <c:pt idx="2298" formatCode="0.000">
                  <c:v>59.998571428571445</c:v>
                </c:pt>
                <c:pt idx="2299" formatCode="0.000">
                  <c:v>59.95816326530614</c:v>
                </c:pt>
                <c:pt idx="2300" formatCode="0.000">
                  <c:v>59.92897959183675</c:v>
                </c:pt>
                <c:pt idx="2301" formatCode="0.000">
                  <c:v>59.906938775510213</c:v>
                </c:pt>
                <c:pt idx="2302" formatCode="0.000">
                  <c:v>59.91387755102042</c:v>
                </c:pt>
                <c:pt idx="2303" formatCode="0.000">
                  <c:v>59.934081632653083</c:v>
                </c:pt>
                <c:pt idx="2304" formatCode="0.000">
                  <c:v>59.953265306122468</c:v>
                </c:pt>
                <c:pt idx="2305" formatCode="0.000">
                  <c:v>59.998163265306147</c:v>
                </c:pt>
                <c:pt idx="2306" formatCode="0.000">
                  <c:v>60.048163265306137</c:v>
                </c:pt>
                <c:pt idx="2307" formatCode="0.000">
                  <c:v>60.095918367346947</c:v>
                </c:pt>
                <c:pt idx="2308" formatCode="0.000">
                  <c:v>60.150000000000006</c:v>
                </c:pt>
                <c:pt idx="2309" formatCode="0.000">
                  <c:v>60.17183673469389</c:v>
                </c:pt>
                <c:pt idx="2310" formatCode="0.000">
                  <c:v>60.185918367346943</c:v>
                </c:pt>
                <c:pt idx="2311" formatCode="0.000">
                  <c:v>60.20306122448978</c:v>
                </c:pt>
                <c:pt idx="2312" formatCode="0.000">
                  <c:v>60.222857142857137</c:v>
                </c:pt>
                <c:pt idx="2313" formatCode="0.000">
                  <c:v>60.256326530612242</c:v>
                </c:pt>
                <c:pt idx="2314" formatCode="0.000">
                  <c:v>60.302857142857128</c:v>
                </c:pt>
                <c:pt idx="2315" formatCode="0.000">
                  <c:v>60.352857142857133</c:v>
                </c:pt>
                <c:pt idx="2316" formatCode="0.000">
                  <c:v>60.411224489795913</c:v>
                </c:pt>
                <c:pt idx="2317" formatCode="0.000">
                  <c:v>60.487346938775502</c:v>
                </c:pt>
                <c:pt idx="2318" formatCode="0.000">
                  <c:v>60.56428571428571</c:v>
                </c:pt>
                <c:pt idx="2319" formatCode="0.000">
                  <c:v>60.637346938775501</c:v>
                </c:pt>
                <c:pt idx="2320" formatCode="0.000">
                  <c:v>60.710408163265299</c:v>
                </c:pt>
                <c:pt idx="2321" formatCode="0.000">
                  <c:v>60.789591836734687</c:v>
                </c:pt>
                <c:pt idx="2322" formatCode="0.000">
                  <c:v>60.861224489795923</c:v>
                </c:pt>
                <c:pt idx="2323" formatCode="0.000">
                  <c:v>60.908775510204087</c:v>
                </c:pt>
                <c:pt idx="2324" formatCode="0.000">
                  <c:v>60.957959183673474</c:v>
                </c:pt>
                <c:pt idx="2325" formatCode="0.000">
                  <c:v>60.996326530612258</c:v>
                </c:pt>
                <c:pt idx="2326" formatCode="0.000">
                  <c:v>61.028775510204099</c:v>
                </c:pt>
                <c:pt idx="2327" formatCode="0.000">
                  <c:v>61.072040816326542</c:v>
                </c:pt>
                <c:pt idx="2328" formatCode="0.000">
                  <c:v>61.106530612244924</c:v>
                </c:pt>
                <c:pt idx="2329" formatCode="0.000">
                  <c:v>61.136530612244918</c:v>
                </c:pt>
                <c:pt idx="2330" formatCode="0.000">
                  <c:v>61.16142857142858</c:v>
                </c:pt>
                <c:pt idx="2331" formatCode="0.000">
                  <c:v>61.211632653061223</c:v>
                </c:pt>
                <c:pt idx="2332" formatCode="0.000">
                  <c:v>61.261428571428567</c:v>
                </c:pt>
                <c:pt idx="2333" formatCode="0.000">
                  <c:v>61.333673469387755</c:v>
                </c:pt>
                <c:pt idx="2334" formatCode="0.000">
                  <c:v>61.402653061224491</c:v>
                </c:pt>
                <c:pt idx="2335" formatCode="0.000">
                  <c:v>61.466326530612243</c:v>
                </c:pt>
                <c:pt idx="2336" formatCode="0.000">
                  <c:v>61.522040816326523</c:v>
                </c:pt>
                <c:pt idx="2337" formatCode="0.000">
                  <c:v>61.58142857142856</c:v>
                </c:pt>
                <c:pt idx="2338" formatCode="0.000">
                  <c:v>61.650816326530602</c:v>
                </c:pt>
                <c:pt idx="2339" formatCode="0.000">
                  <c:v>61.713061224489785</c:v>
                </c:pt>
                <c:pt idx="2340" formatCode="0.000">
                  <c:v>61.78836734693877</c:v>
                </c:pt>
                <c:pt idx="2341" formatCode="0.000">
                  <c:v>61.8504081632653</c:v>
                </c:pt>
                <c:pt idx="2342" formatCode="0.000">
                  <c:v>61.918775510204071</c:v>
                </c:pt>
                <c:pt idx="2343" formatCode="0.000">
                  <c:v>61.978163265306108</c:v>
                </c:pt>
                <c:pt idx="2344" formatCode="0.000">
                  <c:v>62.044693877551005</c:v>
                </c:pt>
                <c:pt idx="2345" formatCode="0.000">
                  <c:v>62.120612244897949</c:v>
                </c:pt>
                <c:pt idx="2346" formatCode="0.000">
                  <c:v>62.236734693877537</c:v>
                </c:pt>
                <c:pt idx="2347" formatCode="0.000">
                  <c:v>62.353061224489799</c:v>
                </c:pt>
                <c:pt idx="2348" formatCode="0.000">
                  <c:v>62.475306122448991</c:v>
                </c:pt>
                <c:pt idx="2349" formatCode="0.000">
                  <c:v>62.585510204081636</c:v>
                </c:pt>
                <c:pt idx="2350" formatCode="0.000">
                  <c:v>62.682244897959187</c:v>
                </c:pt>
                <c:pt idx="2351" formatCode="0.000">
                  <c:v>62.745714285714293</c:v>
                </c:pt>
                <c:pt idx="2352" formatCode="0.000">
                  <c:v>62.798775510204095</c:v>
                </c:pt>
                <c:pt idx="2353" formatCode="0.000">
                  <c:v>62.853673469387772</c:v>
                </c:pt>
                <c:pt idx="2354" formatCode="0.000">
                  <c:v>62.898775510204096</c:v>
                </c:pt>
                <c:pt idx="2355" formatCode="0.000">
                  <c:v>62.923673469387772</c:v>
                </c:pt>
                <c:pt idx="2356" formatCode="0.000">
                  <c:v>62.943061224489817</c:v>
                </c:pt>
                <c:pt idx="2357" formatCode="0.000">
                  <c:v>62.959183673469404</c:v>
                </c:pt>
                <c:pt idx="2358" formatCode="0.000">
                  <c:v>62.98632653061226</c:v>
                </c:pt>
                <c:pt idx="2359" formatCode="0.000">
                  <c:v>63.022448979591843</c:v>
                </c:pt>
                <c:pt idx="2360" formatCode="0.000">
                  <c:v>63.05142857142858</c:v>
                </c:pt>
                <c:pt idx="2361" formatCode="0.000">
                  <c:v>63.094285714285732</c:v>
                </c:pt>
                <c:pt idx="2362" formatCode="0.000">
                  <c:v>63.152653061224505</c:v>
                </c:pt>
                <c:pt idx="2363" formatCode="0.000">
                  <c:v>63.205102040816342</c:v>
                </c:pt>
                <c:pt idx="2364" formatCode="0.000">
                  <c:v>63.25489795918368</c:v>
                </c:pt>
                <c:pt idx="2365" formatCode="0.000">
                  <c:v>63.293469387755103</c:v>
                </c:pt>
                <c:pt idx="2366" formatCode="0.000">
                  <c:v>63.328163265306131</c:v>
                </c:pt>
                <c:pt idx="2367" formatCode="0.000">
                  <c:v>63.373673469387754</c:v>
                </c:pt>
                <c:pt idx="2368" formatCode="0.000">
                  <c:v>63.434285714285721</c:v>
                </c:pt>
                <c:pt idx="2369" formatCode="0.000">
                  <c:v>63.51428571428572</c:v>
                </c:pt>
                <c:pt idx="2370" formatCode="0.000">
                  <c:v>63.585918367346942</c:v>
                </c:pt>
                <c:pt idx="2371" formatCode="0.000">
                  <c:v>63.680816326530604</c:v>
                </c:pt>
                <c:pt idx="2372" formatCode="0.000">
                  <c:v>63.765918367346927</c:v>
                </c:pt>
                <c:pt idx="2373" formatCode="0.000">
                  <c:v>63.868979591836734</c:v>
                </c:pt>
                <c:pt idx="2374" formatCode="0.000">
                  <c:v>63.998163265306118</c:v>
                </c:pt>
                <c:pt idx="2375" formatCode="0.000">
                  <c:v>64.120816326530601</c:v>
                </c:pt>
                <c:pt idx="2376" formatCode="0.000">
                  <c:v>64.244285714285709</c:v>
                </c:pt>
                <c:pt idx="2377" formatCode="0.000">
                  <c:v>64.37979591836735</c:v>
                </c:pt>
                <c:pt idx="2378" formatCode="0.000">
                  <c:v>64.52326530612244</c:v>
                </c:pt>
                <c:pt idx="2379" formatCode="0.000">
                  <c:v>64.660204081632656</c:v>
                </c:pt>
                <c:pt idx="2380" formatCode="0.000">
                  <c:v>64.767142857142858</c:v>
                </c:pt>
                <c:pt idx="2381" formatCode="0.000">
                  <c:v>64.88000000000001</c:v>
                </c:pt>
                <c:pt idx="2382" formatCode="0.000">
                  <c:v>64.974693877551019</c:v>
                </c:pt>
                <c:pt idx="2383" formatCode="0.000">
                  <c:v>65.071224489795924</c:v>
                </c:pt>
                <c:pt idx="2384" formatCode="0.000">
                  <c:v>65.173877551020396</c:v>
                </c:pt>
                <c:pt idx="2385" formatCode="0.000">
                  <c:v>65.277346938775494</c:v>
                </c:pt>
                <c:pt idx="2386" formatCode="0.000">
                  <c:v>65.395510204081631</c:v>
                </c:pt>
                <c:pt idx="2387" formatCode="0.000">
                  <c:v>65.518367346938774</c:v>
                </c:pt>
                <c:pt idx="2388" formatCode="0.000">
                  <c:v>65.649999999999991</c:v>
                </c:pt>
                <c:pt idx="2389" formatCode="0.000">
                  <c:v>65.78877551020409</c:v>
                </c:pt>
                <c:pt idx="2390" formatCode="0.000">
                  <c:v>65.957959183673466</c:v>
                </c:pt>
                <c:pt idx="2391" formatCode="0.000">
                  <c:v>66.139183673469404</c:v>
                </c:pt>
                <c:pt idx="2392" formatCode="0.000">
                  <c:v>66.325306122448993</c:v>
                </c:pt>
                <c:pt idx="2393" formatCode="0.000">
                  <c:v>66.526734693877557</c:v>
                </c:pt>
                <c:pt idx="2394" formatCode="0.000">
                  <c:v>66.724693877551019</c:v>
                </c:pt>
                <c:pt idx="2395" formatCode="0.000">
                  <c:v>66.909183673469386</c:v>
                </c:pt>
                <c:pt idx="2396" formatCode="0.000">
                  <c:v>67.087142857142851</c:v>
                </c:pt>
                <c:pt idx="2397" formatCode="0.000">
                  <c:v>67.232448979591837</c:v>
                </c:pt>
                <c:pt idx="2398" formatCode="0.000">
                  <c:v>67.38</c:v>
                </c:pt>
                <c:pt idx="2399" formatCode="0.000">
                  <c:v>67.547346938775519</c:v>
                </c:pt>
                <c:pt idx="2400" formatCode="0.000">
                  <c:v>67.71612244897959</c:v>
                </c:pt>
                <c:pt idx="2401" formatCode="0.000">
                  <c:v>67.877959183673468</c:v>
                </c:pt>
                <c:pt idx="2402" formatCode="0.000">
                  <c:v>68.039183673469395</c:v>
                </c:pt>
                <c:pt idx="2403" formatCode="0.000">
                  <c:v>68.195306122448983</c:v>
                </c:pt>
                <c:pt idx="2404" formatCode="0.000">
                  <c:v>68.381836734693877</c:v>
                </c:pt>
                <c:pt idx="2405" formatCode="0.000">
                  <c:v>68.56775510204082</c:v>
                </c:pt>
                <c:pt idx="2406" formatCode="0.000">
                  <c:v>68.749795918367354</c:v>
                </c:pt>
                <c:pt idx="2407" formatCode="0.000">
                  <c:v>68.903265306122449</c:v>
                </c:pt>
                <c:pt idx="2408" formatCode="0.000">
                  <c:v>69.065306122448973</c:v>
                </c:pt>
                <c:pt idx="2409" formatCode="0.000">
                  <c:v>69.235102040816329</c:v>
                </c:pt>
                <c:pt idx="2410" formatCode="0.000">
                  <c:v>69.379183673469385</c:v>
                </c:pt>
                <c:pt idx="2411" formatCode="0.000">
                  <c:v>69.506530612244887</c:v>
                </c:pt>
                <c:pt idx="2412" formatCode="0.000">
                  <c:v>69.633265306122439</c:v>
                </c:pt>
                <c:pt idx="2413" formatCode="0.000">
                  <c:v>69.765918367346927</c:v>
                </c:pt>
                <c:pt idx="2414" formatCode="0.000">
                  <c:v>69.910612244897948</c:v>
                </c:pt>
                <c:pt idx="2415" formatCode="0.000">
                  <c:v>70.048367346938775</c:v>
                </c:pt>
                <c:pt idx="2416" formatCode="0.000">
                  <c:v>70.154489795918366</c:v>
                </c:pt>
                <c:pt idx="2417" formatCode="0.000">
                  <c:v>70.245306122448966</c:v>
                </c:pt>
                <c:pt idx="2418" formatCode="0.000">
                  <c:v>70.308979591836732</c:v>
                </c:pt>
                <c:pt idx="2419" formatCode="0.000">
                  <c:v>70.353469387755112</c:v>
                </c:pt>
                <c:pt idx="2420" formatCode="0.000">
                  <c:v>70.38408163265305</c:v>
                </c:pt>
                <c:pt idx="2421" formatCode="0.000">
                  <c:v>70.441836734693879</c:v>
                </c:pt>
                <c:pt idx="2422" formatCode="0.000">
                  <c:v>70.468163265306117</c:v>
                </c:pt>
                <c:pt idx="2423" formatCode="0.000">
                  <c:v>70.473061224489811</c:v>
                </c:pt>
                <c:pt idx="2424" formatCode="0.000">
                  <c:v>70.518775510204094</c:v>
                </c:pt>
                <c:pt idx="2425" formatCode="0.000">
                  <c:v>70.565510204081647</c:v>
                </c:pt>
                <c:pt idx="2426" formatCode="0.000">
                  <c:v>70.608571428571437</c:v>
                </c:pt>
                <c:pt idx="2427" formatCode="0.000">
                  <c:v>70.632448979591857</c:v>
                </c:pt>
                <c:pt idx="2428" formatCode="0.000">
                  <c:v>70.668367346938794</c:v>
                </c:pt>
                <c:pt idx="2429" formatCode="0.000">
                  <c:v>70.694489795918386</c:v>
                </c:pt>
                <c:pt idx="2430" formatCode="0.000">
                  <c:v>70.714693877551042</c:v>
                </c:pt>
                <c:pt idx="2431" formatCode="0.000">
                  <c:v>70.703061224489815</c:v>
                </c:pt>
                <c:pt idx="2432" formatCode="0.000">
                  <c:v>70.675510204081661</c:v>
                </c:pt>
                <c:pt idx="2433" formatCode="0.000">
                  <c:v>70.629387755102073</c:v>
                </c:pt>
                <c:pt idx="2434" formatCode="0.000">
                  <c:v>70.582244897959214</c:v>
                </c:pt>
                <c:pt idx="2435" formatCode="0.000">
                  <c:v>70.504285714285729</c:v>
                </c:pt>
                <c:pt idx="2436" formatCode="0.000">
                  <c:v>70.429795918367375</c:v>
                </c:pt>
                <c:pt idx="2437" formatCode="0.000">
                  <c:v>70.34775510204085</c:v>
                </c:pt>
                <c:pt idx="2438" formatCode="0.000">
                  <c:v>70.250204081632688</c:v>
                </c:pt>
                <c:pt idx="2439" formatCode="0.000">
                  <c:v>70.133265306122482</c:v>
                </c:pt>
                <c:pt idx="2440" formatCode="0.000">
                  <c:v>70.008163265306152</c:v>
                </c:pt>
                <c:pt idx="2441" formatCode="0.000">
                  <c:v>69.843877551020441</c:v>
                </c:pt>
                <c:pt idx="2442" formatCode="0.000">
                  <c:v>69.672653061224509</c:v>
                </c:pt>
                <c:pt idx="2443" formatCode="0.000">
                  <c:v>69.498163265306133</c:v>
                </c:pt>
                <c:pt idx="2444" formatCode="0.000">
                  <c:v>69.301224489795928</c:v>
                </c:pt>
                <c:pt idx="2445" formatCode="0.000">
                  <c:v>69.110204081632659</c:v>
                </c:pt>
                <c:pt idx="2446" formatCode="0.000">
                  <c:v>68.943469387755101</c:v>
                </c:pt>
                <c:pt idx="2447" formatCode="0.000">
                  <c:v>68.768163265306114</c:v>
                </c:pt>
                <c:pt idx="2448" formatCode="0.000">
                  <c:v>68.56183673469387</c:v>
                </c:pt>
                <c:pt idx="2449" formatCode="0.000">
                  <c:v>68.364081632653068</c:v>
                </c:pt>
                <c:pt idx="2450" formatCode="0.000">
                  <c:v>68.190816326530623</c:v>
                </c:pt>
                <c:pt idx="2451" formatCode="0.000">
                  <c:v>68.022653061224489</c:v>
                </c:pt>
                <c:pt idx="2452" formatCode="0.000">
                  <c:v>67.866530612244901</c:v>
                </c:pt>
                <c:pt idx="2453" formatCode="0.000">
                  <c:v>67.699591836734697</c:v>
                </c:pt>
                <c:pt idx="2454" formatCode="0.000">
                  <c:v>67.54816326530613</c:v>
                </c:pt>
                <c:pt idx="2455" formatCode="0.000">
                  <c:v>67.401224489795922</c:v>
                </c:pt>
                <c:pt idx="2456" formatCode="0.000">
                  <c:v>67.274897959183676</c:v>
                </c:pt>
                <c:pt idx="2457" formatCode="0.000">
                  <c:v>67.120612244897956</c:v>
                </c:pt>
                <c:pt idx="2458" formatCode="0.000">
                  <c:v>66.955714285714279</c:v>
                </c:pt>
                <c:pt idx="2459" formatCode="0.000">
                  <c:v>66.796326530612248</c:v>
                </c:pt>
                <c:pt idx="2460" formatCode="0.000">
                  <c:v>66.607755102040827</c:v>
                </c:pt>
                <c:pt idx="2461" formatCode="0.000">
                  <c:v>66.434693877551027</c:v>
                </c:pt>
                <c:pt idx="2462" formatCode="0.000">
                  <c:v>66.2457142857143</c:v>
                </c:pt>
                <c:pt idx="2463" formatCode="0.000">
                  <c:v>66.056734693877559</c:v>
                </c:pt>
                <c:pt idx="2464" formatCode="0.000">
                  <c:v>65.877142857142871</c:v>
                </c:pt>
                <c:pt idx="2465" formatCode="0.000">
                  <c:v>65.706326530612259</c:v>
                </c:pt>
                <c:pt idx="2466" formatCode="0.000">
                  <c:v>65.570000000000022</c:v>
                </c:pt>
                <c:pt idx="2467" formatCode="0.000">
                  <c:v>65.426122448979598</c:v>
                </c:pt>
                <c:pt idx="2468" formatCode="0.000">
                  <c:v>65.294285714285721</c:v>
                </c:pt>
                <c:pt idx="2469" formatCode="0.000">
                  <c:v>65.176326530612258</c:v>
                </c:pt>
                <c:pt idx="2470" formatCode="0.000">
                  <c:v>65.039183673469395</c:v>
                </c:pt>
                <c:pt idx="2471" formatCode="0.000">
                  <c:v>64.900408163265297</c:v>
                </c:pt>
                <c:pt idx="2472" formatCode="0.000">
                  <c:v>64.757142857142853</c:v>
                </c:pt>
                <c:pt idx="2473" formatCode="0.000">
                  <c:v>64.594693877551023</c:v>
                </c:pt>
                <c:pt idx="2474" formatCode="0.000">
                  <c:v>64.441632653061234</c:v>
                </c:pt>
                <c:pt idx="2475" formatCode="0.000">
                  <c:v>64.278367346938794</c:v>
                </c:pt>
                <c:pt idx="2476" formatCode="0.000">
                  <c:v>64.126326530612246</c:v>
                </c:pt>
                <c:pt idx="2477" formatCode="0.000">
                  <c:v>63.954693877551037</c:v>
                </c:pt>
                <c:pt idx="2478" formatCode="0.000">
                  <c:v>63.807959183673482</c:v>
                </c:pt>
                <c:pt idx="2479" formatCode="0.000">
                  <c:v>63.652653061224505</c:v>
                </c:pt>
                <c:pt idx="2480" formatCode="0.000">
                  <c:v>63.52489795918369</c:v>
                </c:pt>
                <c:pt idx="2481" formatCode="0.000">
                  <c:v>63.392448979591855</c:v>
                </c:pt>
                <c:pt idx="2482" formatCode="0.000">
                  <c:v>63.268367346938795</c:v>
                </c:pt>
                <c:pt idx="2483" formatCode="0.000">
                  <c:v>63.167142857142878</c:v>
                </c:pt>
                <c:pt idx="2484" formatCode="0.000">
                  <c:v>63.075510204081667</c:v>
                </c:pt>
                <c:pt idx="2485" formatCode="0.000">
                  <c:v>62.988367346938787</c:v>
                </c:pt>
                <c:pt idx="2486" formatCode="0.000">
                  <c:v>62.921632653061252</c:v>
                </c:pt>
                <c:pt idx="2487" formatCode="0.000">
                  <c:v>62.855510204081661</c:v>
                </c:pt>
                <c:pt idx="2488" formatCode="0.000">
                  <c:v>62.797142857142887</c:v>
                </c:pt>
                <c:pt idx="2489" formatCode="0.000">
                  <c:v>62.742857142857162</c:v>
                </c:pt>
                <c:pt idx="2490" formatCode="0.000">
                  <c:v>62.716734693877569</c:v>
                </c:pt>
                <c:pt idx="2491" formatCode="0.000">
                  <c:v>62.678367346938799</c:v>
                </c:pt>
                <c:pt idx="2492" formatCode="0.000">
                  <c:v>62.629591836734718</c:v>
                </c:pt>
                <c:pt idx="2493" formatCode="0.000">
                  <c:v>62.600204081632675</c:v>
                </c:pt>
                <c:pt idx="2494" formatCode="0.000">
                  <c:v>62.613877551020423</c:v>
                </c:pt>
                <c:pt idx="2495" formatCode="0.000">
                  <c:v>62.600816326530634</c:v>
                </c:pt>
                <c:pt idx="2496" formatCode="0.000">
                  <c:v>62.60653061224491</c:v>
                </c:pt>
                <c:pt idx="2497" formatCode="0.000">
                  <c:v>62.653673469387769</c:v>
                </c:pt>
                <c:pt idx="2498" formatCode="0.000">
                  <c:v>62.686734693877561</c:v>
                </c:pt>
                <c:pt idx="2499" formatCode="0.000">
                  <c:v>62.70224489795919</c:v>
                </c:pt>
                <c:pt idx="2500" formatCode="0.000">
                  <c:v>62.695714285714295</c:v>
                </c:pt>
                <c:pt idx="2501" formatCode="0.000">
                  <c:v>62.682653061224492</c:v>
                </c:pt>
                <c:pt idx="2502" formatCode="0.000">
                  <c:v>62.671224489795925</c:v>
                </c:pt>
                <c:pt idx="2503" formatCode="0.000">
                  <c:v>62.660204081632671</c:v>
                </c:pt>
                <c:pt idx="2504" formatCode="0.000">
                  <c:v>62.660204081632671</c:v>
                </c:pt>
                <c:pt idx="2505" formatCode="0.000">
                  <c:v>62.724897959183686</c:v>
                </c:pt>
                <c:pt idx="2506" formatCode="0.000">
                  <c:v>62.819387755102049</c:v>
                </c:pt>
                <c:pt idx="2507" formatCode="0.000">
                  <c:v>62.938775510204103</c:v>
                </c:pt>
                <c:pt idx="2508" formatCode="0.000">
                  <c:v>63.047959183673477</c:v>
                </c:pt>
                <c:pt idx="2509" formatCode="0.000">
                  <c:v>63.187551020408172</c:v>
                </c:pt>
                <c:pt idx="2510" formatCode="0.000">
                  <c:v>63.333469387755116</c:v>
                </c:pt>
                <c:pt idx="2511" formatCode="0.000">
                  <c:v>63.486734693877558</c:v>
                </c:pt>
                <c:pt idx="2512" formatCode="0.000">
                  <c:v>63.665306122448989</c:v>
                </c:pt>
                <c:pt idx="2513" formatCode="0.000">
                  <c:v>63.822040816326542</c:v>
                </c:pt>
                <c:pt idx="2514" formatCode="0.000">
                  <c:v>64.002653061224493</c:v>
                </c:pt>
                <c:pt idx="2515" formatCode="0.000">
                  <c:v>64.144693877551035</c:v>
                </c:pt>
                <c:pt idx="2516" formatCode="0.000">
                  <c:v>64.30285714285715</c:v>
                </c:pt>
              </c:numCache>
            </c:numRef>
          </c:val>
        </c:ser>
        <c:marker val="1"/>
        <c:axId val="156163072"/>
        <c:axId val="116118272"/>
      </c:lineChart>
      <c:dateAx>
        <c:axId val="156163072"/>
        <c:scaling>
          <c:orientation val="minMax"/>
        </c:scaling>
        <c:axPos val="b"/>
        <c:numFmt formatCode="General" sourceLinked="1"/>
        <c:tickLblPos val="nextTo"/>
        <c:crossAx val="116118272"/>
        <c:crosses val="autoZero"/>
        <c:auto val="1"/>
        <c:lblOffset val="100"/>
      </c:dateAx>
      <c:valAx>
        <c:axId val="116118272"/>
        <c:scaling>
          <c:orientation val="minMax"/>
        </c:scaling>
        <c:axPos val="l"/>
        <c:majorGridlines/>
        <c:numFmt formatCode="General" sourceLinked="1"/>
        <c:tickLblPos val="nextTo"/>
        <c:crossAx val="156163072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'Coca-Cola Stock Price History'!$S$7</c:f>
              <c:strCache>
                <c:ptCount val="1"/>
                <c:pt idx="0">
                  <c:v>MA20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</c:spPr>
          <c:cat>
            <c:numRef>
              <c:f>'Coca-Cola Stock Price History'!$R$8:$R$23</c:f>
              <c:numCache>
                <c:formatCode>mm/dd/yy;@</c:formatCode>
                <c:ptCount val="16"/>
                <c:pt idx="1">
                  <c:v>45717</c:v>
                </c:pt>
                <c:pt idx="2">
                  <c:v>45718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45724</c:v>
                </c:pt>
                <c:pt idx="9">
                  <c:v>45725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45731</c:v>
                </c:pt>
              </c:numCache>
            </c:numRef>
          </c:cat>
          <c:val>
            <c:numRef>
              <c:f>'Coca-Cola Stock Price History'!$S$8:$S$23</c:f>
              <c:numCache>
                <c:formatCode>0.000</c:formatCode>
                <c:ptCount val="16"/>
                <c:pt idx="1">
                  <c:v>67.949473684210531</c:v>
                </c:pt>
                <c:pt idx="2">
                  <c:v>68.204999999999998</c:v>
                </c:pt>
                <c:pt idx="3">
                  <c:v>68.530588235294118</c:v>
                </c:pt>
                <c:pt idx="4">
                  <c:v>68.868750000000006</c:v>
                </c:pt>
                <c:pt idx="5">
                  <c:v>69.236000000000004</c:v>
                </c:pt>
                <c:pt idx="6">
                  <c:v>69.621428571428581</c:v>
                </c:pt>
                <c:pt idx="7">
                  <c:v>70.011538461538464</c:v>
                </c:pt>
                <c:pt idx="8">
                  <c:v>70.212500000000006</c:v>
                </c:pt>
                <c:pt idx="9">
                  <c:v>70.349090909090918</c:v>
                </c:pt>
                <c:pt idx="10">
                  <c:v>70.433999999999997</c:v>
                </c:pt>
                <c:pt idx="11">
                  <c:v>70.607777777777784</c:v>
                </c:pt>
                <c:pt idx="12">
                  <c:v>70.802500000000009</c:v>
                </c:pt>
                <c:pt idx="13">
                  <c:v>70.907142857142858</c:v>
                </c:pt>
                <c:pt idx="14">
                  <c:v>71.051666666666662</c:v>
                </c:pt>
                <c:pt idx="15">
                  <c:v>70.99199999999999</c:v>
                </c:pt>
              </c:numCache>
            </c:numRef>
          </c:val>
        </c:ser>
        <c:ser>
          <c:idx val="1"/>
          <c:order val="1"/>
          <c:tx>
            <c:strRef>
              <c:f>'Coca-Cola Stock Price History'!$T$7</c:f>
              <c:strCache>
                <c:ptCount val="1"/>
                <c:pt idx="0">
                  <c:v>MA50</c:v>
                </c:pt>
              </c:strCache>
            </c:strRef>
          </c:tx>
          <c:cat>
            <c:numRef>
              <c:f>'Coca-Cola Stock Price History'!$R$8:$R$23</c:f>
              <c:numCache>
                <c:formatCode>mm/dd/yy;@</c:formatCode>
                <c:ptCount val="16"/>
                <c:pt idx="1">
                  <c:v>45717</c:v>
                </c:pt>
                <c:pt idx="2">
                  <c:v>45718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45724</c:v>
                </c:pt>
                <c:pt idx="9">
                  <c:v>45725</c:v>
                </c:pt>
                <c:pt idx="10">
                  <c:v>45726</c:v>
                </c:pt>
                <c:pt idx="11">
                  <c:v>45727</c:v>
                </c:pt>
                <c:pt idx="12">
                  <c:v>45728</c:v>
                </c:pt>
                <c:pt idx="13">
                  <c:v>45729</c:v>
                </c:pt>
                <c:pt idx="14">
                  <c:v>45730</c:v>
                </c:pt>
                <c:pt idx="15">
                  <c:v>45731</c:v>
                </c:pt>
              </c:numCache>
            </c:numRef>
          </c:cat>
          <c:val>
            <c:numRef>
              <c:f>'Coca-Cola Stock Price History'!$T$8:$T$23</c:f>
              <c:numCache>
                <c:formatCode>0.000</c:formatCode>
                <c:ptCount val="16"/>
                <c:pt idx="1">
                  <c:v>64.479591836734699</c:v>
                </c:pt>
                <c:pt idx="2">
                  <c:v>64.502083333333346</c:v>
                </c:pt>
                <c:pt idx="3">
                  <c:v>64.537234042553195</c:v>
                </c:pt>
                <c:pt idx="4">
                  <c:v>64.582608695652169</c:v>
                </c:pt>
                <c:pt idx="5">
                  <c:v>64.627777777777766</c:v>
                </c:pt>
                <c:pt idx="6">
                  <c:v>64.67886363636363</c:v>
                </c:pt>
                <c:pt idx="7">
                  <c:v>64.721627906976735</c:v>
                </c:pt>
                <c:pt idx="8">
                  <c:v>64.772857142857134</c:v>
                </c:pt>
                <c:pt idx="9">
                  <c:v>64.829512195121936</c:v>
                </c:pt>
                <c:pt idx="10">
                  <c:v>64.899499999999975</c:v>
                </c:pt>
                <c:pt idx="11">
                  <c:v>64.967179487179465</c:v>
                </c:pt>
                <c:pt idx="12">
                  <c:v>65.049473684210511</c:v>
                </c:pt>
                <c:pt idx="13">
                  <c:v>65.138648648648626</c:v>
                </c:pt>
                <c:pt idx="14">
                  <c:v>65.258888888888862</c:v>
                </c:pt>
                <c:pt idx="15">
                  <c:v>65.385142857142839</c:v>
                </c:pt>
              </c:numCache>
            </c:numRef>
          </c:val>
        </c:ser>
        <c:axId val="116081408"/>
        <c:axId val="116082944"/>
      </c:barChart>
      <c:dateAx>
        <c:axId val="116081408"/>
        <c:scaling>
          <c:orientation val="minMax"/>
        </c:scaling>
        <c:axPos val="b"/>
        <c:numFmt formatCode="General" sourceLinked="1"/>
        <c:tickLblPos val="nextTo"/>
        <c:crossAx val="116082944"/>
        <c:crosses val="autoZero"/>
        <c:auto val="1"/>
        <c:lblOffset val="100"/>
      </c:dateAx>
      <c:valAx>
        <c:axId val="116082944"/>
        <c:scaling>
          <c:orientation val="minMax"/>
        </c:scaling>
        <c:axPos val="l"/>
        <c:numFmt formatCode="General" sourceLinked="1"/>
        <c:tickLblPos val="nextTo"/>
        <c:crossAx val="116081408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238124</xdr:colOff>
      <xdr:row>1</xdr:row>
      <xdr:rowOff>161925</xdr:rowOff>
    </xdr:from>
    <xdr:to>
      <xdr:col>12</xdr:col>
      <xdr:colOff>495300</xdr:colOff>
      <xdr:row>3</xdr:row>
      <xdr:rowOff>133349</xdr:rowOff>
    </xdr:to>
    <xdr:pic>
      <xdr:nvPicPr>
        <xdr:cNvPr id="1025" name="Picture 1" descr="File:Coca-Cola logo.sv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848349" y="361950"/>
          <a:ext cx="2114551" cy="523874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523875</xdr:colOff>
      <xdr:row>28</xdr:row>
      <xdr:rowOff>133350</xdr:rowOff>
    </xdr:from>
    <xdr:to>
      <xdr:col>17</xdr:col>
      <xdr:colOff>742950</xdr:colOff>
      <xdr:row>43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371474</xdr:colOff>
      <xdr:row>28</xdr:row>
      <xdr:rowOff>123825</xdr:rowOff>
    </xdr:from>
    <xdr:to>
      <xdr:col>23</xdr:col>
      <xdr:colOff>647699</xdr:colOff>
      <xdr:row>43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361950</xdr:colOff>
      <xdr:row>8</xdr:row>
      <xdr:rowOff>85725</xdr:rowOff>
    </xdr:from>
    <xdr:to>
      <xdr:col>26</xdr:col>
      <xdr:colOff>847725</xdr:colOff>
      <xdr:row>22</xdr:row>
      <xdr:rowOff>152400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2537"/>
  <sheetViews>
    <sheetView showGridLines="0" tabSelected="1" workbookViewId="0">
      <selection activeCell="O46" sqref="O46"/>
    </sheetView>
  </sheetViews>
  <sheetFormatPr defaultColWidth="13.7109375" defaultRowHeight="15"/>
  <cols>
    <col min="1" max="1" width="4.42578125" customWidth="1"/>
    <col min="2" max="2" width="9.85546875" customWidth="1"/>
    <col min="3" max="3" width="9.5703125" customWidth="1"/>
    <col min="4" max="4" width="9.28515625" customWidth="1"/>
    <col min="5" max="5" width="10.140625" customWidth="1"/>
    <col min="6" max="6" width="8.5703125" customWidth="1"/>
    <col min="7" max="7" width="9.28515625" customWidth="1"/>
    <col min="8" max="8" width="10.42578125" customWidth="1"/>
    <col min="9" max="9" width="12.5703125" customWidth="1"/>
    <col min="10" max="10" width="11.5703125" customWidth="1"/>
    <col min="11" max="11" width="7.7109375" customWidth="1"/>
    <col min="12" max="12" width="8.5703125" customWidth="1"/>
    <col min="13" max="13" width="8.28515625" style="1" customWidth="1"/>
    <col min="14" max="14" width="8" customWidth="1"/>
    <col min="15" max="15" width="22.85546875" customWidth="1"/>
    <col min="16" max="16" width="15.85546875" customWidth="1"/>
    <col min="17" max="18" width="12.140625" customWidth="1"/>
    <col min="19" max="19" width="12" customWidth="1"/>
    <col min="20" max="20" width="14.42578125" customWidth="1"/>
    <col min="21" max="21" width="12.85546875" customWidth="1"/>
    <col min="22" max="22" width="13.42578125" customWidth="1"/>
    <col min="23" max="23" width="6.7109375" customWidth="1"/>
  </cols>
  <sheetData>
    <row r="1" spans="2:25" ht="15.75" thickBot="1"/>
    <row r="2" spans="2:25" ht="15.75" thickTop="1"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25" ht="27.75">
      <c r="B3" s="13"/>
      <c r="C3" s="14"/>
      <c r="D3" s="38" t="s">
        <v>1328</v>
      </c>
      <c r="E3" s="38"/>
      <c r="F3" s="38"/>
      <c r="G3" s="38"/>
      <c r="H3" s="38"/>
      <c r="I3" s="38"/>
      <c r="J3" s="14"/>
      <c r="K3" s="14"/>
      <c r="L3" s="14"/>
      <c r="M3" s="15"/>
    </row>
    <row r="4" spans="2:25" ht="15.75" thickBot="1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R4" s="21"/>
      <c r="S4" s="21"/>
      <c r="T4" s="21"/>
    </row>
    <row r="5" spans="2:25" ht="16.5" thickTop="1" thickBot="1">
      <c r="B5" s="33" t="s">
        <v>0</v>
      </c>
      <c r="C5" s="34" t="s">
        <v>1</v>
      </c>
      <c r="D5" s="34" t="s">
        <v>2</v>
      </c>
      <c r="E5" s="34" t="s">
        <v>3</v>
      </c>
      <c r="F5" s="34" t="s">
        <v>4</v>
      </c>
      <c r="G5" s="34" t="s">
        <v>5</v>
      </c>
      <c r="H5" s="34" t="s">
        <v>6</v>
      </c>
      <c r="I5" s="34" t="s">
        <v>1306</v>
      </c>
      <c r="J5" s="34" t="s">
        <v>1307</v>
      </c>
      <c r="K5" s="34" t="s">
        <v>1308</v>
      </c>
      <c r="L5" s="34" t="s">
        <v>1309</v>
      </c>
      <c r="M5" s="35" t="s">
        <v>1310</v>
      </c>
      <c r="N5" s="6"/>
      <c r="O5" s="17" t="s">
        <v>1311</v>
      </c>
      <c r="P5" s="17"/>
      <c r="R5" s="39" t="s">
        <v>1331</v>
      </c>
      <c r="S5" s="39"/>
      <c r="T5" s="39"/>
      <c r="U5" s="39"/>
      <c r="V5" s="20"/>
    </row>
    <row r="6" spans="2:25" ht="12" customHeight="1" thickTop="1" thickBot="1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4"/>
      <c r="N6" s="1"/>
      <c r="O6" s="4"/>
      <c r="P6" s="4"/>
      <c r="R6" s="40"/>
      <c r="S6" s="40"/>
      <c r="T6" s="40"/>
      <c r="U6" s="40"/>
      <c r="V6" s="20"/>
    </row>
    <row r="7" spans="2:25" ht="13.5" customHeight="1" thickTop="1" thickBot="1">
      <c r="B7" s="3">
        <v>42065</v>
      </c>
      <c r="C7" s="5">
        <v>43.2</v>
      </c>
      <c r="D7" s="5">
        <v>43.12</v>
      </c>
      <c r="E7" s="5">
        <v>43.28</v>
      </c>
      <c r="F7" s="5">
        <v>43.08</v>
      </c>
      <c r="G7" s="18" t="s">
        <v>1305</v>
      </c>
      <c r="H7" s="2">
        <v>-2.3E-3</v>
      </c>
      <c r="I7" s="36" t="s">
        <v>1333</v>
      </c>
      <c r="J7" s="32" t="s">
        <v>1333</v>
      </c>
      <c r="K7" s="32" t="s">
        <v>1333</v>
      </c>
      <c r="L7" s="32" t="s">
        <v>1333</v>
      </c>
      <c r="M7" s="32" t="s">
        <v>1333</v>
      </c>
      <c r="O7" s="8" t="s">
        <v>1314</v>
      </c>
      <c r="P7" s="8">
        <v>51.839256756756797</v>
      </c>
      <c r="R7" s="26" t="s">
        <v>0</v>
      </c>
      <c r="S7" s="26" t="s">
        <v>1308</v>
      </c>
      <c r="T7" s="26" t="s">
        <v>1309</v>
      </c>
      <c r="U7" s="26" t="s">
        <v>1310</v>
      </c>
      <c r="X7" s="37" t="s">
        <v>1332</v>
      </c>
      <c r="Y7" s="37"/>
    </row>
    <row r="8" spans="2:25" ht="15.75" thickTop="1">
      <c r="B8" s="3">
        <v>42066</v>
      </c>
      <c r="C8" s="5">
        <v>42.95</v>
      </c>
      <c r="D8" s="5">
        <v>43.11</v>
      </c>
      <c r="E8" s="5">
        <v>43.16</v>
      </c>
      <c r="F8" s="5">
        <v>42.84</v>
      </c>
      <c r="G8" s="18" t="s">
        <v>1293</v>
      </c>
      <c r="H8" s="2">
        <v>-5.7999999999999996E-3</v>
      </c>
      <c r="I8" s="16">
        <f>(C8-C7)/C7</f>
        <v>-5.7870370370370367E-3</v>
      </c>
      <c r="J8" s="16">
        <f>C8/C7</f>
        <v>0.99421296296296291</v>
      </c>
      <c r="K8" s="32" t="s">
        <v>1333</v>
      </c>
      <c r="L8" s="32" t="s">
        <v>1333</v>
      </c>
      <c r="M8" s="32" t="s">
        <v>1333</v>
      </c>
      <c r="O8" s="7" t="s">
        <v>1315</v>
      </c>
      <c r="P8" s="7">
        <v>0.16575265047697255</v>
      </c>
      <c r="R8" s="19"/>
      <c r="S8" s="19"/>
      <c r="T8" s="19"/>
      <c r="U8" s="19"/>
    </row>
    <row r="9" spans="2:25">
      <c r="B9" s="3">
        <v>42067</v>
      </c>
      <c r="C9" s="5">
        <v>42.5</v>
      </c>
      <c r="D9" s="5">
        <v>42.92</v>
      </c>
      <c r="E9" s="5">
        <v>42.98</v>
      </c>
      <c r="F9" s="5">
        <v>42.47</v>
      </c>
      <c r="G9" s="18" t="s">
        <v>692</v>
      </c>
      <c r="H9" s="2">
        <v>-1.0500000000000001E-2</v>
      </c>
      <c r="I9" s="16">
        <f t="shared" ref="I9:I72" si="0">(C9-C8)/C8</f>
        <v>-1.0477299185099018E-2</v>
      </c>
      <c r="J9" s="16">
        <f t="shared" ref="J9:J72" si="1">C9/C8</f>
        <v>0.98952270081490101</v>
      </c>
      <c r="K9" s="32" t="s">
        <v>1333</v>
      </c>
      <c r="L9" s="32" t="s">
        <v>1333</v>
      </c>
      <c r="M9" s="32" t="s">
        <v>1333</v>
      </c>
      <c r="O9" s="7" t="s">
        <v>1313</v>
      </c>
      <c r="P9" s="7">
        <v>50.33</v>
      </c>
      <c r="R9" s="27">
        <v>45717</v>
      </c>
      <c r="S9" s="28">
        <f>K2523</f>
        <v>67.949473684210531</v>
      </c>
      <c r="T9" s="28">
        <f>L2523</f>
        <v>64.479591836734699</v>
      </c>
      <c r="U9" s="31" t="str">
        <f>M2523</f>
        <v>HOLD</v>
      </c>
      <c r="W9" s="30"/>
      <c r="X9" s="30"/>
    </row>
    <row r="10" spans="2:25">
      <c r="B10" s="3">
        <v>42068</v>
      </c>
      <c r="C10" s="5">
        <v>42.4</v>
      </c>
      <c r="D10" s="5">
        <v>42.56</v>
      </c>
      <c r="E10" s="5">
        <v>42.6</v>
      </c>
      <c r="F10" s="5">
        <v>42.25</v>
      </c>
      <c r="G10" s="18" t="s">
        <v>680</v>
      </c>
      <c r="H10" s="2">
        <v>-2.3999999999999998E-3</v>
      </c>
      <c r="I10" s="16">
        <f t="shared" si="0"/>
        <v>-2.3529411764706219E-3</v>
      </c>
      <c r="J10" s="16">
        <f t="shared" si="1"/>
        <v>0.99764705882352933</v>
      </c>
      <c r="K10" s="32" t="s">
        <v>1333</v>
      </c>
      <c r="L10" s="32" t="s">
        <v>1333</v>
      </c>
      <c r="M10" s="32" t="s">
        <v>1333</v>
      </c>
      <c r="O10" s="7" t="s">
        <v>1316</v>
      </c>
      <c r="P10" s="7">
        <v>42.12</v>
      </c>
      <c r="R10" s="27">
        <v>45718</v>
      </c>
      <c r="S10" s="28">
        <f t="shared" ref="S10:S23" si="2">K2524</f>
        <v>68.204999999999998</v>
      </c>
      <c r="T10" s="28">
        <f t="shared" ref="T10:T23" si="3">L2524</f>
        <v>64.502083333333346</v>
      </c>
      <c r="U10" s="31" t="str">
        <f t="shared" ref="U10:U23" si="4">M2524</f>
        <v>HOLD</v>
      </c>
      <c r="W10" s="4"/>
      <c r="X10" s="4"/>
    </row>
    <row r="11" spans="2:25">
      <c r="B11" s="3">
        <v>42069</v>
      </c>
      <c r="C11" s="5">
        <v>41.52</v>
      </c>
      <c r="D11" s="5">
        <v>42.12</v>
      </c>
      <c r="E11" s="5">
        <v>42.2</v>
      </c>
      <c r="F11" s="5">
        <v>41.33</v>
      </c>
      <c r="G11" s="18" t="s">
        <v>1304</v>
      </c>
      <c r="H11" s="2">
        <v>-2.0799999999999999E-2</v>
      </c>
      <c r="I11" s="16">
        <f t="shared" si="0"/>
        <v>-2.075471698113197E-2</v>
      </c>
      <c r="J11" s="16">
        <f t="shared" si="1"/>
        <v>0.97924528301886804</v>
      </c>
      <c r="K11" s="32" t="s">
        <v>1333</v>
      </c>
      <c r="L11" s="32" t="s">
        <v>1333</v>
      </c>
      <c r="M11" s="32" t="s">
        <v>1333</v>
      </c>
      <c r="O11" s="7" t="s">
        <v>1317</v>
      </c>
      <c r="P11" s="7">
        <v>8.3141106504902762</v>
      </c>
      <c r="R11" s="27">
        <v>45719</v>
      </c>
      <c r="S11" s="28">
        <f t="shared" si="2"/>
        <v>68.530588235294118</v>
      </c>
      <c r="T11" s="28">
        <f t="shared" si="3"/>
        <v>64.537234042553195</v>
      </c>
      <c r="U11" s="31" t="str">
        <f t="shared" si="4"/>
        <v>HOLD</v>
      </c>
      <c r="W11" s="4"/>
      <c r="X11" s="4"/>
    </row>
    <row r="12" spans="2:25">
      <c r="B12" s="3">
        <v>42072</v>
      </c>
      <c r="C12" s="5">
        <v>41.39</v>
      </c>
      <c r="D12" s="5">
        <v>41.53</v>
      </c>
      <c r="E12" s="5">
        <v>41.55</v>
      </c>
      <c r="F12" s="5">
        <v>41.32</v>
      </c>
      <c r="G12" s="18" t="s">
        <v>480</v>
      </c>
      <c r="H12" s="2">
        <v>-3.0999999999999999E-3</v>
      </c>
      <c r="I12" s="16">
        <f t="shared" si="0"/>
        <v>-3.1310211946050711E-3</v>
      </c>
      <c r="J12" s="16">
        <f t="shared" si="1"/>
        <v>0.99686897880539493</v>
      </c>
      <c r="K12" s="32" t="s">
        <v>1333</v>
      </c>
      <c r="L12" s="32" t="s">
        <v>1333</v>
      </c>
      <c r="M12" s="32" t="s">
        <v>1333</v>
      </c>
      <c r="O12" s="7" t="s">
        <v>1318</v>
      </c>
      <c r="P12" s="7">
        <v>69.124435908595842</v>
      </c>
      <c r="R12" s="27">
        <v>45720</v>
      </c>
      <c r="S12" s="28">
        <f t="shared" si="2"/>
        <v>68.868750000000006</v>
      </c>
      <c r="T12" s="28">
        <f t="shared" si="3"/>
        <v>64.582608695652169</v>
      </c>
      <c r="U12" s="31" t="str">
        <f t="shared" si="4"/>
        <v>HOLD</v>
      </c>
      <c r="W12" s="4"/>
      <c r="X12" s="4"/>
    </row>
    <row r="13" spans="2:25">
      <c r="B13" s="3">
        <v>42073</v>
      </c>
      <c r="C13" s="5">
        <v>40.69</v>
      </c>
      <c r="D13" s="5">
        <v>41.1</v>
      </c>
      <c r="E13" s="5">
        <v>41.15</v>
      </c>
      <c r="F13" s="5">
        <v>40.68</v>
      </c>
      <c r="G13" s="18" t="s">
        <v>1163</v>
      </c>
      <c r="H13" s="2">
        <v>-1.6899999999999998E-2</v>
      </c>
      <c r="I13" s="16">
        <f t="shared" si="0"/>
        <v>-1.6912297656438823E-2</v>
      </c>
      <c r="J13" s="16">
        <f t="shared" si="1"/>
        <v>0.98308770234356113</v>
      </c>
      <c r="K13" s="32" t="s">
        <v>1333</v>
      </c>
      <c r="L13" s="32" t="s">
        <v>1333</v>
      </c>
      <c r="M13" s="32" t="s">
        <v>1333</v>
      </c>
      <c r="O13" s="7" t="s">
        <v>1319</v>
      </c>
      <c r="P13" s="7">
        <v>-1.0643196715440049</v>
      </c>
      <c r="R13" s="27">
        <v>45721</v>
      </c>
      <c r="S13" s="28">
        <f t="shared" si="2"/>
        <v>69.236000000000004</v>
      </c>
      <c r="T13" s="28">
        <f t="shared" si="3"/>
        <v>64.627777777777766</v>
      </c>
      <c r="U13" s="31" t="str">
        <f t="shared" si="4"/>
        <v>HOLD</v>
      </c>
      <c r="W13" s="4"/>
      <c r="X13" s="4"/>
    </row>
    <row r="14" spans="2:25">
      <c r="B14" s="3">
        <v>42074</v>
      </c>
      <c r="C14" s="5">
        <v>40.1</v>
      </c>
      <c r="D14" s="5">
        <v>40.729999999999997</v>
      </c>
      <c r="E14" s="5">
        <v>40.729999999999997</v>
      </c>
      <c r="F14" s="5">
        <v>40.08</v>
      </c>
      <c r="G14" s="18" t="s">
        <v>1303</v>
      </c>
      <c r="H14" s="2">
        <v>-1.4500000000000001E-2</v>
      </c>
      <c r="I14" s="16">
        <f t="shared" si="0"/>
        <v>-1.4499877119685336E-2</v>
      </c>
      <c r="J14" s="16">
        <f t="shared" si="1"/>
        <v>0.98550012288031463</v>
      </c>
      <c r="K14" s="32" t="s">
        <v>1333</v>
      </c>
      <c r="L14" s="32" t="s">
        <v>1333</v>
      </c>
      <c r="M14" s="32" t="s">
        <v>1333</v>
      </c>
      <c r="O14" s="7" t="s">
        <v>1320</v>
      </c>
      <c r="P14" s="7">
        <v>0.3423916678327632</v>
      </c>
      <c r="R14" s="27">
        <v>45722</v>
      </c>
      <c r="S14" s="28">
        <f t="shared" si="2"/>
        <v>69.621428571428581</v>
      </c>
      <c r="T14" s="28">
        <f t="shared" si="3"/>
        <v>64.67886363636363</v>
      </c>
      <c r="U14" s="31" t="str">
        <f t="shared" si="4"/>
        <v>HOLD</v>
      </c>
      <c r="W14" s="4"/>
      <c r="X14" s="4"/>
    </row>
    <row r="15" spans="2:25">
      <c r="B15" s="3">
        <v>42075</v>
      </c>
      <c r="C15" s="5">
        <v>40.57</v>
      </c>
      <c r="D15" s="5">
        <v>40.1</v>
      </c>
      <c r="E15" s="5">
        <v>40.57</v>
      </c>
      <c r="F15" s="5">
        <v>40.020000000000003</v>
      </c>
      <c r="G15" s="18" t="s">
        <v>1302</v>
      </c>
      <c r="H15" s="2">
        <v>1.17E-2</v>
      </c>
      <c r="I15" s="16">
        <f t="shared" si="0"/>
        <v>1.1720698254364061E-2</v>
      </c>
      <c r="J15" s="16">
        <f t="shared" si="1"/>
        <v>1.0117206982543641</v>
      </c>
      <c r="K15" s="32" t="s">
        <v>1333</v>
      </c>
      <c r="L15" s="32" t="s">
        <v>1333</v>
      </c>
      <c r="M15" s="32" t="s">
        <v>1333</v>
      </c>
      <c r="O15" s="7" t="s">
        <v>1321</v>
      </c>
      <c r="P15" s="7">
        <v>35.450000000000003</v>
      </c>
      <c r="R15" s="27">
        <v>45723</v>
      </c>
      <c r="S15" s="28">
        <f t="shared" si="2"/>
        <v>70.011538461538464</v>
      </c>
      <c r="T15" s="28">
        <f t="shared" si="3"/>
        <v>64.721627906976735</v>
      </c>
      <c r="U15" s="31" t="str">
        <f t="shared" si="4"/>
        <v>HOLD</v>
      </c>
      <c r="W15" s="21"/>
      <c r="X15" s="21"/>
    </row>
    <row r="16" spans="2:25">
      <c r="B16" s="3">
        <v>42076</v>
      </c>
      <c r="C16" s="5">
        <v>39.909999999999997</v>
      </c>
      <c r="D16" s="5">
        <v>40.44</v>
      </c>
      <c r="E16" s="5">
        <v>40.57</v>
      </c>
      <c r="F16" s="5">
        <v>39.61</v>
      </c>
      <c r="G16" s="18" t="s">
        <v>586</v>
      </c>
      <c r="H16" s="2">
        <v>-1.6299999999999999E-2</v>
      </c>
      <c r="I16" s="16">
        <f t="shared" si="0"/>
        <v>-1.6268178456988015E-2</v>
      </c>
      <c r="J16" s="16">
        <f t="shared" si="1"/>
        <v>0.98373182154301197</v>
      </c>
      <c r="K16" s="32" t="s">
        <v>1333</v>
      </c>
      <c r="L16" s="32" t="s">
        <v>1333</v>
      </c>
      <c r="M16" s="32" t="s">
        <v>1333</v>
      </c>
      <c r="O16" s="7" t="s">
        <v>1322</v>
      </c>
      <c r="P16" s="7">
        <v>37.56</v>
      </c>
      <c r="R16" s="27">
        <v>45724</v>
      </c>
      <c r="S16" s="28">
        <f t="shared" si="2"/>
        <v>70.212500000000006</v>
      </c>
      <c r="T16" s="28">
        <f t="shared" si="3"/>
        <v>64.772857142857134</v>
      </c>
      <c r="U16" s="31" t="str">
        <f t="shared" si="4"/>
        <v>HOLD</v>
      </c>
      <c r="W16" s="21"/>
      <c r="X16" s="21"/>
    </row>
    <row r="17" spans="2:32">
      <c r="B17" s="3">
        <v>42079</v>
      </c>
      <c r="C17" s="5">
        <v>40.29</v>
      </c>
      <c r="D17" s="5">
        <v>40</v>
      </c>
      <c r="E17" s="5">
        <v>40.35</v>
      </c>
      <c r="F17" s="5">
        <v>39.99</v>
      </c>
      <c r="G17" s="18" t="s">
        <v>142</v>
      </c>
      <c r="H17" s="2">
        <v>9.4999999999999998E-3</v>
      </c>
      <c r="I17" s="16">
        <f t="shared" si="0"/>
        <v>9.5214232022050264E-3</v>
      </c>
      <c r="J17" s="16">
        <f t="shared" si="1"/>
        <v>1.0095214232022049</v>
      </c>
      <c r="K17" s="32" t="s">
        <v>1333</v>
      </c>
      <c r="L17" s="32" t="s">
        <v>1333</v>
      </c>
      <c r="M17" s="32" t="s">
        <v>1333</v>
      </c>
      <c r="O17" s="7" t="s">
        <v>1323</v>
      </c>
      <c r="P17" s="7">
        <v>73.010000000000005</v>
      </c>
      <c r="R17" s="27">
        <v>45725</v>
      </c>
      <c r="S17" s="28">
        <f t="shared" si="2"/>
        <v>70.349090909090918</v>
      </c>
      <c r="T17" s="28">
        <f t="shared" si="3"/>
        <v>64.829512195121936</v>
      </c>
      <c r="U17" s="31" t="str">
        <f t="shared" si="4"/>
        <v>HOLD</v>
      </c>
      <c r="W17" s="29"/>
      <c r="X17" s="29"/>
      <c r="Y17" s="29"/>
      <c r="Z17" s="29"/>
      <c r="AA17" s="29"/>
      <c r="AB17" s="29"/>
      <c r="AC17" s="21"/>
    </row>
    <row r="18" spans="2:32">
      <c r="B18" s="3">
        <v>42080</v>
      </c>
      <c r="C18" s="5">
        <v>40.51</v>
      </c>
      <c r="D18" s="5">
        <v>40.67</v>
      </c>
      <c r="E18" s="5">
        <v>40.729999999999997</v>
      </c>
      <c r="F18" s="5">
        <v>40.32</v>
      </c>
      <c r="G18" s="18" t="s">
        <v>12</v>
      </c>
      <c r="H18" s="2">
        <v>5.4999999999999997E-3</v>
      </c>
      <c r="I18" s="16">
        <f t="shared" si="0"/>
        <v>5.4604120129064003E-3</v>
      </c>
      <c r="J18" s="16">
        <f t="shared" si="1"/>
        <v>1.0054604120129065</v>
      </c>
      <c r="K18" s="32" t="s">
        <v>1333</v>
      </c>
      <c r="L18" s="32" t="s">
        <v>1333</v>
      </c>
      <c r="M18" s="32" t="s">
        <v>1333</v>
      </c>
      <c r="O18" s="7" t="s">
        <v>1324</v>
      </c>
      <c r="P18" s="7">
        <v>130427.57000000004</v>
      </c>
      <c r="R18" s="27">
        <v>45726</v>
      </c>
      <c r="S18" s="28">
        <f t="shared" si="2"/>
        <v>70.433999999999997</v>
      </c>
      <c r="T18" s="28">
        <f t="shared" si="3"/>
        <v>64.899499999999975</v>
      </c>
      <c r="U18" s="31" t="str">
        <f t="shared" si="4"/>
        <v>HOLD</v>
      </c>
      <c r="W18" s="4"/>
      <c r="X18" s="4"/>
      <c r="Y18" s="4"/>
      <c r="Z18" s="4"/>
      <c r="AA18" s="4"/>
      <c r="AB18" s="4"/>
      <c r="AC18" s="21"/>
    </row>
    <row r="19" spans="2:32">
      <c r="B19" s="3">
        <v>42081</v>
      </c>
      <c r="C19" s="5">
        <v>40.6</v>
      </c>
      <c r="D19" s="5">
        <v>40.479999999999997</v>
      </c>
      <c r="E19" s="5">
        <v>40.79</v>
      </c>
      <c r="F19" s="5">
        <v>39.799999999999997</v>
      </c>
      <c r="G19" s="18" t="s">
        <v>1301</v>
      </c>
      <c r="H19" s="2">
        <v>2.2000000000000001E-3</v>
      </c>
      <c r="I19" s="16">
        <f t="shared" si="0"/>
        <v>2.2216736608245721E-3</v>
      </c>
      <c r="J19" s="16">
        <f t="shared" si="1"/>
        <v>1.0022216736608245</v>
      </c>
      <c r="K19" s="32" t="s">
        <v>1333</v>
      </c>
      <c r="L19" s="32" t="s">
        <v>1333</v>
      </c>
      <c r="M19" s="32" t="s">
        <v>1333</v>
      </c>
      <c r="O19" s="7" t="s">
        <v>1312</v>
      </c>
      <c r="P19" s="7">
        <v>2516</v>
      </c>
      <c r="R19" s="27">
        <v>45727</v>
      </c>
      <c r="S19" s="28">
        <f t="shared" si="2"/>
        <v>70.607777777777784</v>
      </c>
      <c r="T19" s="28">
        <f t="shared" si="3"/>
        <v>64.967179487179465</v>
      </c>
      <c r="U19" s="31" t="str">
        <f t="shared" si="4"/>
        <v>HOLD</v>
      </c>
      <c r="W19" s="4"/>
      <c r="X19" s="4"/>
      <c r="Y19" s="4"/>
      <c r="Z19" s="4"/>
      <c r="AA19" s="4"/>
      <c r="AB19" s="4"/>
      <c r="AC19" s="21"/>
    </row>
    <row r="20" spans="2:32">
      <c r="B20" s="3">
        <v>42082</v>
      </c>
      <c r="C20" s="5">
        <v>40.020000000000003</v>
      </c>
      <c r="D20" s="5">
        <v>40.479999999999997</v>
      </c>
      <c r="E20" s="5">
        <v>40.520000000000003</v>
      </c>
      <c r="F20" s="5">
        <v>39.96</v>
      </c>
      <c r="G20" s="18" t="s">
        <v>709</v>
      </c>
      <c r="H20" s="2">
        <v>-1.43E-2</v>
      </c>
      <c r="I20" s="16">
        <f t="shared" si="0"/>
        <v>-1.4285714285714244E-2</v>
      </c>
      <c r="J20" s="16">
        <f t="shared" si="1"/>
        <v>0.98571428571428577</v>
      </c>
      <c r="K20" s="32" t="s">
        <v>1333</v>
      </c>
      <c r="L20" s="32" t="s">
        <v>1333</v>
      </c>
      <c r="M20" s="32" t="s">
        <v>1333</v>
      </c>
      <c r="O20" s="7" t="s">
        <v>1325</v>
      </c>
      <c r="P20" s="7">
        <v>73.010000000000005</v>
      </c>
      <c r="R20" s="27">
        <v>45728</v>
      </c>
      <c r="S20" s="28">
        <f>K2534</f>
        <v>70.802500000000009</v>
      </c>
      <c r="T20" s="28">
        <f>L2534</f>
        <v>65.049473684210511</v>
      </c>
      <c r="U20" s="31" t="str">
        <f t="shared" si="4"/>
        <v>HOLD</v>
      </c>
      <c r="W20" s="4"/>
      <c r="X20" s="4"/>
      <c r="Y20" s="4"/>
      <c r="Z20" s="4"/>
      <c r="AA20" s="4"/>
      <c r="AB20" s="4"/>
      <c r="AC20" s="21"/>
    </row>
    <row r="21" spans="2:32">
      <c r="B21" s="3">
        <v>42083</v>
      </c>
      <c r="C21" s="5">
        <v>40.65</v>
      </c>
      <c r="D21" s="5">
        <v>40.07</v>
      </c>
      <c r="E21" s="5">
        <v>40.659999999999997</v>
      </c>
      <c r="F21" s="5">
        <v>40.01</v>
      </c>
      <c r="G21" s="18" t="s">
        <v>1300</v>
      </c>
      <c r="H21" s="2">
        <v>1.5699999999999999E-2</v>
      </c>
      <c r="I21" s="16">
        <f t="shared" si="0"/>
        <v>1.5742128935532118E-2</v>
      </c>
      <c r="J21" s="16">
        <f t="shared" si="1"/>
        <v>1.0157421289355322</v>
      </c>
      <c r="K21" s="32" t="s">
        <v>1333</v>
      </c>
      <c r="L21" s="32" t="s">
        <v>1333</v>
      </c>
      <c r="M21" s="32" t="s">
        <v>1333</v>
      </c>
      <c r="O21" s="7" t="s">
        <v>1326</v>
      </c>
      <c r="P21" s="7">
        <v>37.56</v>
      </c>
      <c r="R21" s="27">
        <v>45729</v>
      </c>
      <c r="S21" s="28">
        <f t="shared" si="2"/>
        <v>70.907142857142858</v>
      </c>
      <c r="T21" s="28">
        <f t="shared" si="3"/>
        <v>65.138648648648626</v>
      </c>
      <c r="U21" s="31" t="str">
        <f>M2535</f>
        <v>HOLD</v>
      </c>
      <c r="W21" s="21"/>
      <c r="X21" s="21"/>
      <c r="Y21" s="21"/>
      <c r="Z21" s="21"/>
      <c r="AA21" s="21"/>
      <c r="AB21" s="21"/>
      <c r="AC21" s="21"/>
    </row>
    <row r="22" spans="2:32" ht="15.75" thickBot="1">
      <c r="B22" s="3">
        <v>42086</v>
      </c>
      <c r="C22" s="5">
        <v>40.619999999999997</v>
      </c>
      <c r="D22" s="5">
        <v>40.64</v>
      </c>
      <c r="E22" s="5">
        <v>40.94</v>
      </c>
      <c r="F22" s="5">
        <v>40.5</v>
      </c>
      <c r="G22" s="18" t="s">
        <v>1299</v>
      </c>
      <c r="H22" s="2">
        <v>-6.9999999999999999E-4</v>
      </c>
      <c r="I22" s="16">
        <f t="shared" si="0"/>
        <v>-7.3800738007382869E-4</v>
      </c>
      <c r="J22" s="16">
        <f t="shared" si="1"/>
        <v>0.99926199261992621</v>
      </c>
      <c r="K22" s="32" t="s">
        <v>1333</v>
      </c>
      <c r="L22" s="32" t="s">
        <v>1333</v>
      </c>
      <c r="M22" s="32" t="s">
        <v>1333</v>
      </c>
      <c r="O22" s="9" t="s">
        <v>1327</v>
      </c>
      <c r="P22" s="9">
        <v>0.32502563676662655</v>
      </c>
      <c r="R22" s="27">
        <v>45730</v>
      </c>
      <c r="S22" s="28">
        <f t="shared" si="2"/>
        <v>71.051666666666662</v>
      </c>
      <c r="T22" s="28">
        <f t="shared" si="3"/>
        <v>65.258888888888862</v>
      </c>
      <c r="U22" s="31" t="str">
        <f t="shared" si="4"/>
        <v>HOLD</v>
      </c>
      <c r="W22" s="29"/>
      <c r="X22" s="29"/>
      <c r="Y22" s="29"/>
      <c r="Z22" s="29"/>
      <c r="AA22" s="29"/>
      <c r="AB22" s="29"/>
      <c r="AC22" s="29"/>
      <c r="AD22" s="29"/>
      <c r="AE22" s="29"/>
      <c r="AF22" s="21"/>
    </row>
    <row r="23" spans="2:32">
      <c r="B23" s="3">
        <v>42087</v>
      </c>
      <c r="C23" s="5">
        <v>40.47</v>
      </c>
      <c r="D23" s="5">
        <v>40.909999999999997</v>
      </c>
      <c r="E23" s="5">
        <v>40.98</v>
      </c>
      <c r="F23" s="5">
        <v>40.47</v>
      </c>
      <c r="G23" s="18" t="s">
        <v>793</v>
      </c>
      <c r="H23" s="2">
        <v>-3.7000000000000002E-3</v>
      </c>
      <c r="I23" s="16">
        <f t="shared" si="0"/>
        <v>-3.6927621861151793E-3</v>
      </c>
      <c r="J23" s="16">
        <f t="shared" si="1"/>
        <v>0.99630723781388486</v>
      </c>
      <c r="K23" s="32" t="s">
        <v>1333</v>
      </c>
      <c r="L23" s="32" t="s">
        <v>1333</v>
      </c>
      <c r="M23" s="32" t="s">
        <v>1333</v>
      </c>
      <c r="R23" s="27">
        <v>45731</v>
      </c>
      <c r="S23" s="28">
        <f t="shared" si="2"/>
        <v>70.99199999999999</v>
      </c>
      <c r="T23" s="28">
        <f t="shared" si="3"/>
        <v>65.385142857142839</v>
      </c>
      <c r="U23" s="31" t="str">
        <f t="shared" si="4"/>
        <v>HOLD</v>
      </c>
      <c r="W23" s="4"/>
      <c r="X23" s="4"/>
      <c r="Y23" s="4"/>
      <c r="Z23" s="4"/>
      <c r="AA23" s="4"/>
      <c r="AB23" s="4"/>
      <c r="AC23" s="4"/>
      <c r="AD23" s="4"/>
      <c r="AE23" s="4"/>
      <c r="AF23" s="21"/>
    </row>
    <row r="24" spans="2:32">
      <c r="B24" s="3">
        <v>42088</v>
      </c>
      <c r="C24" s="5">
        <v>40.450000000000003</v>
      </c>
      <c r="D24" s="5">
        <v>40.590000000000003</v>
      </c>
      <c r="E24" s="5">
        <v>40.700000000000003</v>
      </c>
      <c r="F24" s="5">
        <v>40.24</v>
      </c>
      <c r="G24" s="18" t="s">
        <v>1298</v>
      </c>
      <c r="H24" s="2">
        <v>-5.0000000000000001E-4</v>
      </c>
      <c r="I24" s="16">
        <f t="shared" si="0"/>
        <v>-4.9419322955265681E-4</v>
      </c>
      <c r="J24" s="16">
        <f t="shared" si="1"/>
        <v>0.99950580677044731</v>
      </c>
      <c r="K24" s="32" t="s">
        <v>1333</v>
      </c>
      <c r="L24" s="32" t="s">
        <v>1333</v>
      </c>
      <c r="M24" s="32" t="s">
        <v>1333</v>
      </c>
      <c r="W24" s="21"/>
      <c r="X24" s="4"/>
      <c r="Y24" s="4"/>
      <c r="Z24" s="4"/>
      <c r="AA24" s="4"/>
      <c r="AB24" s="4"/>
      <c r="AC24" s="4"/>
      <c r="AD24" s="4"/>
      <c r="AE24" s="4"/>
      <c r="AF24" s="4"/>
    </row>
    <row r="25" spans="2:32">
      <c r="B25" s="3">
        <v>42089</v>
      </c>
      <c r="C25" s="5">
        <v>40.35</v>
      </c>
      <c r="D25" s="5">
        <v>40.340000000000003</v>
      </c>
      <c r="E25" s="5">
        <v>40.56</v>
      </c>
      <c r="F25" s="5">
        <v>40.229999999999997</v>
      </c>
      <c r="G25" s="18" t="s">
        <v>165</v>
      </c>
      <c r="H25" s="2">
        <v>-2.5000000000000001E-3</v>
      </c>
      <c r="I25" s="16">
        <f t="shared" si="0"/>
        <v>-2.4721878862793921E-3</v>
      </c>
      <c r="J25" s="16">
        <f t="shared" si="1"/>
        <v>0.99752781211372066</v>
      </c>
      <c r="K25" s="32" t="s">
        <v>1333</v>
      </c>
      <c r="L25" s="32" t="s">
        <v>1333</v>
      </c>
      <c r="M25" s="32" t="s">
        <v>1333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pans="2:32" ht="15.75" thickBot="1">
      <c r="B26" s="3">
        <v>42090</v>
      </c>
      <c r="C26" s="5">
        <v>40.08</v>
      </c>
      <c r="D26" s="5">
        <v>40.479999999999997</v>
      </c>
      <c r="E26" s="5">
        <v>40.479999999999997</v>
      </c>
      <c r="F26" s="5">
        <v>39.97</v>
      </c>
      <c r="G26" s="18" t="s">
        <v>241</v>
      </c>
      <c r="H26" s="2">
        <v>-6.7000000000000002E-3</v>
      </c>
      <c r="I26" s="16">
        <f t="shared" si="0"/>
        <v>-6.6914498141264715E-3</v>
      </c>
      <c r="J26" s="16">
        <f t="shared" si="1"/>
        <v>0.9933085501858735</v>
      </c>
      <c r="K26" s="16">
        <f>AVERAGE(C7:C25)</f>
        <v>41.010000000000005</v>
      </c>
      <c r="L26" s="32" t="s">
        <v>1333</v>
      </c>
      <c r="M26" s="32" t="s">
        <v>1333</v>
      </c>
      <c r="X26" s="21"/>
      <c r="Y26" s="21"/>
      <c r="Z26" s="21"/>
      <c r="AA26" s="21"/>
      <c r="AB26" s="21"/>
      <c r="AC26" s="21"/>
      <c r="AD26" s="21"/>
      <c r="AE26" s="21"/>
      <c r="AF26" s="21"/>
    </row>
    <row r="27" spans="2:32" ht="15.75" customHeight="1" thickTop="1" thickBot="1">
      <c r="B27" s="3">
        <v>42093</v>
      </c>
      <c r="C27" s="5">
        <v>40.51</v>
      </c>
      <c r="D27" s="5">
        <v>40.11</v>
      </c>
      <c r="E27" s="5">
        <v>40.61</v>
      </c>
      <c r="F27" s="5">
        <v>39.94</v>
      </c>
      <c r="G27" s="18" t="s">
        <v>723</v>
      </c>
      <c r="H27" s="2">
        <v>1.0699999999999999E-2</v>
      </c>
      <c r="I27" s="16">
        <f t="shared" si="0"/>
        <v>1.072854291417165E-2</v>
      </c>
      <c r="J27" s="16">
        <f t="shared" si="1"/>
        <v>1.0107285429141717</v>
      </c>
      <c r="K27" s="16">
        <f t="shared" ref="K27:K90" si="5">AVERAGE(C8:C26)</f>
        <v>40.845789473684221</v>
      </c>
      <c r="L27" s="32" t="s">
        <v>1333</v>
      </c>
      <c r="M27" s="32" t="s">
        <v>1333</v>
      </c>
      <c r="O27" s="37" t="s">
        <v>1329</v>
      </c>
      <c r="P27" s="37"/>
      <c r="T27" s="37" t="s">
        <v>1330</v>
      </c>
      <c r="U27" s="37"/>
      <c r="X27" s="21"/>
      <c r="Y27" s="21"/>
      <c r="Z27" s="21"/>
      <c r="AD27" s="21"/>
      <c r="AE27" s="21"/>
      <c r="AF27" s="21"/>
    </row>
    <row r="28" spans="2:32" ht="15.75" thickTop="1">
      <c r="B28" s="3">
        <v>42094</v>
      </c>
      <c r="C28" s="5">
        <v>40.549999999999997</v>
      </c>
      <c r="D28" s="5">
        <v>40.51</v>
      </c>
      <c r="E28" s="5">
        <v>40.9</v>
      </c>
      <c r="F28" s="5">
        <v>40.35</v>
      </c>
      <c r="G28" s="18" t="s">
        <v>759</v>
      </c>
      <c r="H28" s="2">
        <v>1E-3</v>
      </c>
      <c r="I28" s="16">
        <f t="shared" si="0"/>
        <v>9.8741051592197353E-4</v>
      </c>
      <c r="J28" s="16">
        <f t="shared" si="1"/>
        <v>1.000987410515922</v>
      </c>
      <c r="K28" s="16">
        <f t="shared" si="5"/>
        <v>40.71736842105264</v>
      </c>
      <c r="L28" s="32" t="s">
        <v>1333</v>
      </c>
      <c r="M28" s="32" t="s">
        <v>1333</v>
      </c>
      <c r="Y28" s="21"/>
      <c r="Z28" s="21"/>
    </row>
    <row r="29" spans="2:32">
      <c r="B29" s="3">
        <v>42095</v>
      </c>
      <c r="C29" s="5">
        <v>40.68</v>
      </c>
      <c r="D29" s="5">
        <v>40.79</v>
      </c>
      <c r="E29" s="5">
        <v>40.81</v>
      </c>
      <c r="F29" s="5">
        <v>40.229999999999997</v>
      </c>
      <c r="G29" s="18" t="s">
        <v>495</v>
      </c>
      <c r="H29" s="2">
        <v>3.2000000000000002E-3</v>
      </c>
      <c r="I29" s="16">
        <f t="shared" si="0"/>
        <v>3.2059186189889659E-3</v>
      </c>
      <c r="J29" s="16">
        <f t="shared" si="1"/>
        <v>1.003205918618989</v>
      </c>
      <c r="K29" s="16">
        <f t="shared" si="5"/>
        <v>40.614736842105266</v>
      </c>
      <c r="L29" s="32" t="s">
        <v>1333</v>
      </c>
      <c r="M29" s="32" t="s">
        <v>1333</v>
      </c>
    </row>
    <row r="30" spans="2:32">
      <c r="B30" s="3">
        <v>42096</v>
      </c>
      <c r="C30" s="5">
        <v>40.68</v>
      </c>
      <c r="D30" s="5">
        <v>40.729999999999997</v>
      </c>
      <c r="E30" s="5">
        <v>40.869999999999997</v>
      </c>
      <c r="F30" s="5">
        <v>40.479999999999997</v>
      </c>
      <c r="G30" s="18" t="s">
        <v>442</v>
      </c>
      <c r="H30" s="2">
        <v>0</v>
      </c>
      <c r="I30" s="16">
        <f t="shared" si="0"/>
        <v>0</v>
      </c>
      <c r="J30" s="16">
        <f t="shared" si="1"/>
        <v>1</v>
      </c>
      <c r="K30" s="16">
        <f t="shared" si="5"/>
        <v>40.524210526315784</v>
      </c>
      <c r="L30" s="32" t="s">
        <v>1333</v>
      </c>
      <c r="M30" s="32" t="s">
        <v>1333</v>
      </c>
    </row>
    <row r="31" spans="2:32">
      <c r="B31" s="3">
        <v>42100</v>
      </c>
      <c r="C31" s="5">
        <v>41.17</v>
      </c>
      <c r="D31" s="5">
        <v>40.770000000000003</v>
      </c>
      <c r="E31" s="5">
        <v>41.61</v>
      </c>
      <c r="F31" s="5">
        <v>40.590000000000003</v>
      </c>
      <c r="G31" s="18" t="s">
        <v>860</v>
      </c>
      <c r="H31" s="2">
        <v>1.2E-2</v>
      </c>
      <c r="I31" s="16">
        <f t="shared" si="0"/>
        <v>1.2045231071779794E-2</v>
      </c>
      <c r="J31" s="16">
        <f t="shared" si="1"/>
        <v>1.0120452310717798</v>
      </c>
      <c r="K31" s="16">
        <f t="shared" si="5"/>
        <v>40.479999999999997</v>
      </c>
      <c r="L31" s="32" t="s">
        <v>1333</v>
      </c>
      <c r="M31" s="32" t="s">
        <v>1333</v>
      </c>
    </row>
    <row r="32" spans="2:32">
      <c r="B32" s="3">
        <v>42101</v>
      </c>
      <c r="C32" s="5">
        <v>41.01</v>
      </c>
      <c r="D32" s="5">
        <v>41.05</v>
      </c>
      <c r="E32" s="5">
        <v>41.37</v>
      </c>
      <c r="F32" s="5">
        <v>40.97</v>
      </c>
      <c r="G32" s="18" t="s">
        <v>408</v>
      </c>
      <c r="H32" s="2">
        <v>-3.8999999999999998E-3</v>
      </c>
      <c r="I32" s="16">
        <f t="shared" si="0"/>
        <v>-3.8863249939277067E-3</v>
      </c>
      <c r="J32" s="16">
        <f t="shared" si="1"/>
        <v>0.99611367500607229</v>
      </c>
      <c r="K32" s="16">
        <f t="shared" si="5"/>
        <v>40.468421052631562</v>
      </c>
      <c r="L32" s="32" t="s">
        <v>1333</v>
      </c>
      <c r="M32" s="32" t="s">
        <v>1333</v>
      </c>
    </row>
    <row r="33" spans="2:13">
      <c r="B33" s="3">
        <v>42102</v>
      </c>
      <c r="C33" s="5">
        <v>40.89</v>
      </c>
      <c r="D33" s="5">
        <v>40.98</v>
      </c>
      <c r="E33" s="5">
        <v>41.09</v>
      </c>
      <c r="F33" s="5">
        <v>40.74</v>
      </c>
      <c r="G33" s="18" t="s">
        <v>409</v>
      </c>
      <c r="H33" s="2">
        <v>-2.8999999999999998E-3</v>
      </c>
      <c r="I33" s="16">
        <f t="shared" si="0"/>
        <v>-2.9261155815654095E-3</v>
      </c>
      <c r="J33" s="16">
        <f t="shared" si="1"/>
        <v>0.99707388441843459</v>
      </c>
      <c r="K33" s="16">
        <f t="shared" si="5"/>
        <v>40.485263157894728</v>
      </c>
      <c r="L33" s="32" t="s">
        <v>1333</v>
      </c>
      <c r="M33" s="32" t="s">
        <v>1333</v>
      </c>
    </row>
    <row r="34" spans="2:13">
      <c r="B34" s="3">
        <v>42103</v>
      </c>
      <c r="C34" s="5">
        <v>41.05</v>
      </c>
      <c r="D34" s="5">
        <v>40.799999999999997</v>
      </c>
      <c r="E34" s="5">
        <v>41.08</v>
      </c>
      <c r="F34" s="5">
        <v>40.630000000000003</v>
      </c>
      <c r="G34" s="18" t="s">
        <v>1096</v>
      </c>
      <c r="H34" s="2">
        <v>3.8999999999999998E-3</v>
      </c>
      <c r="I34" s="16">
        <f t="shared" si="0"/>
        <v>3.91293714844697E-3</v>
      </c>
      <c r="J34" s="16">
        <f t="shared" si="1"/>
        <v>1.003912937148447</v>
      </c>
      <c r="K34" s="16">
        <f t="shared" si="5"/>
        <v>40.526842105263142</v>
      </c>
      <c r="L34" s="32" t="s">
        <v>1333</v>
      </c>
      <c r="M34" s="32" t="s">
        <v>1333</v>
      </c>
    </row>
    <row r="35" spans="2:13">
      <c r="B35" s="3">
        <v>42104</v>
      </c>
      <c r="C35" s="5">
        <v>40.880000000000003</v>
      </c>
      <c r="D35" s="5">
        <v>41.09</v>
      </c>
      <c r="E35" s="5">
        <v>41.16</v>
      </c>
      <c r="F35" s="5">
        <v>40.85</v>
      </c>
      <c r="G35" s="18" t="s">
        <v>983</v>
      </c>
      <c r="H35" s="2">
        <v>-4.1000000000000003E-3</v>
      </c>
      <c r="I35" s="16">
        <f t="shared" si="0"/>
        <v>-4.1412911084042535E-3</v>
      </c>
      <c r="J35" s="16">
        <f t="shared" si="1"/>
        <v>0.99585870889159578</v>
      </c>
      <c r="K35" s="16">
        <f t="shared" si="5"/>
        <v>40.552105263157877</v>
      </c>
      <c r="L35" s="32" t="s">
        <v>1333</v>
      </c>
      <c r="M35" s="32" t="s">
        <v>1333</v>
      </c>
    </row>
    <row r="36" spans="2:13">
      <c r="B36" s="3">
        <v>42107</v>
      </c>
      <c r="C36" s="5">
        <v>40.700000000000003</v>
      </c>
      <c r="D36" s="5">
        <v>40.97</v>
      </c>
      <c r="E36" s="5">
        <v>40.97</v>
      </c>
      <c r="F36" s="5">
        <v>40.700000000000003</v>
      </c>
      <c r="G36" s="18" t="s">
        <v>930</v>
      </c>
      <c r="H36" s="2">
        <v>-4.4000000000000003E-3</v>
      </c>
      <c r="I36" s="16">
        <f t="shared" si="0"/>
        <v>-4.4031311154598754E-3</v>
      </c>
      <c r="J36" s="16">
        <f t="shared" si="1"/>
        <v>0.99559686888454013</v>
      </c>
      <c r="K36" s="16">
        <f t="shared" si="5"/>
        <v>40.603157894736832</v>
      </c>
      <c r="L36" s="32" t="s">
        <v>1333</v>
      </c>
      <c r="M36" s="32" t="s">
        <v>1333</v>
      </c>
    </row>
    <row r="37" spans="2:13">
      <c r="B37" s="3">
        <v>42108</v>
      </c>
      <c r="C37" s="5">
        <v>40.51</v>
      </c>
      <c r="D37" s="5">
        <v>40.590000000000003</v>
      </c>
      <c r="E37" s="5">
        <v>40.65</v>
      </c>
      <c r="F37" s="5">
        <v>40.32</v>
      </c>
      <c r="G37" s="18" t="s">
        <v>1210</v>
      </c>
      <c r="H37" s="2">
        <v>-4.7000000000000002E-3</v>
      </c>
      <c r="I37" s="16">
        <f t="shared" si="0"/>
        <v>-4.6683046683047864E-3</v>
      </c>
      <c r="J37" s="16">
        <f t="shared" si="1"/>
        <v>0.99533169533169519</v>
      </c>
      <c r="K37" s="16">
        <f t="shared" si="5"/>
        <v>40.624736842105257</v>
      </c>
      <c r="L37" s="32" t="s">
        <v>1333</v>
      </c>
      <c r="M37" s="32" t="s">
        <v>1333</v>
      </c>
    </row>
    <row r="38" spans="2:13">
      <c r="B38" s="3">
        <v>42109</v>
      </c>
      <c r="C38" s="5">
        <v>40.4</v>
      </c>
      <c r="D38" s="5">
        <v>40.590000000000003</v>
      </c>
      <c r="E38" s="5">
        <v>40.81</v>
      </c>
      <c r="F38" s="5">
        <v>40.32</v>
      </c>
      <c r="G38" s="18" t="s">
        <v>322</v>
      </c>
      <c r="H38" s="2">
        <v>-2.7000000000000001E-3</v>
      </c>
      <c r="I38" s="16">
        <f t="shared" si="0"/>
        <v>-2.7153789187854714E-3</v>
      </c>
      <c r="J38" s="16">
        <f t="shared" si="1"/>
        <v>0.99728462108121452</v>
      </c>
      <c r="K38" s="16">
        <f t="shared" si="5"/>
        <v>40.624736842105264</v>
      </c>
      <c r="L38" s="32" t="s">
        <v>1333</v>
      </c>
      <c r="M38" s="32" t="s">
        <v>1333</v>
      </c>
    </row>
    <row r="39" spans="2:13">
      <c r="B39" s="3">
        <v>42110</v>
      </c>
      <c r="C39" s="5">
        <v>40.6</v>
      </c>
      <c r="D39" s="5">
        <v>40.409999999999997</v>
      </c>
      <c r="E39" s="5">
        <v>40.86</v>
      </c>
      <c r="F39" s="5">
        <v>40.299999999999997</v>
      </c>
      <c r="G39" s="18" t="s">
        <v>1297</v>
      </c>
      <c r="H39" s="2">
        <v>5.0000000000000001E-3</v>
      </c>
      <c r="I39" s="16">
        <f t="shared" si="0"/>
        <v>4.9504950495050208E-3</v>
      </c>
      <c r="J39" s="16">
        <f t="shared" si="1"/>
        <v>1.004950495049505</v>
      </c>
      <c r="K39" s="16">
        <f t="shared" si="5"/>
        <v>40.614210526315787</v>
      </c>
      <c r="L39" s="32" t="s">
        <v>1333</v>
      </c>
      <c r="M39" s="32" t="s">
        <v>1333</v>
      </c>
    </row>
    <row r="40" spans="2:13">
      <c r="B40" s="3">
        <v>42111</v>
      </c>
      <c r="C40" s="5">
        <v>40.299999999999997</v>
      </c>
      <c r="D40" s="5">
        <v>40.47</v>
      </c>
      <c r="E40" s="5">
        <v>40.659999999999997</v>
      </c>
      <c r="F40" s="5">
        <v>40.1</v>
      </c>
      <c r="G40" s="18" t="s">
        <v>1066</v>
      </c>
      <c r="H40" s="2">
        <v>-7.4000000000000003E-3</v>
      </c>
      <c r="I40" s="16">
        <f t="shared" si="0"/>
        <v>-7.3891625615764593E-3</v>
      </c>
      <c r="J40" s="16">
        <f t="shared" si="1"/>
        <v>0.99261083743842349</v>
      </c>
      <c r="K40" s="16">
        <f t="shared" si="5"/>
        <v>40.64473684210526</v>
      </c>
      <c r="L40" s="32" t="s">
        <v>1333</v>
      </c>
      <c r="M40" s="32" t="s">
        <v>1333</v>
      </c>
    </row>
    <row r="41" spans="2:13">
      <c r="B41" s="3">
        <v>42114</v>
      </c>
      <c r="C41" s="5">
        <v>40.659999999999997</v>
      </c>
      <c r="D41" s="5">
        <v>40.42</v>
      </c>
      <c r="E41" s="5">
        <v>40.9</v>
      </c>
      <c r="F41" s="5">
        <v>40.409999999999997</v>
      </c>
      <c r="G41" s="18" t="s">
        <v>215</v>
      </c>
      <c r="H41" s="2">
        <v>8.8999999999999999E-3</v>
      </c>
      <c r="I41" s="16">
        <f t="shared" si="0"/>
        <v>8.9330024813895643E-3</v>
      </c>
      <c r="J41" s="16">
        <f t="shared" si="1"/>
        <v>1.0089330024813896</v>
      </c>
      <c r="K41" s="16">
        <f t="shared" si="5"/>
        <v>40.626315789473686</v>
      </c>
      <c r="L41" s="32" t="s">
        <v>1333</v>
      </c>
      <c r="M41" s="32" t="s">
        <v>1333</v>
      </c>
    </row>
    <row r="42" spans="2:13">
      <c r="B42" s="3">
        <v>42115</v>
      </c>
      <c r="C42" s="5">
        <v>40.78</v>
      </c>
      <c r="D42" s="5">
        <v>40.67</v>
      </c>
      <c r="E42" s="5">
        <v>40.99</v>
      </c>
      <c r="F42" s="5">
        <v>40.54</v>
      </c>
      <c r="G42" s="18" t="s">
        <v>1296</v>
      </c>
      <c r="H42" s="2">
        <v>3.0000000000000001E-3</v>
      </c>
      <c r="I42" s="16">
        <f t="shared" si="0"/>
        <v>2.9513034923759115E-3</v>
      </c>
      <c r="J42" s="16">
        <f t="shared" si="1"/>
        <v>1.0029513034923758</v>
      </c>
      <c r="K42" s="16">
        <f t="shared" si="5"/>
        <v>40.62842105263158</v>
      </c>
      <c r="L42" s="32" t="s">
        <v>1333</v>
      </c>
      <c r="M42" s="32" t="s">
        <v>1333</v>
      </c>
    </row>
    <row r="43" spans="2:13">
      <c r="B43" s="3">
        <v>42116</v>
      </c>
      <c r="C43" s="5">
        <v>41.31</v>
      </c>
      <c r="D43" s="5">
        <v>41.56</v>
      </c>
      <c r="E43" s="5">
        <v>41.57</v>
      </c>
      <c r="F43" s="5">
        <v>41.07</v>
      </c>
      <c r="G43" s="18" t="s">
        <v>1295</v>
      </c>
      <c r="H43" s="2">
        <v>1.2999999999999999E-2</v>
      </c>
      <c r="I43" s="16">
        <f t="shared" si="0"/>
        <v>1.2996566944580705E-2</v>
      </c>
      <c r="J43" s="16">
        <f t="shared" si="1"/>
        <v>1.0129965669445806</v>
      </c>
      <c r="K43" s="16">
        <f t="shared" si="5"/>
        <v>40.64473684210526</v>
      </c>
      <c r="L43" s="32" t="s">
        <v>1333</v>
      </c>
      <c r="M43" s="32" t="s">
        <v>1333</v>
      </c>
    </row>
    <row r="44" spans="2:13">
      <c r="B44" s="3">
        <v>42117</v>
      </c>
      <c r="C44" s="5">
        <v>40.950000000000003</v>
      </c>
      <c r="D44" s="5">
        <v>41.23</v>
      </c>
      <c r="E44" s="5">
        <v>41.41</v>
      </c>
      <c r="F44" s="5">
        <v>40.92</v>
      </c>
      <c r="G44" s="18" t="s">
        <v>1294</v>
      </c>
      <c r="H44" s="2">
        <v>-8.6999999999999994E-3</v>
      </c>
      <c r="I44" s="16">
        <f t="shared" si="0"/>
        <v>-8.7145969498910528E-3</v>
      </c>
      <c r="J44" s="16">
        <f t="shared" si="1"/>
        <v>0.99128540305010893</v>
      </c>
      <c r="K44" s="16">
        <f t="shared" si="5"/>
        <v>40.69</v>
      </c>
      <c r="L44" s="32" t="s">
        <v>1333</v>
      </c>
      <c r="M44" s="32" t="s">
        <v>1333</v>
      </c>
    </row>
    <row r="45" spans="2:13">
      <c r="B45" s="3">
        <v>42118</v>
      </c>
      <c r="C45" s="5">
        <v>40.89</v>
      </c>
      <c r="D45" s="5">
        <v>41.04</v>
      </c>
      <c r="E45" s="5">
        <v>41.12</v>
      </c>
      <c r="F45" s="5">
        <v>40.81</v>
      </c>
      <c r="G45" s="18" t="s">
        <v>1260</v>
      </c>
      <c r="H45" s="2">
        <v>-1.5E-3</v>
      </c>
      <c r="I45" s="16">
        <f t="shared" si="0"/>
        <v>-1.4652014652015207E-3</v>
      </c>
      <c r="J45" s="16">
        <f t="shared" si="1"/>
        <v>0.99853479853479843</v>
      </c>
      <c r="K45" s="16">
        <f t="shared" si="5"/>
        <v>40.721578947368421</v>
      </c>
      <c r="L45" s="32" t="s">
        <v>1333</v>
      </c>
      <c r="M45" s="32" t="s">
        <v>1333</v>
      </c>
    </row>
    <row r="46" spans="2:13">
      <c r="B46" s="3">
        <v>42121</v>
      </c>
      <c r="C46" s="5">
        <v>40.83</v>
      </c>
      <c r="D46" s="5">
        <v>41</v>
      </c>
      <c r="E46" s="5">
        <v>41.15</v>
      </c>
      <c r="F46" s="5">
        <v>40.78</v>
      </c>
      <c r="G46" s="18" t="s">
        <v>1293</v>
      </c>
      <c r="H46" s="2">
        <v>-1.5E-3</v>
      </c>
      <c r="I46" s="16">
        <f t="shared" si="0"/>
        <v>-1.4673514306677005E-3</v>
      </c>
      <c r="J46" s="16">
        <f t="shared" si="1"/>
        <v>0.99853264856933233</v>
      </c>
      <c r="K46" s="16">
        <f t="shared" si="5"/>
        <v>40.764210526315786</v>
      </c>
      <c r="L46" s="32" t="s">
        <v>1333</v>
      </c>
      <c r="M46" s="32" t="s">
        <v>1333</v>
      </c>
    </row>
    <row r="47" spans="2:13">
      <c r="B47" s="3">
        <v>42122</v>
      </c>
      <c r="C47" s="5">
        <v>40.770000000000003</v>
      </c>
      <c r="D47" s="5">
        <v>40.950000000000003</v>
      </c>
      <c r="E47" s="5">
        <v>40.97</v>
      </c>
      <c r="F47" s="5">
        <v>40.6</v>
      </c>
      <c r="G47" s="18" t="s">
        <v>986</v>
      </c>
      <c r="H47" s="2">
        <v>-1.5E-3</v>
      </c>
      <c r="I47" s="16">
        <f t="shared" si="0"/>
        <v>-1.469507714915385E-3</v>
      </c>
      <c r="J47" s="16">
        <f t="shared" si="1"/>
        <v>0.99853049228508461</v>
      </c>
      <c r="K47" s="16">
        <f t="shared" si="5"/>
        <v>40.781052631578945</v>
      </c>
      <c r="L47" s="32" t="s">
        <v>1333</v>
      </c>
      <c r="M47" s="32" t="s">
        <v>1333</v>
      </c>
    </row>
    <row r="48" spans="2:13">
      <c r="B48" s="3">
        <v>42123</v>
      </c>
      <c r="C48" s="5">
        <v>40.49</v>
      </c>
      <c r="D48" s="5">
        <v>40.659999999999997</v>
      </c>
      <c r="E48" s="5">
        <v>40.75</v>
      </c>
      <c r="F48" s="5">
        <v>40.4</v>
      </c>
      <c r="G48" s="18" t="s">
        <v>973</v>
      </c>
      <c r="H48" s="2">
        <v>-6.8999999999999999E-3</v>
      </c>
      <c r="I48" s="16">
        <f t="shared" si="0"/>
        <v>-6.8677949472651734E-3</v>
      </c>
      <c r="J48" s="16">
        <f t="shared" si="1"/>
        <v>0.99313220505273481</v>
      </c>
      <c r="K48" s="16">
        <f t="shared" si="5"/>
        <v>40.792631578947365</v>
      </c>
      <c r="L48" s="32" t="s">
        <v>1333</v>
      </c>
      <c r="M48" s="32" t="s">
        <v>1333</v>
      </c>
    </row>
    <row r="49" spans="2:13">
      <c r="B49" s="3">
        <v>42124</v>
      </c>
      <c r="C49" s="5">
        <v>40.56</v>
      </c>
      <c r="D49" s="5">
        <v>40.4</v>
      </c>
      <c r="E49" s="5">
        <v>40.58</v>
      </c>
      <c r="F49" s="5">
        <v>40.28</v>
      </c>
      <c r="G49" s="18" t="s">
        <v>295</v>
      </c>
      <c r="H49" s="2">
        <v>1.6999999999999999E-3</v>
      </c>
      <c r="I49" s="16">
        <f t="shared" si="0"/>
        <v>1.7288219313410789E-3</v>
      </c>
      <c r="J49" s="16">
        <f t="shared" si="1"/>
        <v>1.0017288219313412</v>
      </c>
      <c r="K49" s="16">
        <f t="shared" si="5"/>
        <v>40.782631578947374</v>
      </c>
      <c r="L49" s="32" t="s">
        <v>1333</v>
      </c>
      <c r="M49" s="32" t="s">
        <v>1333</v>
      </c>
    </row>
    <row r="50" spans="2:13">
      <c r="B50" s="3">
        <v>42125</v>
      </c>
      <c r="C50" s="5">
        <v>40.909999999999997</v>
      </c>
      <c r="D50" s="5">
        <v>40.58</v>
      </c>
      <c r="E50" s="5">
        <v>40.93</v>
      </c>
      <c r="F50" s="5">
        <v>40.5</v>
      </c>
      <c r="G50" s="18" t="s">
        <v>192</v>
      </c>
      <c r="H50" s="2">
        <v>8.6E-3</v>
      </c>
      <c r="I50" s="16">
        <f t="shared" si="0"/>
        <v>8.629191321498874E-3</v>
      </c>
      <c r="J50" s="16">
        <f t="shared" si="1"/>
        <v>1.0086291913214989</v>
      </c>
      <c r="K50" s="16">
        <f t="shared" si="5"/>
        <v>40.776315789473685</v>
      </c>
      <c r="L50" s="32" t="s">
        <v>1333</v>
      </c>
      <c r="M50" s="32" t="s">
        <v>1333</v>
      </c>
    </row>
    <row r="51" spans="2:13">
      <c r="B51" s="3">
        <v>42128</v>
      </c>
      <c r="C51" s="5">
        <v>40.96</v>
      </c>
      <c r="D51" s="5">
        <v>40.880000000000003</v>
      </c>
      <c r="E51" s="5">
        <v>41.1</v>
      </c>
      <c r="F51" s="5">
        <v>40.770000000000003</v>
      </c>
      <c r="G51" s="18" t="s">
        <v>294</v>
      </c>
      <c r="H51" s="2">
        <v>1.1999999999999999E-3</v>
      </c>
      <c r="I51" s="16">
        <f t="shared" si="0"/>
        <v>1.2221950623320524E-3</v>
      </c>
      <c r="J51" s="16">
        <f t="shared" si="1"/>
        <v>1.0012221950623321</v>
      </c>
      <c r="K51" s="16">
        <f t="shared" si="5"/>
        <v>40.762631578947364</v>
      </c>
      <c r="L51" s="32" t="s">
        <v>1333</v>
      </c>
      <c r="M51" s="32" t="s">
        <v>1333</v>
      </c>
    </row>
    <row r="52" spans="2:13">
      <c r="B52" s="3">
        <v>42129</v>
      </c>
      <c r="C52" s="5">
        <v>40.75</v>
      </c>
      <c r="D52" s="5">
        <v>41.14</v>
      </c>
      <c r="E52" s="5">
        <v>41.14</v>
      </c>
      <c r="F52" s="5">
        <v>40.68</v>
      </c>
      <c r="G52" s="18" t="s">
        <v>1227</v>
      </c>
      <c r="H52" s="2">
        <v>-5.1000000000000004E-3</v>
      </c>
      <c r="I52" s="16">
        <f t="shared" si="0"/>
        <v>-5.1269531250000208E-3</v>
      </c>
      <c r="J52" s="16">
        <f t="shared" si="1"/>
        <v>0.994873046875</v>
      </c>
      <c r="K52" s="16">
        <f t="shared" si="5"/>
        <v>40.76</v>
      </c>
      <c r="L52" s="32" t="s">
        <v>1333</v>
      </c>
      <c r="M52" s="32" t="s">
        <v>1333</v>
      </c>
    </row>
    <row r="53" spans="2:13">
      <c r="B53" s="3">
        <v>42130</v>
      </c>
      <c r="C53" s="5">
        <v>40.659999999999997</v>
      </c>
      <c r="D53" s="5">
        <v>41.04</v>
      </c>
      <c r="E53" s="5">
        <v>41.09</v>
      </c>
      <c r="F53" s="5">
        <v>40.39</v>
      </c>
      <c r="G53" s="18" t="s">
        <v>958</v>
      </c>
      <c r="H53" s="2">
        <v>-2.2000000000000001E-3</v>
      </c>
      <c r="I53" s="16">
        <f t="shared" si="0"/>
        <v>-2.2085889570552983E-3</v>
      </c>
      <c r="J53" s="16">
        <f t="shared" si="1"/>
        <v>0.99779141104294466</v>
      </c>
      <c r="K53" s="16">
        <f t="shared" si="5"/>
        <v>40.752631578947373</v>
      </c>
      <c r="L53" s="32" t="s">
        <v>1333</v>
      </c>
      <c r="M53" s="32" t="s">
        <v>1333</v>
      </c>
    </row>
    <row r="54" spans="2:13">
      <c r="B54" s="3">
        <v>42131</v>
      </c>
      <c r="C54" s="5">
        <v>40.700000000000003</v>
      </c>
      <c r="D54" s="5">
        <v>40.53</v>
      </c>
      <c r="E54" s="5">
        <v>40.909999999999997</v>
      </c>
      <c r="F54" s="5">
        <v>40.51</v>
      </c>
      <c r="G54" s="18" t="s">
        <v>832</v>
      </c>
      <c r="H54" s="2">
        <v>1E-3</v>
      </c>
      <c r="I54" s="16">
        <f t="shared" si="0"/>
        <v>9.8376783079208701E-4</v>
      </c>
      <c r="J54" s="16">
        <f t="shared" si="1"/>
        <v>1.000983767830792</v>
      </c>
      <c r="K54" s="16">
        <f t="shared" si="5"/>
        <v>40.732105263157884</v>
      </c>
      <c r="L54" s="32" t="s">
        <v>1333</v>
      </c>
      <c r="M54" s="32" t="s">
        <v>1333</v>
      </c>
    </row>
    <row r="55" spans="2:13">
      <c r="B55" s="3">
        <v>42132</v>
      </c>
      <c r="C55" s="5">
        <v>40.98</v>
      </c>
      <c r="D55" s="5">
        <v>41</v>
      </c>
      <c r="E55" s="5">
        <v>41.17</v>
      </c>
      <c r="F55" s="5">
        <v>40.85</v>
      </c>
      <c r="G55" s="18" t="s">
        <v>89</v>
      </c>
      <c r="H55" s="2">
        <v>6.8999999999999999E-3</v>
      </c>
      <c r="I55" s="16">
        <f t="shared" si="0"/>
        <v>6.8796068796067329E-3</v>
      </c>
      <c r="J55" s="16">
        <f t="shared" si="1"/>
        <v>1.0068796068796066</v>
      </c>
      <c r="K55" s="16">
        <f t="shared" si="5"/>
        <v>40.722631578947372</v>
      </c>
      <c r="L55" s="32" t="s">
        <v>1333</v>
      </c>
      <c r="M55" s="32" t="s">
        <v>1333</v>
      </c>
    </row>
    <row r="56" spans="2:13">
      <c r="B56" s="3">
        <v>42135</v>
      </c>
      <c r="C56" s="5">
        <v>40.94</v>
      </c>
      <c r="D56" s="5">
        <v>40.98</v>
      </c>
      <c r="E56" s="5">
        <v>41.39</v>
      </c>
      <c r="F56" s="5">
        <v>40.880000000000003</v>
      </c>
      <c r="G56" s="18" t="s">
        <v>1073</v>
      </c>
      <c r="H56" s="2">
        <v>-1E-3</v>
      </c>
      <c r="I56" s="16">
        <f t="shared" si="0"/>
        <v>-9.7608589555878849E-4</v>
      </c>
      <c r="J56" s="16">
        <f t="shared" si="1"/>
        <v>0.99902391410444125</v>
      </c>
      <c r="K56" s="16">
        <f t="shared" si="5"/>
        <v>40.737368421052629</v>
      </c>
      <c r="L56" s="16">
        <f>AVERAGE(C7:C55)</f>
        <v>40.844897959183683</v>
      </c>
      <c r="M56" s="25" t="str">
        <f>IF(AND(K56&gt;L56,K55&lt;=L55),"BUY",IF(AND(K56&lt;L56,K55&gt;=L55),"SELL","HOLD"))</f>
        <v>HOLD</v>
      </c>
    </row>
    <row r="57" spans="2:13">
      <c r="B57" s="3">
        <v>42136</v>
      </c>
      <c r="C57" s="5">
        <v>40.69</v>
      </c>
      <c r="D57" s="5">
        <v>40.770000000000003</v>
      </c>
      <c r="E57" s="5">
        <v>40.96</v>
      </c>
      <c r="F57" s="5">
        <v>40.520000000000003</v>
      </c>
      <c r="G57" s="18" t="s">
        <v>231</v>
      </c>
      <c r="H57" s="2">
        <v>-6.1000000000000004E-3</v>
      </c>
      <c r="I57" s="16">
        <f t="shared" si="0"/>
        <v>-6.1064973131411829E-3</v>
      </c>
      <c r="J57" s="16">
        <f t="shared" si="1"/>
        <v>0.99389350268685883</v>
      </c>
      <c r="K57" s="16">
        <f t="shared" si="5"/>
        <v>40.760000000000005</v>
      </c>
      <c r="L57" s="16">
        <f t="shared" ref="L57:L120" si="6">AVERAGE(C8:C56)</f>
        <v>40.798775510204088</v>
      </c>
      <c r="M57" s="25" t="str">
        <f t="shared" ref="M57:M120" si="7">IF(AND(K57&gt;L57,K56&lt;=L56),"BUY",IF(AND(K57&lt;L57,K56&gt;=L56),"SELL","HOLD"))</f>
        <v>HOLD</v>
      </c>
    </row>
    <row r="58" spans="2:13">
      <c r="B58" s="3">
        <v>42137</v>
      </c>
      <c r="C58" s="5">
        <v>41.05</v>
      </c>
      <c r="D58" s="5">
        <v>40.75</v>
      </c>
      <c r="E58" s="5">
        <v>41.36</v>
      </c>
      <c r="F58" s="5">
        <v>40.72</v>
      </c>
      <c r="G58" s="18" t="s">
        <v>21</v>
      </c>
      <c r="H58" s="2">
        <v>8.8000000000000005E-3</v>
      </c>
      <c r="I58" s="16">
        <f t="shared" si="0"/>
        <v>8.8473826492995681E-3</v>
      </c>
      <c r="J58" s="16">
        <f t="shared" si="1"/>
        <v>1.0088473826492996</v>
      </c>
      <c r="K58" s="16">
        <f t="shared" si="5"/>
        <v>40.775263157894734</v>
      </c>
      <c r="L58" s="16">
        <f t="shared" si="6"/>
        <v>40.7526530612245</v>
      </c>
      <c r="M58" s="25" t="str">
        <f t="shared" si="7"/>
        <v>BUY</v>
      </c>
    </row>
    <row r="59" spans="2:13">
      <c r="B59" s="3">
        <v>42138</v>
      </c>
      <c r="C59" s="5">
        <v>41.5</v>
      </c>
      <c r="D59" s="5">
        <v>41.3</v>
      </c>
      <c r="E59" s="5">
        <v>41.59</v>
      </c>
      <c r="F59" s="5">
        <v>41.25</v>
      </c>
      <c r="G59" s="18" t="s">
        <v>795</v>
      </c>
      <c r="H59" s="2">
        <v>1.0999999999999999E-2</v>
      </c>
      <c r="I59" s="16">
        <f t="shared" si="0"/>
        <v>1.0962241169305794E-2</v>
      </c>
      <c r="J59" s="16">
        <f t="shared" si="1"/>
        <v>1.0109622411693058</v>
      </c>
      <c r="K59" s="16">
        <f t="shared" si="5"/>
        <v>40.798947368421047</v>
      </c>
      <c r="L59" s="16">
        <f t="shared" si="6"/>
        <v>40.723061224489804</v>
      </c>
      <c r="M59" s="25" t="str">
        <f t="shared" si="7"/>
        <v>HOLD</v>
      </c>
    </row>
    <row r="60" spans="2:13">
      <c r="B60" s="3">
        <v>42139</v>
      </c>
      <c r="C60" s="5">
        <v>41.52</v>
      </c>
      <c r="D60" s="5">
        <v>41.45</v>
      </c>
      <c r="E60" s="5">
        <v>41.69</v>
      </c>
      <c r="F60" s="5">
        <v>41.43</v>
      </c>
      <c r="G60" s="18" t="s">
        <v>347</v>
      </c>
      <c r="H60" s="2">
        <v>5.0000000000000001E-4</v>
      </c>
      <c r="I60" s="16">
        <f t="shared" si="0"/>
        <v>4.8192771084344882E-4</v>
      </c>
      <c r="J60" s="16">
        <f t="shared" si="1"/>
        <v>1.0004819277108434</v>
      </c>
      <c r="K60" s="16">
        <f t="shared" si="5"/>
        <v>40.8621052631579</v>
      </c>
      <c r="L60" s="16">
        <f t="shared" si="6"/>
        <v>40.704693877551023</v>
      </c>
      <c r="M60" s="25" t="str">
        <f t="shared" si="7"/>
        <v>HOLD</v>
      </c>
    </row>
    <row r="61" spans="2:13">
      <c r="B61" s="3">
        <v>42142</v>
      </c>
      <c r="C61" s="5">
        <v>41.32</v>
      </c>
      <c r="D61" s="5">
        <v>41.49</v>
      </c>
      <c r="E61" s="5">
        <v>41.49</v>
      </c>
      <c r="F61" s="5">
        <v>41.25</v>
      </c>
      <c r="G61" s="18" t="s">
        <v>583</v>
      </c>
      <c r="H61" s="2">
        <v>-4.7999999999999996E-3</v>
      </c>
      <c r="I61" s="16">
        <f t="shared" si="0"/>
        <v>-4.8169556840077753E-3</v>
      </c>
      <c r="J61" s="16">
        <f t="shared" si="1"/>
        <v>0.99518304431599225</v>
      </c>
      <c r="K61" s="16">
        <f t="shared" si="5"/>
        <v>40.907368421052631</v>
      </c>
      <c r="L61" s="16">
        <f t="shared" si="6"/>
        <v>40.704693877551023</v>
      </c>
      <c r="M61" s="25" t="str">
        <f t="shared" si="7"/>
        <v>HOLD</v>
      </c>
    </row>
    <row r="62" spans="2:13">
      <c r="B62" s="3">
        <v>42143</v>
      </c>
      <c r="C62" s="5">
        <v>41.31</v>
      </c>
      <c r="D62" s="5">
        <v>41.23</v>
      </c>
      <c r="E62" s="5">
        <v>41.39</v>
      </c>
      <c r="F62" s="5">
        <v>41.13</v>
      </c>
      <c r="G62" s="18" t="s">
        <v>373</v>
      </c>
      <c r="H62" s="2">
        <v>-2.0000000000000001E-4</v>
      </c>
      <c r="I62" s="16">
        <f t="shared" si="0"/>
        <v>-2.4201355275890634E-4</v>
      </c>
      <c r="J62" s="16">
        <f t="shared" si="1"/>
        <v>0.99975798644724112</v>
      </c>
      <c r="K62" s="16">
        <f t="shared" si="5"/>
        <v>40.935789473684217</v>
      </c>
      <c r="L62" s="16">
        <f t="shared" si="6"/>
        <v>40.703265306122447</v>
      </c>
      <c r="M62" s="25" t="str">
        <f t="shared" si="7"/>
        <v>HOLD</v>
      </c>
    </row>
    <row r="63" spans="2:13">
      <c r="B63" s="3">
        <v>42144</v>
      </c>
      <c r="C63" s="5">
        <v>41.35</v>
      </c>
      <c r="D63" s="5">
        <v>41.37</v>
      </c>
      <c r="E63" s="5">
        <v>41.59</v>
      </c>
      <c r="F63" s="5">
        <v>41.31</v>
      </c>
      <c r="G63" s="18" t="s">
        <v>469</v>
      </c>
      <c r="H63" s="2">
        <v>1E-3</v>
      </c>
      <c r="I63" s="16">
        <f t="shared" si="0"/>
        <v>9.6828854998787565E-4</v>
      </c>
      <c r="J63" s="16">
        <f t="shared" si="1"/>
        <v>1.000968288549988</v>
      </c>
      <c r="K63" s="16">
        <f t="shared" si="5"/>
        <v>40.93578947368421</v>
      </c>
      <c r="L63" s="16">
        <f t="shared" si="6"/>
        <v>40.715918367346937</v>
      </c>
      <c r="M63" s="25" t="str">
        <f t="shared" si="7"/>
        <v>HOLD</v>
      </c>
    </row>
    <row r="64" spans="2:13">
      <c r="B64" s="3">
        <v>42145</v>
      </c>
      <c r="C64" s="5">
        <v>41.23</v>
      </c>
      <c r="D64" s="5">
        <v>41.26</v>
      </c>
      <c r="E64" s="5">
        <v>41.32</v>
      </c>
      <c r="F64" s="5">
        <v>41.07</v>
      </c>
      <c r="G64" s="18" t="s">
        <v>1074</v>
      </c>
      <c r="H64" s="2">
        <v>-2.8999999999999998E-3</v>
      </c>
      <c r="I64" s="16">
        <f t="shared" si="0"/>
        <v>-2.9020556227328789E-3</v>
      </c>
      <c r="J64" s="16">
        <f t="shared" si="1"/>
        <v>0.99709794437726718</v>
      </c>
      <c r="K64" s="16">
        <f t="shared" si="5"/>
        <v>40.956842105263171</v>
      </c>
      <c r="L64" s="16">
        <f t="shared" si="6"/>
        <v>40.741428571428571</v>
      </c>
      <c r="M64" s="25" t="str">
        <f t="shared" si="7"/>
        <v>HOLD</v>
      </c>
    </row>
    <row r="65" spans="2:13">
      <c r="B65" s="3">
        <v>42146</v>
      </c>
      <c r="C65" s="5">
        <v>41.21</v>
      </c>
      <c r="D65" s="5">
        <v>41.12</v>
      </c>
      <c r="E65" s="5">
        <v>41.24</v>
      </c>
      <c r="F65" s="5">
        <v>41.04</v>
      </c>
      <c r="G65" s="18" t="s">
        <v>958</v>
      </c>
      <c r="H65" s="2">
        <v>-5.0000000000000001E-4</v>
      </c>
      <c r="I65" s="16">
        <f t="shared" si="0"/>
        <v>-4.8508367693417471E-4</v>
      </c>
      <c r="J65" s="16">
        <f t="shared" si="1"/>
        <v>0.99951491632306577</v>
      </c>
      <c r="K65" s="16">
        <f t="shared" si="5"/>
        <v>40.974736842105266</v>
      </c>
      <c r="L65" s="16">
        <f t="shared" si="6"/>
        <v>40.754897959183666</v>
      </c>
      <c r="M65" s="25" t="str">
        <f t="shared" si="7"/>
        <v>HOLD</v>
      </c>
    </row>
    <row r="66" spans="2:13">
      <c r="B66" s="3">
        <v>42150</v>
      </c>
      <c r="C66" s="5">
        <v>40.99</v>
      </c>
      <c r="D66" s="5">
        <v>41.12</v>
      </c>
      <c r="E66" s="5">
        <v>41.18</v>
      </c>
      <c r="F66" s="5">
        <v>40.74</v>
      </c>
      <c r="G66" s="18" t="s">
        <v>376</v>
      </c>
      <c r="H66" s="2">
        <v>-5.3E-3</v>
      </c>
      <c r="I66" s="16">
        <f t="shared" si="0"/>
        <v>-5.3385100703712413E-3</v>
      </c>
      <c r="J66" s="16">
        <f t="shared" si="1"/>
        <v>0.99466148992962877</v>
      </c>
      <c r="K66" s="16">
        <f t="shared" si="5"/>
        <v>40.994736842105276</v>
      </c>
      <c r="L66" s="16">
        <f t="shared" si="6"/>
        <v>40.78142857142857</v>
      </c>
      <c r="M66" s="25" t="str">
        <f t="shared" si="7"/>
        <v>HOLD</v>
      </c>
    </row>
    <row r="67" spans="2:13">
      <c r="B67" s="3">
        <v>42151</v>
      </c>
      <c r="C67" s="5">
        <v>41.12</v>
      </c>
      <c r="D67" s="5">
        <v>40.94</v>
      </c>
      <c r="E67" s="5">
        <v>41.2</v>
      </c>
      <c r="F67" s="5">
        <v>40.83</v>
      </c>
      <c r="G67" s="18" t="s">
        <v>520</v>
      </c>
      <c r="H67" s="2">
        <v>3.2000000000000002E-3</v>
      </c>
      <c r="I67" s="16">
        <f t="shared" si="0"/>
        <v>3.1715052451816404E-3</v>
      </c>
      <c r="J67" s="16">
        <f t="shared" si="1"/>
        <v>1.0031715052451817</v>
      </c>
      <c r="K67" s="16">
        <f t="shared" si="5"/>
        <v>41.006315789473696</v>
      </c>
      <c r="L67" s="16">
        <f t="shared" si="6"/>
        <v>40.795714285714283</v>
      </c>
      <c r="M67" s="25" t="str">
        <f t="shared" si="7"/>
        <v>HOLD</v>
      </c>
    </row>
    <row r="68" spans="2:13">
      <c r="B68" s="3">
        <v>42152</v>
      </c>
      <c r="C68" s="5">
        <v>41.14</v>
      </c>
      <c r="D68" s="5">
        <v>41.2</v>
      </c>
      <c r="E68" s="5">
        <v>41.3</v>
      </c>
      <c r="F68" s="5">
        <v>40.880000000000003</v>
      </c>
      <c r="G68" s="18" t="s">
        <v>167</v>
      </c>
      <c r="H68" s="2">
        <v>5.0000000000000001E-4</v>
      </c>
      <c r="I68" s="16">
        <f t="shared" si="0"/>
        <v>4.8638132295727451E-4</v>
      </c>
      <c r="J68" s="16">
        <f t="shared" si="1"/>
        <v>1.0004863813229572</v>
      </c>
      <c r="K68" s="16">
        <f t="shared" si="5"/>
        <v>41.039473684210542</v>
      </c>
      <c r="L68" s="16">
        <f t="shared" si="6"/>
        <v>40.808163265306121</v>
      </c>
      <c r="M68" s="25" t="str">
        <f t="shared" si="7"/>
        <v>HOLD</v>
      </c>
    </row>
    <row r="69" spans="2:13">
      <c r="B69" s="3">
        <v>42153</v>
      </c>
      <c r="C69" s="5">
        <v>40.96</v>
      </c>
      <c r="D69" s="5">
        <v>41.18</v>
      </c>
      <c r="E69" s="5">
        <v>41.18</v>
      </c>
      <c r="F69" s="5">
        <v>40.770000000000003</v>
      </c>
      <c r="G69" s="18" t="s">
        <v>1292</v>
      </c>
      <c r="H69" s="2">
        <v>-4.4000000000000003E-3</v>
      </c>
      <c r="I69" s="16">
        <f t="shared" si="0"/>
        <v>-4.3753038405444757E-3</v>
      </c>
      <c r="J69" s="16">
        <f t="shared" si="1"/>
        <v>0.99562469615945548</v>
      </c>
      <c r="K69" s="16">
        <f t="shared" si="5"/>
        <v>41.07</v>
      </c>
      <c r="L69" s="16">
        <f t="shared" si="6"/>
        <v>40.819183673469389</v>
      </c>
      <c r="M69" s="25" t="str">
        <f t="shared" si="7"/>
        <v>HOLD</v>
      </c>
    </row>
    <row r="70" spans="2:13">
      <c r="B70" s="3">
        <v>42156</v>
      </c>
      <c r="C70" s="5">
        <v>40.94</v>
      </c>
      <c r="D70" s="5">
        <v>41.36</v>
      </c>
      <c r="E70" s="5">
        <v>41.41</v>
      </c>
      <c r="F70" s="5">
        <v>40.880000000000003</v>
      </c>
      <c r="G70" s="18" t="s">
        <v>229</v>
      </c>
      <c r="H70" s="2">
        <v>-5.0000000000000001E-4</v>
      </c>
      <c r="I70" s="16">
        <f t="shared" si="0"/>
        <v>-4.8828125000007633E-4</v>
      </c>
      <c r="J70" s="16">
        <f t="shared" si="1"/>
        <v>0.99951171874999989</v>
      </c>
      <c r="K70" s="16">
        <f t="shared" si="5"/>
        <v>41.072631578947366</v>
      </c>
      <c r="L70" s="16">
        <f t="shared" si="6"/>
        <v>40.838367346938782</v>
      </c>
      <c r="M70" s="25" t="str">
        <f t="shared" si="7"/>
        <v>HOLD</v>
      </c>
    </row>
    <row r="71" spans="2:13">
      <c r="B71" s="3">
        <v>42157</v>
      </c>
      <c r="C71" s="5">
        <v>40.99</v>
      </c>
      <c r="D71" s="5">
        <v>40.840000000000003</v>
      </c>
      <c r="E71" s="5">
        <v>41.16</v>
      </c>
      <c r="F71" s="5">
        <v>40.68</v>
      </c>
      <c r="G71" s="18" t="s">
        <v>444</v>
      </c>
      <c r="H71" s="2">
        <v>1.1999999999999999E-3</v>
      </c>
      <c r="I71" s="16">
        <f t="shared" si="0"/>
        <v>1.2212994626283407E-3</v>
      </c>
      <c r="J71" s="16">
        <f t="shared" si="1"/>
        <v>1.0012212994626284</v>
      </c>
      <c r="K71" s="16">
        <f t="shared" si="5"/>
        <v>41.07157894736843</v>
      </c>
      <c r="L71" s="16">
        <f t="shared" si="6"/>
        <v>40.844285714285718</v>
      </c>
      <c r="M71" s="25" t="str">
        <f t="shared" si="7"/>
        <v>HOLD</v>
      </c>
    </row>
    <row r="72" spans="2:13">
      <c r="B72" s="3">
        <v>42158</v>
      </c>
      <c r="C72" s="5">
        <v>40.869999999999997</v>
      </c>
      <c r="D72" s="5">
        <v>41.1</v>
      </c>
      <c r="E72" s="5">
        <v>41.21</v>
      </c>
      <c r="F72" s="5">
        <v>40.78</v>
      </c>
      <c r="G72" s="18" t="s">
        <v>396</v>
      </c>
      <c r="H72" s="2">
        <v>-2.8999999999999998E-3</v>
      </c>
      <c r="I72" s="16">
        <f t="shared" si="0"/>
        <v>-2.9275433032448046E-3</v>
      </c>
      <c r="J72" s="16">
        <f t="shared" si="1"/>
        <v>0.99707245669675515</v>
      </c>
      <c r="K72" s="16">
        <f t="shared" si="5"/>
        <v>41.084210526315793</v>
      </c>
      <c r="L72" s="16">
        <f t="shared" si="6"/>
        <v>40.851836734693883</v>
      </c>
      <c r="M72" s="25" t="str">
        <f t="shared" si="7"/>
        <v>HOLD</v>
      </c>
    </row>
    <row r="73" spans="2:13">
      <c r="B73" s="3">
        <v>42159</v>
      </c>
      <c r="C73" s="5">
        <v>40.590000000000003</v>
      </c>
      <c r="D73" s="5">
        <v>40.71</v>
      </c>
      <c r="E73" s="5">
        <v>40.98</v>
      </c>
      <c r="F73" s="5">
        <v>40.53</v>
      </c>
      <c r="G73" s="18" t="s">
        <v>233</v>
      </c>
      <c r="H73" s="2">
        <v>-6.8999999999999999E-3</v>
      </c>
      <c r="I73" s="16">
        <f t="shared" ref="I73:I136" si="8">(C73-C72)/C72</f>
        <v>-6.8509909469046748E-3</v>
      </c>
      <c r="J73" s="16">
        <f t="shared" ref="J73:J136" si="9">C73/C72</f>
        <v>0.99314900905309533</v>
      </c>
      <c r="K73" s="16">
        <f t="shared" si="5"/>
        <v>41.095263157894742</v>
      </c>
      <c r="L73" s="16">
        <f t="shared" si="6"/>
        <v>40.86</v>
      </c>
      <c r="M73" s="25" t="str">
        <f t="shared" si="7"/>
        <v>HOLD</v>
      </c>
    </row>
    <row r="74" spans="2:13">
      <c r="B74" s="3">
        <v>42160</v>
      </c>
      <c r="C74" s="5">
        <v>40.1</v>
      </c>
      <c r="D74" s="5">
        <v>40.479999999999997</v>
      </c>
      <c r="E74" s="5">
        <v>40.520000000000003</v>
      </c>
      <c r="F74" s="5">
        <v>40.08</v>
      </c>
      <c r="G74" s="18" t="s">
        <v>1016</v>
      </c>
      <c r="H74" s="2">
        <v>-1.21E-2</v>
      </c>
      <c r="I74" s="16">
        <f t="shared" si="8"/>
        <v>-1.2071938901207242E-2</v>
      </c>
      <c r="J74" s="16">
        <f t="shared" si="9"/>
        <v>0.98792806109879272</v>
      </c>
      <c r="K74" s="16">
        <f t="shared" si="5"/>
        <v>41.089473684210532</v>
      </c>
      <c r="L74" s="16">
        <f t="shared" si="6"/>
        <v>40.862857142857145</v>
      </c>
      <c r="M74" s="25" t="str">
        <f t="shared" si="7"/>
        <v>HOLD</v>
      </c>
    </row>
    <row r="75" spans="2:13">
      <c r="B75" s="3">
        <v>42163</v>
      </c>
      <c r="C75" s="5">
        <v>40.159999999999997</v>
      </c>
      <c r="D75" s="5">
        <v>40.1</v>
      </c>
      <c r="E75" s="5">
        <v>40.26</v>
      </c>
      <c r="F75" s="5">
        <v>40.020000000000003</v>
      </c>
      <c r="G75" s="18" t="s">
        <v>442</v>
      </c>
      <c r="H75" s="2">
        <v>1.5E-3</v>
      </c>
      <c r="I75" s="16">
        <f t="shared" si="8"/>
        <v>1.4962593516208271E-3</v>
      </c>
      <c r="J75" s="16">
        <f t="shared" si="9"/>
        <v>1.0014962593516208</v>
      </c>
      <c r="K75" s="16">
        <f t="shared" si="5"/>
        <v>41.043157894736858</v>
      </c>
      <c r="L75" s="16">
        <f t="shared" si="6"/>
        <v>40.857755102040812</v>
      </c>
      <c r="M75" s="25" t="str">
        <f t="shared" si="7"/>
        <v>HOLD</v>
      </c>
    </row>
    <row r="76" spans="2:13">
      <c r="B76" s="3">
        <v>42164</v>
      </c>
      <c r="C76" s="5">
        <v>40.200000000000003</v>
      </c>
      <c r="D76" s="5">
        <v>40.17</v>
      </c>
      <c r="E76" s="5">
        <v>40.409999999999997</v>
      </c>
      <c r="F76" s="5">
        <v>40.11</v>
      </c>
      <c r="G76" s="18" t="s">
        <v>1084</v>
      </c>
      <c r="H76" s="2">
        <v>1E-3</v>
      </c>
      <c r="I76" s="16">
        <f t="shared" si="8"/>
        <v>9.9601593625513575E-4</v>
      </c>
      <c r="J76" s="16">
        <f t="shared" si="9"/>
        <v>1.0009960159362552</v>
      </c>
      <c r="K76" s="16">
        <f t="shared" si="5"/>
        <v>41.002105263157894</v>
      </c>
      <c r="L76" s="16">
        <f t="shared" si="6"/>
        <v>40.859387755102041</v>
      </c>
      <c r="M76" s="25" t="str">
        <f t="shared" si="7"/>
        <v>HOLD</v>
      </c>
    </row>
    <row r="77" spans="2:13">
      <c r="B77" s="3">
        <v>42165</v>
      </c>
      <c r="C77" s="5">
        <v>40.33</v>
      </c>
      <c r="D77" s="5">
        <v>40.32</v>
      </c>
      <c r="E77" s="5">
        <v>40.54</v>
      </c>
      <c r="F77" s="5">
        <v>40.28</v>
      </c>
      <c r="G77" s="18" t="s">
        <v>93</v>
      </c>
      <c r="H77" s="2">
        <v>3.2000000000000002E-3</v>
      </c>
      <c r="I77" s="16">
        <f t="shared" si="8"/>
        <v>3.2338308457710309E-3</v>
      </c>
      <c r="J77" s="16">
        <f t="shared" si="9"/>
        <v>1.0032338308457711</v>
      </c>
      <c r="K77" s="16">
        <f t="shared" si="5"/>
        <v>40.976315789473681</v>
      </c>
      <c r="L77" s="16">
        <f t="shared" si="6"/>
        <v>40.853061224489792</v>
      </c>
      <c r="M77" s="25" t="str">
        <f t="shared" si="7"/>
        <v>HOLD</v>
      </c>
    </row>
    <row r="78" spans="2:13">
      <c r="B78" s="3">
        <v>42166</v>
      </c>
      <c r="C78" s="5">
        <v>40.1</v>
      </c>
      <c r="D78" s="5">
        <v>40.11</v>
      </c>
      <c r="E78" s="5">
        <v>40.25</v>
      </c>
      <c r="F78" s="5">
        <v>40.03</v>
      </c>
      <c r="G78" s="18" t="s">
        <v>401</v>
      </c>
      <c r="H78" s="2">
        <v>-5.7000000000000002E-3</v>
      </c>
      <c r="I78" s="16">
        <f t="shared" si="8"/>
        <v>-5.7029506570790206E-3</v>
      </c>
      <c r="J78" s="16">
        <f t="shared" si="9"/>
        <v>0.99429704934292096</v>
      </c>
      <c r="K78" s="16">
        <f t="shared" si="5"/>
        <v>40.938421052631583</v>
      </c>
      <c r="L78" s="16">
        <f t="shared" si="6"/>
        <v>40.848571428571425</v>
      </c>
      <c r="M78" s="25" t="str">
        <f t="shared" si="7"/>
        <v>HOLD</v>
      </c>
    </row>
    <row r="79" spans="2:13">
      <c r="B79" s="3">
        <v>42167</v>
      </c>
      <c r="C79" s="5">
        <v>39.96</v>
      </c>
      <c r="D79" s="5">
        <v>40.04</v>
      </c>
      <c r="E79" s="5">
        <v>40.119999999999997</v>
      </c>
      <c r="F79" s="5">
        <v>39.840000000000003</v>
      </c>
      <c r="G79" s="18" t="s">
        <v>15</v>
      </c>
      <c r="H79" s="2">
        <v>-3.5000000000000001E-3</v>
      </c>
      <c r="I79" s="16">
        <f t="shared" si="8"/>
        <v>-3.4912718204488918E-3</v>
      </c>
      <c r="J79" s="16">
        <f t="shared" si="9"/>
        <v>0.99650872817955116</v>
      </c>
      <c r="K79" s="16">
        <f t="shared" si="5"/>
        <v>40.864736842105266</v>
      </c>
      <c r="L79" s="16">
        <f t="shared" si="6"/>
        <v>40.836734693877546</v>
      </c>
      <c r="M79" s="25" t="str">
        <f t="shared" si="7"/>
        <v>HOLD</v>
      </c>
    </row>
    <row r="80" spans="2:13">
      <c r="B80" s="3">
        <v>42170</v>
      </c>
      <c r="C80" s="5">
        <v>39.590000000000003</v>
      </c>
      <c r="D80" s="5">
        <v>39.83</v>
      </c>
      <c r="E80" s="5">
        <v>39.86</v>
      </c>
      <c r="F80" s="5">
        <v>39.57</v>
      </c>
      <c r="G80" s="18" t="s">
        <v>1291</v>
      </c>
      <c r="H80" s="2">
        <v>-9.2999999999999992E-3</v>
      </c>
      <c r="I80" s="16">
        <f t="shared" si="8"/>
        <v>-9.2592592592591946E-3</v>
      </c>
      <c r="J80" s="16">
        <f t="shared" si="9"/>
        <v>0.99074074074074081</v>
      </c>
      <c r="K80" s="16">
        <f t="shared" si="5"/>
        <v>40.782631578947374</v>
      </c>
      <c r="L80" s="16">
        <f t="shared" si="6"/>
        <v>40.822040816326528</v>
      </c>
      <c r="M80" s="25" t="str">
        <f t="shared" si="7"/>
        <v>SELL</v>
      </c>
    </row>
    <row r="81" spans="2:13">
      <c r="B81" s="3">
        <v>42171</v>
      </c>
      <c r="C81" s="5">
        <v>40.08</v>
      </c>
      <c r="D81" s="5">
        <v>39.630000000000003</v>
      </c>
      <c r="E81" s="5">
        <v>40.159999999999997</v>
      </c>
      <c r="F81" s="5">
        <v>39.6</v>
      </c>
      <c r="G81" s="18" t="s">
        <v>437</v>
      </c>
      <c r="H81" s="2">
        <v>1.24E-2</v>
      </c>
      <c r="I81" s="16">
        <f t="shared" si="8"/>
        <v>1.2376862844152434E-2</v>
      </c>
      <c r="J81" s="16">
        <f t="shared" si="9"/>
        <v>1.0123768628441525</v>
      </c>
      <c r="K81" s="16">
        <f t="shared" si="5"/>
        <v>40.691578947368434</v>
      </c>
      <c r="L81" s="16">
        <f t="shared" si="6"/>
        <v>40.789795918367339</v>
      </c>
      <c r="M81" s="25" t="str">
        <f t="shared" si="7"/>
        <v>HOLD</v>
      </c>
    </row>
    <row r="82" spans="2:13">
      <c r="B82" s="3">
        <v>42172</v>
      </c>
      <c r="C82" s="5">
        <v>40.270000000000003</v>
      </c>
      <c r="D82" s="5">
        <v>40.08</v>
      </c>
      <c r="E82" s="5">
        <v>40.32</v>
      </c>
      <c r="F82" s="5">
        <v>40.01</v>
      </c>
      <c r="G82" s="18" t="s">
        <v>423</v>
      </c>
      <c r="H82" s="2">
        <v>4.7000000000000002E-3</v>
      </c>
      <c r="I82" s="16">
        <f t="shared" si="8"/>
        <v>4.7405189620759692E-3</v>
      </c>
      <c r="J82" s="16">
        <f t="shared" si="9"/>
        <v>1.0047405189620759</v>
      </c>
      <c r="K82" s="16">
        <f t="shared" si="5"/>
        <v>40.626842105263165</v>
      </c>
      <c r="L82" s="16">
        <f t="shared" si="6"/>
        <v>40.7708163265306</v>
      </c>
      <c r="M82" s="25" t="str">
        <f t="shared" si="7"/>
        <v>HOLD</v>
      </c>
    </row>
    <row r="83" spans="2:13">
      <c r="B83" s="3">
        <v>42173</v>
      </c>
      <c r="C83" s="5">
        <v>40.65</v>
      </c>
      <c r="D83" s="5">
        <v>40.159999999999997</v>
      </c>
      <c r="E83" s="5">
        <v>40.74</v>
      </c>
      <c r="F83" s="5">
        <v>40.159999999999997</v>
      </c>
      <c r="G83" s="18" t="s">
        <v>1169</v>
      </c>
      <c r="H83" s="2">
        <v>9.4000000000000004E-3</v>
      </c>
      <c r="I83" s="16">
        <f t="shared" si="8"/>
        <v>9.4363049416437902E-3</v>
      </c>
      <c r="J83" s="16">
        <f t="shared" si="9"/>
        <v>1.0094363049416437</v>
      </c>
      <c r="K83" s="16">
        <f t="shared" si="5"/>
        <v>40.570000000000014</v>
      </c>
      <c r="L83" s="16">
        <f t="shared" si="6"/>
        <v>40.758163265306116</v>
      </c>
      <c r="M83" s="25" t="str">
        <f t="shared" si="7"/>
        <v>HOLD</v>
      </c>
    </row>
    <row r="84" spans="2:13">
      <c r="B84" s="3">
        <v>42174</v>
      </c>
      <c r="C84" s="5">
        <v>40.4</v>
      </c>
      <c r="D84" s="5">
        <v>40.590000000000003</v>
      </c>
      <c r="E84" s="5">
        <v>40.65</v>
      </c>
      <c r="F84" s="5">
        <v>40.4</v>
      </c>
      <c r="G84" s="18" t="s">
        <v>1290</v>
      </c>
      <c r="H84" s="2">
        <v>-6.1999999999999998E-3</v>
      </c>
      <c r="I84" s="16">
        <f t="shared" si="8"/>
        <v>-6.1500615006150061E-3</v>
      </c>
      <c r="J84" s="16">
        <f t="shared" si="9"/>
        <v>0.99384993849938497</v>
      </c>
      <c r="K84" s="16">
        <f t="shared" si="5"/>
        <v>40.539473684210527</v>
      </c>
      <c r="L84" s="16">
        <f t="shared" si="6"/>
        <v>40.749999999999993</v>
      </c>
      <c r="M84" s="25" t="str">
        <f t="shared" si="7"/>
        <v>HOLD</v>
      </c>
    </row>
    <row r="85" spans="2:13">
      <c r="B85" s="3">
        <v>42177</v>
      </c>
      <c r="C85" s="5">
        <v>40.479999999999997</v>
      </c>
      <c r="D85" s="5">
        <v>40.51</v>
      </c>
      <c r="E85" s="5">
        <v>40.81</v>
      </c>
      <c r="F85" s="5">
        <v>40.46</v>
      </c>
      <c r="G85" s="18" t="s">
        <v>83</v>
      </c>
      <c r="H85" s="2">
        <v>2E-3</v>
      </c>
      <c r="I85" s="16">
        <f t="shared" si="8"/>
        <v>1.9801980198019382E-3</v>
      </c>
      <c r="J85" s="16">
        <f t="shared" si="9"/>
        <v>1.001980198019802</v>
      </c>
      <c r="K85" s="16">
        <f t="shared" si="5"/>
        <v>40.496842105263163</v>
      </c>
      <c r="L85" s="16">
        <f t="shared" si="6"/>
        <v>40.740204081632648</v>
      </c>
      <c r="M85" s="25" t="str">
        <f t="shared" si="7"/>
        <v>HOLD</v>
      </c>
    </row>
    <row r="86" spans="2:13">
      <c r="B86" s="3">
        <v>42178</v>
      </c>
      <c r="C86" s="5">
        <v>40.380000000000003</v>
      </c>
      <c r="D86" s="5">
        <v>40.43</v>
      </c>
      <c r="E86" s="5">
        <v>40.520000000000003</v>
      </c>
      <c r="F86" s="5">
        <v>40.31</v>
      </c>
      <c r="G86" s="18" t="s">
        <v>390</v>
      </c>
      <c r="H86" s="2">
        <v>-2.5000000000000001E-3</v>
      </c>
      <c r="I86" s="16">
        <f t="shared" si="8"/>
        <v>-2.4703557312251564E-3</v>
      </c>
      <c r="J86" s="16">
        <f t="shared" si="9"/>
        <v>0.99752964426877488</v>
      </c>
      <c r="K86" s="16">
        <f t="shared" si="5"/>
        <v>40.470000000000006</v>
      </c>
      <c r="L86" s="16">
        <f t="shared" si="6"/>
        <v>40.735714285714288</v>
      </c>
      <c r="M86" s="25" t="str">
        <f t="shared" si="7"/>
        <v>HOLD</v>
      </c>
    </row>
    <row r="87" spans="2:13">
      <c r="B87" s="3">
        <v>42179</v>
      </c>
      <c r="C87" s="5">
        <v>40.19</v>
      </c>
      <c r="D87" s="5">
        <v>40.369999999999997</v>
      </c>
      <c r="E87" s="5">
        <v>40.450000000000003</v>
      </c>
      <c r="F87" s="5">
        <v>40.19</v>
      </c>
      <c r="G87" s="18" t="s">
        <v>1161</v>
      </c>
      <c r="H87" s="2">
        <v>-4.7000000000000002E-3</v>
      </c>
      <c r="I87" s="16">
        <f t="shared" si="8"/>
        <v>-4.7052996532938292E-3</v>
      </c>
      <c r="J87" s="16">
        <f t="shared" si="9"/>
        <v>0.9952947003467062</v>
      </c>
      <c r="K87" s="16">
        <f t="shared" si="5"/>
        <v>40.431052631578943</v>
      </c>
      <c r="L87" s="16">
        <f t="shared" si="6"/>
        <v>40.733061224489795</v>
      </c>
      <c r="M87" s="25" t="str">
        <f t="shared" si="7"/>
        <v>HOLD</v>
      </c>
    </row>
    <row r="88" spans="2:13">
      <c r="B88" s="3">
        <v>42180</v>
      </c>
      <c r="C88" s="5">
        <v>40.020000000000003</v>
      </c>
      <c r="D88" s="5">
        <v>40.28</v>
      </c>
      <c r="E88" s="5">
        <v>40.340000000000003</v>
      </c>
      <c r="F88" s="5">
        <v>40.020000000000003</v>
      </c>
      <c r="G88" s="18" t="s">
        <v>698</v>
      </c>
      <c r="H88" s="2">
        <v>-4.1999999999999997E-3</v>
      </c>
      <c r="I88" s="16">
        <f t="shared" si="8"/>
        <v>-4.229907937297701E-3</v>
      </c>
      <c r="J88" s="16">
        <f t="shared" si="9"/>
        <v>0.99577009206270228</v>
      </c>
      <c r="K88" s="16">
        <f t="shared" si="5"/>
        <v>40.381052631578946</v>
      </c>
      <c r="L88" s="16">
        <f t="shared" si="6"/>
        <v>40.72877551020408</v>
      </c>
      <c r="M88" s="25" t="str">
        <f t="shared" si="7"/>
        <v>HOLD</v>
      </c>
    </row>
    <row r="89" spans="2:13">
      <c r="B89" s="3">
        <v>42181</v>
      </c>
      <c r="C89" s="5">
        <v>40</v>
      </c>
      <c r="D89" s="5">
        <v>40.1</v>
      </c>
      <c r="E89" s="5">
        <v>40.35</v>
      </c>
      <c r="F89" s="5">
        <v>40</v>
      </c>
      <c r="G89" s="18" t="s">
        <v>493</v>
      </c>
      <c r="H89" s="2">
        <v>-5.0000000000000001E-4</v>
      </c>
      <c r="I89" s="16">
        <f t="shared" si="8"/>
        <v>-4.9975012493760928E-4</v>
      </c>
      <c r="J89" s="16">
        <f t="shared" si="9"/>
        <v>0.99950024987506236</v>
      </c>
      <c r="K89" s="16">
        <f t="shared" si="5"/>
        <v>40.331578947368421</v>
      </c>
      <c r="L89" s="16">
        <f t="shared" si="6"/>
        <v>40.716938775510201</v>
      </c>
      <c r="M89" s="25" t="str">
        <f t="shared" si="7"/>
        <v>HOLD</v>
      </c>
    </row>
    <row r="90" spans="2:13">
      <c r="B90" s="3">
        <v>42184</v>
      </c>
      <c r="C90" s="5">
        <v>39.4</v>
      </c>
      <c r="D90" s="5">
        <v>39.799999999999997</v>
      </c>
      <c r="E90" s="5">
        <v>39.979999999999997</v>
      </c>
      <c r="F90" s="5">
        <v>39.4</v>
      </c>
      <c r="G90" s="18" t="s">
        <v>1289</v>
      </c>
      <c r="H90" s="2">
        <v>-1.4999999999999999E-2</v>
      </c>
      <c r="I90" s="16">
        <f t="shared" si="8"/>
        <v>-1.5000000000000036E-2</v>
      </c>
      <c r="J90" s="16">
        <f t="shared" si="9"/>
        <v>0.98499999999999999</v>
      </c>
      <c r="K90" s="16">
        <f t="shared" si="5"/>
        <v>40.282105263157888</v>
      </c>
      <c r="L90" s="16">
        <f t="shared" si="6"/>
        <v>40.710816326530619</v>
      </c>
      <c r="M90" s="25" t="str">
        <f t="shared" si="7"/>
        <v>HOLD</v>
      </c>
    </row>
    <row r="91" spans="2:13">
      <c r="B91" s="3">
        <v>42185</v>
      </c>
      <c r="C91" s="5">
        <v>39.229999999999997</v>
      </c>
      <c r="D91" s="5">
        <v>39.61</v>
      </c>
      <c r="E91" s="5">
        <v>39.61</v>
      </c>
      <c r="F91" s="5">
        <v>39.119999999999997</v>
      </c>
      <c r="G91" s="18" t="s">
        <v>1288</v>
      </c>
      <c r="H91" s="2">
        <v>-4.3E-3</v>
      </c>
      <c r="I91" s="16">
        <f t="shared" si="8"/>
        <v>-4.3147208121827848E-3</v>
      </c>
      <c r="J91" s="16">
        <f t="shared" si="9"/>
        <v>0.99568527918781724</v>
      </c>
      <c r="K91" s="16">
        <f t="shared" ref="K91:K154" si="10">AVERAGE(C72:C90)</f>
        <v>40.198421052631574</v>
      </c>
      <c r="L91" s="16">
        <f t="shared" si="6"/>
        <v>40.685102040816332</v>
      </c>
      <c r="M91" s="25" t="str">
        <f t="shared" si="7"/>
        <v>HOLD</v>
      </c>
    </row>
    <row r="92" spans="2:13">
      <c r="B92" s="3">
        <v>42186</v>
      </c>
      <c r="C92" s="5">
        <v>39.5</v>
      </c>
      <c r="D92" s="5">
        <v>39.380000000000003</v>
      </c>
      <c r="E92" s="5">
        <v>39.6</v>
      </c>
      <c r="F92" s="5">
        <v>39.28</v>
      </c>
      <c r="G92" s="18" t="s">
        <v>108</v>
      </c>
      <c r="H92" s="2">
        <v>6.8999999999999999E-3</v>
      </c>
      <c r="I92" s="16">
        <f t="shared" si="8"/>
        <v>6.8824878919195301E-3</v>
      </c>
      <c r="J92" s="16">
        <f t="shared" si="9"/>
        <v>1.0068824878919196</v>
      </c>
      <c r="K92" s="16">
        <f t="shared" si="10"/>
        <v>40.112105263157879</v>
      </c>
      <c r="L92" s="16">
        <f t="shared" si="6"/>
        <v>40.653469387755109</v>
      </c>
      <c r="M92" s="25" t="str">
        <f t="shared" si="7"/>
        <v>HOLD</v>
      </c>
    </row>
    <row r="93" spans="2:13">
      <c r="B93" s="3">
        <v>42187</v>
      </c>
      <c r="C93" s="5">
        <v>39.49</v>
      </c>
      <c r="D93" s="5">
        <v>39.630000000000003</v>
      </c>
      <c r="E93" s="5">
        <v>39.81</v>
      </c>
      <c r="F93" s="5">
        <v>39.35</v>
      </c>
      <c r="G93" s="18" t="s">
        <v>261</v>
      </c>
      <c r="H93" s="2">
        <v>-2.9999999999999997E-4</v>
      </c>
      <c r="I93" s="16">
        <f t="shared" si="8"/>
        <v>-2.5316455696197497E-4</v>
      </c>
      <c r="J93" s="16">
        <f t="shared" si="9"/>
        <v>0.999746835443038</v>
      </c>
      <c r="K93" s="16">
        <f t="shared" si="10"/>
        <v>40.054736842105257</v>
      </c>
      <c r="L93" s="16">
        <f t="shared" si="6"/>
        <v>40.616530612244901</v>
      </c>
      <c r="M93" s="25" t="str">
        <f t="shared" si="7"/>
        <v>HOLD</v>
      </c>
    </row>
    <row r="94" spans="2:13">
      <c r="B94" s="3">
        <v>42191</v>
      </c>
      <c r="C94" s="5">
        <v>39.42</v>
      </c>
      <c r="D94" s="5">
        <v>39.32</v>
      </c>
      <c r="E94" s="5">
        <v>39.6</v>
      </c>
      <c r="F94" s="5">
        <v>39.22</v>
      </c>
      <c r="G94" s="18" t="s">
        <v>359</v>
      </c>
      <c r="H94" s="2">
        <v>-1.8E-3</v>
      </c>
      <c r="I94" s="16">
        <f t="shared" si="8"/>
        <v>-1.7726006583945373E-3</v>
      </c>
      <c r="J94" s="16">
        <f t="shared" si="9"/>
        <v>0.99822739934160543</v>
      </c>
      <c r="K94" s="16">
        <f t="shared" si="10"/>
        <v>40.022631578947369</v>
      </c>
      <c r="L94" s="16">
        <f t="shared" si="6"/>
        <v>40.586734693877553</v>
      </c>
      <c r="M94" s="25" t="str">
        <f t="shared" si="7"/>
        <v>HOLD</v>
      </c>
    </row>
    <row r="95" spans="2:13">
      <c r="B95" s="3">
        <v>42192</v>
      </c>
      <c r="C95" s="5">
        <v>40.25</v>
      </c>
      <c r="D95" s="5">
        <v>39.49</v>
      </c>
      <c r="E95" s="5">
        <v>40.380000000000003</v>
      </c>
      <c r="F95" s="5">
        <v>39.4</v>
      </c>
      <c r="G95" s="18" t="s">
        <v>1287</v>
      </c>
      <c r="H95" s="2">
        <v>2.1100000000000001E-2</v>
      </c>
      <c r="I95" s="16">
        <f t="shared" si="8"/>
        <v>2.1055301877219643E-2</v>
      </c>
      <c r="J95" s="16">
        <f t="shared" si="9"/>
        <v>1.0210553018772197</v>
      </c>
      <c r="K95" s="16">
        <f t="shared" si="10"/>
        <v>39.983684210526313</v>
      </c>
      <c r="L95" s="16">
        <f t="shared" si="6"/>
        <v>40.556734693877559</v>
      </c>
      <c r="M95" s="25" t="str">
        <f t="shared" si="7"/>
        <v>HOLD</v>
      </c>
    </row>
    <row r="96" spans="2:13">
      <c r="B96" s="3">
        <v>42193</v>
      </c>
      <c r="C96" s="5">
        <v>39.86</v>
      </c>
      <c r="D96" s="5">
        <v>39.99</v>
      </c>
      <c r="E96" s="5">
        <v>40.229999999999997</v>
      </c>
      <c r="F96" s="5">
        <v>39.840000000000003</v>
      </c>
      <c r="G96" s="18" t="s">
        <v>1283</v>
      </c>
      <c r="H96" s="2">
        <v>-9.7000000000000003E-3</v>
      </c>
      <c r="I96" s="16">
        <f t="shared" si="8"/>
        <v>-9.6894409937888348E-3</v>
      </c>
      <c r="J96" s="16">
        <f t="shared" si="9"/>
        <v>0.99031055900621112</v>
      </c>
      <c r="K96" s="16">
        <f t="shared" si="10"/>
        <v>39.986315789473686</v>
      </c>
      <c r="L96" s="16">
        <f t="shared" si="6"/>
        <v>40.544897959183679</v>
      </c>
      <c r="M96" s="25" t="str">
        <f t="shared" si="7"/>
        <v>HOLD</v>
      </c>
    </row>
    <row r="97" spans="2:13">
      <c r="B97" s="3">
        <v>42194</v>
      </c>
      <c r="C97" s="5">
        <v>39.92</v>
      </c>
      <c r="D97" s="5">
        <v>40.46</v>
      </c>
      <c r="E97" s="5">
        <v>40.58</v>
      </c>
      <c r="F97" s="5">
        <v>39.9</v>
      </c>
      <c r="G97" s="18" t="s">
        <v>452</v>
      </c>
      <c r="H97" s="2">
        <v>1.5E-3</v>
      </c>
      <c r="I97" s="16">
        <f t="shared" si="8"/>
        <v>1.5052684395384414E-3</v>
      </c>
      <c r="J97" s="16">
        <f t="shared" si="9"/>
        <v>1.0015052684395385</v>
      </c>
      <c r="K97" s="16">
        <f t="shared" si="10"/>
        <v>39.961578947368423</v>
      </c>
      <c r="L97" s="16">
        <f t="shared" si="6"/>
        <v>40.526326530612252</v>
      </c>
      <c r="M97" s="25" t="str">
        <f t="shared" si="7"/>
        <v>HOLD</v>
      </c>
    </row>
    <row r="98" spans="2:13">
      <c r="B98" s="3">
        <v>42195</v>
      </c>
      <c r="C98" s="5">
        <v>40.39</v>
      </c>
      <c r="D98" s="5">
        <v>40.270000000000003</v>
      </c>
      <c r="E98" s="5">
        <v>40.520000000000003</v>
      </c>
      <c r="F98" s="5">
        <v>40.159999999999997</v>
      </c>
      <c r="G98" s="18" t="s">
        <v>1286</v>
      </c>
      <c r="H98" s="2">
        <v>1.18E-2</v>
      </c>
      <c r="I98" s="16">
        <f t="shared" si="8"/>
        <v>1.1773547094188349E-2</v>
      </c>
      <c r="J98" s="16">
        <f t="shared" si="9"/>
        <v>1.0117735470941884</v>
      </c>
      <c r="K98" s="16">
        <f t="shared" si="10"/>
        <v>39.95210526315789</v>
      </c>
      <c r="L98" s="16">
        <f t="shared" si="6"/>
        <v>40.514693877551032</v>
      </c>
      <c r="M98" s="25" t="str">
        <f t="shared" si="7"/>
        <v>HOLD</v>
      </c>
    </row>
    <row r="99" spans="2:13">
      <c r="B99" s="3">
        <v>42198</v>
      </c>
      <c r="C99" s="5">
        <v>40.659999999999997</v>
      </c>
      <c r="D99" s="5">
        <v>40.56</v>
      </c>
      <c r="E99" s="5">
        <v>40.770000000000003</v>
      </c>
      <c r="F99" s="5">
        <v>40.49</v>
      </c>
      <c r="G99" s="18" t="s">
        <v>721</v>
      </c>
      <c r="H99" s="2">
        <v>6.7000000000000002E-3</v>
      </c>
      <c r="I99" s="16">
        <f t="shared" si="8"/>
        <v>6.6848229759840557E-3</v>
      </c>
      <c r="J99" s="16">
        <f t="shared" si="9"/>
        <v>1.0066848229759842</v>
      </c>
      <c r="K99" s="16">
        <f t="shared" si="10"/>
        <v>39.974736842105266</v>
      </c>
      <c r="L99" s="16">
        <f t="shared" si="6"/>
        <v>40.511224489795929</v>
      </c>
      <c r="M99" s="25" t="str">
        <f t="shared" si="7"/>
        <v>HOLD</v>
      </c>
    </row>
    <row r="100" spans="2:13">
      <c r="B100" s="3">
        <v>42199</v>
      </c>
      <c r="C100" s="5">
        <v>41.17</v>
      </c>
      <c r="D100" s="5">
        <v>40.9</v>
      </c>
      <c r="E100" s="5">
        <v>41.26</v>
      </c>
      <c r="F100" s="5">
        <v>40.840000000000003</v>
      </c>
      <c r="G100" s="18" t="s">
        <v>693</v>
      </c>
      <c r="H100" s="2">
        <v>1.2500000000000001E-2</v>
      </c>
      <c r="I100" s="16">
        <f t="shared" si="8"/>
        <v>1.2543039842597274E-2</v>
      </c>
      <c r="J100" s="16">
        <f t="shared" si="9"/>
        <v>1.0125430398425972</v>
      </c>
      <c r="K100" s="16">
        <f t="shared" si="10"/>
        <v>40.031052631578937</v>
      </c>
      <c r="L100" s="16">
        <f t="shared" si="6"/>
        <v>40.506122448979603</v>
      </c>
      <c r="M100" s="25" t="str">
        <f t="shared" si="7"/>
        <v>HOLD</v>
      </c>
    </row>
    <row r="101" spans="2:13">
      <c r="B101" s="3">
        <v>42200</v>
      </c>
      <c r="C101" s="5">
        <v>41.13</v>
      </c>
      <c r="D101" s="5">
        <v>41.15</v>
      </c>
      <c r="E101" s="5">
        <v>41.36</v>
      </c>
      <c r="F101" s="5">
        <v>41.1</v>
      </c>
      <c r="G101" s="18" t="s">
        <v>938</v>
      </c>
      <c r="H101" s="2">
        <v>-1E-3</v>
      </c>
      <c r="I101" s="16">
        <f t="shared" si="8"/>
        <v>-9.7158124848188351E-4</v>
      </c>
      <c r="J101" s="16">
        <f t="shared" si="9"/>
        <v>0.99902841875151815</v>
      </c>
      <c r="K101" s="16">
        <f t="shared" si="10"/>
        <v>40.088421052631567</v>
      </c>
      <c r="L101" s="16">
        <f t="shared" si="6"/>
        <v>40.510408163265318</v>
      </c>
      <c r="M101" s="25" t="str">
        <f t="shared" si="7"/>
        <v>HOLD</v>
      </c>
    </row>
    <row r="102" spans="2:13">
      <c r="B102" s="3">
        <v>42201</v>
      </c>
      <c r="C102" s="5">
        <v>41.48</v>
      </c>
      <c r="D102" s="5">
        <v>41.42</v>
      </c>
      <c r="E102" s="5">
        <v>41.6</v>
      </c>
      <c r="F102" s="5">
        <v>41.35</v>
      </c>
      <c r="G102" s="18" t="s">
        <v>196</v>
      </c>
      <c r="H102" s="2">
        <v>8.5000000000000006E-3</v>
      </c>
      <c r="I102" s="16">
        <f t="shared" si="8"/>
        <v>8.50960369559918E-3</v>
      </c>
      <c r="J102" s="16">
        <f t="shared" si="9"/>
        <v>1.0085096036955992</v>
      </c>
      <c r="K102" s="16">
        <f t="shared" si="10"/>
        <v>40.133684210526312</v>
      </c>
      <c r="L102" s="16">
        <f t="shared" si="6"/>
        <v>40.518163265306143</v>
      </c>
      <c r="M102" s="25" t="str">
        <f t="shared" si="7"/>
        <v>HOLD</v>
      </c>
    </row>
    <row r="103" spans="2:13">
      <c r="B103" s="3">
        <v>42202</v>
      </c>
      <c r="C103" s="5">
        <v>41.25</v>
      </c>
      <c r="D103" s="5">
        <v>41.31</v>
      </c>
      <c r="E103" s="5">
        <v>41.32</v>
      </c>
      <c r="F103" s="5">
        <v>41.05</v>
      </c>
      <c r="G103" s="18" t="s">
        <v>1202</v>
      </c>
      <c r="H103" s="2">
        <v>-5.4999999999999997E-3</v>
      </c>
      <c r="I103" s="16">
        <f t="shared" si="8"/>
        <v>-5.5448408871744672E-3</v>
      </c>
      <c r="J103" s="16">
        <f t="shared" si="9"/>
        <v>0.99445515911282556</v>
      </c>
      <c r="K103" s="16">
        <f t="shared" si="10"/>
        <v>40.177368421052627</v>
      </c>
      <c r="L103" s="16">
        <f t="shared" si="6"/>
        <v>40.534897959183695</v>
      </c>
      <c r="M103" s="25" t="str">
        <f t="shared" si="7"/>
        <v>HOLD</v>
      </c>
    </row>
    <row r="104" spans="2:13">
      <c r="B104" s="3">
        <v>42205</v>
      </c>
      <c r="C104" s="5">
        <v>41.38</v>
      </c>
      <c r="D104" s="5">
        <v>41.35</v>
      </c>
      <c r="E104" s="5">
        <v>41.54</v>
      </c>
      <c r="F104" s="5">
        <v>41.22</v>
      </c>
      <c r="G104" s="18" t="s">
        <v>362</v>
      </c>
      <c r="H104" s="2">
        <v>3.2000000000000002E-3</v>
      </c>
      <c r="I104" s="16">
        <f t="shared" si="8"/>
        <v>3.1515151515152137E-3</v>
      </c>
      <c r="J104" s="16">
        <f t="shared" si="9"/>
        <v>1.0031515151515151</v>
      </c>
      <c r="K104" s="16">
        <f t="shared" si="10"/>
        <v>40.222105263157893</v>
      </c>
      <c r="L104" s="16">
        <f t="shared" si="6"/>
        <v>40.546122448979609</v>
      </c>
      <c r="M104" s="25" t="str">
        <f t="shared" si="7"/>
        <v>HOLD</v>
      </c>
    </row>
    <row r="105" spans="2:13">
      <c r="B105" s="3">
        <v>42206</v>
      </c>
      <c r="C105" s="5">
        <v>41.19</v>
      </c>
      <c r="D105" s="5">
        <v>41.38</v>
      </c>
      <c r="E105" s="5">
        <v>41.52</v>
      </c>
      <c r="F105" s="5">
        <v>41.1</v>
      </c>
      <c r="G105" s="18" t="s">
        <v>1205</v>
      </c>
      <c r="H105" s="2">
        <v>-4.5999999999999999E-3</v>
      </c>
      <c r="I105" s="16">
        <f t="shared" si="8"/>
        <v>-4.5915901401644473E-3</v>
      </c>
      <c r="J105" s="16">
        <f t="shared" si="9"/>
        <v>0.99540840985983559</v>
      </c>
      <c r="K105" s="16">
        <f t="shared" si="10"/>
        <v>40.269473684210524</v>
      </c>
      <c r="L105" s="16">
        <f t="shared" si="6"/>
        <v>40.554285714285747</v>
      </c>
      <c r="M105" s="25" t="str">
        <f t="shared" si="7"/>
        <v>HOLD</v>
      </c>
    </row>
    <row r="106" spans="2:13">
      <c r="B106" s="3">
        <v>42207</v>
      </c>
      <c r="C106" s="5">
        <v>40.9</v>
      </c>
      <c r="D106" s="5">
        <v>40.81</v>
      </c>
      <c r="E106" s="5">
        <v>41.59</v>
      </c>
      <c r="F106" s="5">
        <v>40.590000000000003</v>
      </c>
      <c r="G106" s="18" t="s">
        <v>405</v>
      </c>
      <c r="H106" s="2">
        <v>-7.0000000000000001E-3</v>
      </c>
      <c r="I106" s="16">
        <f t="shared" si="8"/>
        <v>-7.0405438213158329E-3</v>
      </c>
      <c r="J106" s="16">
        <f t="shared" si="9"/>
        <v>0.9929594561786842</v>
      </c>
      <c r="K106" s="16">
        <f t="shared" si="10"/>
        <v>40.312105263157896</v>
      </c>
      <c r="L106" s="16">
        <f t="shared" si="6"/>
        <v>40.559387755102065</v>
      </c>
      <c r="M106" s="25" t="str">
        <f t="shared" si="7"/>
        <v>HOLD</v>
      </c>
    </row>
    <row r="107" spans="2:13">
      <c r="B107" s="3">
        <v>42208</v>
      </c>
      <c r="C107" s="5">
        <v>40.840000000000003</v>
      </c>
      <c r="D107" s="5">
        <v>40.99</v>
      </c>
      <c r="E107" s="5">
        <v>41.02</v>
      </c>
      <c r="F107" s="5">
        <v>40.479999999999997</v>
      </c>
      <c r="G107" s="18" t="s">
        <v>247</v>
      </c>
      <c r="H107" s="2">
        <v>-1.5E-3</v>
      </c>
      <c r="I107" s="16">
        <f t="shared" si="8"/>
        <v>-1.4669926650365567E-3</v>
      </c>
      <c r="J107" s="16">
        <f t="shared" si="9"/>
        <v>0.99853300733496342</v>
      </c>
      <c r="K107" s="16">
        <f t="shared" si="10"/>
        <v>40.349473684210523</v>
      </c>
      <c r="L107" s="16">
        <f t="shared" si="6"/>
        <v>40.56367346938778</v>
      </c>
      <c r="M107" s="25" t="str">
        <f t="shared" si="7"/>
        <v>HOLD</v>
      </c>
    </row>
    <row r="108" spans="2:13">
      <c r="B108" s="3">
        <v>42209</v>
      </c>
      <c r="C108" s="5">
        <v>40.44</v>
      </c>
      <c r="D108" s="5">
        <v>40.76</v>
      </c>
      <c r="E108" s="5">
        <v>40.83</v>
      </c>
      <c r="F108" s="5">
        <v>40.409999999999997</v>
      </c>
      <c r="G108" s="18" t="s">
        <v>686</v>
      </c>
      <c r="H108" s="2">
        <v>-9.7999999999999997E-3</v>
      </c>
      <c r="I108" s="16">
        <f t="shared" si="8"/>
        <v>-9.7943192948091486E-3</v>
      </c>
      <c r="J108" s="16">
        <f t="shared" si="9"/>
        <v>0.99020568070519088</v>
      </c>
      <c r="K108" s="16">
        <f t="shared" si="10"/>
        <v>40.392631578947373</v>
      </c>
      <c r="L108" s="16">
        <f t="shared" si="6"/>
        <v>40.559387755102058</v>
      </c>
      <c r="M108" s="25" t="str">
        <f t="shared" si="7"/>
        <v>HOLD</v>
      </c>
    </row>
    <row r="109" spans="2:13">
      <c r="B109" s="3">
        <v>42212</v>
      </c>
      <c r="C109" s="5">
        <v>40.54</v>
      </c>
      <c r="D109" s="5">
        <v>40.28</v>
      </c>
      <c r="E109" s="5">
        <v>40.58</v>
      </c>
      <c r="F109" s="5">
        <v>40.159999999999997</v>
      </c>
      <c r="G109" s="18" t="s">
        <v>402</v>
      </c>
      <c r="H109" s="2">
        <v>2.5000000000000001E-3</v>
      </c>
      <c r="I109" s="16">
        <f t="shared" si="8"/>
        <v>2.4727992087042886E-3</v>
      </c>
      <c r="J109" s="16">
        <f t="shared" si="9"/>
        <v>1.0024727992087044</v>
      </c>
      <c r="K109" s="16">
        <f t="shared" si="10"/>
        <v>40.415789473684214</v>
      </c>
      <c r="L109" s="16">
        <f t="shared" si="6"/>
        <v>40.53775510204084</v>
      </c>
      <c r="M109" s="25" t="str">
        <f t="shared" si="7"/>
        <v>HOLD</v>
      </c>
    </row>
    <row r="110" spans="2:13">
      <c r="B110" s="3">
        <v>42213</v>
      </c>
      <c r="C110" s="5">
        <v>40.549999999999997</v>
      </c>
      <c r="D110" s="5">
        <v>40.65</v>
      </c>
      <c r="E110" s="5">
        <v>40.729999999999997</v>
      </c>
      <c r="F110" s="5">
        <v>40.44</v>
      </c>
      <c r="G110" s="18" t="s">
        <v>1285</v>
      </c>
      <c r="H110" s="2">
        <v>2.0000000000000001E-4</v>
      </c>
      <c r="I110" s="16">
        <f t="shared" si="8"/>
        <v>2.466699555993589E-4</v>
      </c>
      <c r="J110" s="16">
        <f t="shared" si="9"/>
        <v>1.0002466699555994</v>
      </c>
      <c r="K110" s="16">
        <f t="shared" si="10"/>
        <v>40.475789473684209</v>
      </c>
      <c r="L110" s="16">
        <f t="shared" si="6"/>
        <v>40.517755102040837</v>
      </c>
      <c r="M110" s="25" t="str">
        <f t="shared" si="7"/>
        <v>HOLD</v>
      </c>
    </row>
    <row r="111" spans="2:13">
      <c r="B111" s="3">
        <v>42214</v>
      </c>
      <c r="C111" s="5">
        <v>40.590000000000003</v>
      </c>
      <c r="D111" s="5">
        <v>40.53</v>
      </c>
      <c r="E111" s="5">
        <v>40.71</v>
      </c>
      <c r="F111" s="5">
        <v>40.49</v>
      </c>
      <c r="G111" s="18" t="s">
        <v>347</v>
      </c>
      <c r="H111" s="2">
        <v>1E-3</v>
      </c>
      <c r="I111" s="16">
        <f t="shared" si="8"/>
        <v>9.8643649815058593E-4</v>
      </c>
      <c r="J111" s="16">
        <f t="shared" si="9"/>
        <v>1.0009864364981507</v>
      </c>
      <c r="K111" s="16">
        <f t="shared" si="10"/>
        <v>40.545263157894745</v>
      </c>
      <c r="L111" s="16">
        <f t="shared" si="6"/>
        <v>40.502040816326549</v>
      </c>
      <c r="M111" s="25" t="str">
        <f t="shared" si="7"/>
        <v>BUY</v>
      </c>
    </row>
    <row r="112" spans="2:13">
      <c r="B112" s="3">
        <v>42215</v>
      </c>
      <c r="C112" s="5">
        <v>40.56</v>
      </c>
      <c r="D112" s="5">
        <v>40.549999999999997</v>
      </c>
      <c r="E112" s="5">
        <v>40.75</v>
      </c>
      <c r="F112" s="5">
        <v>40.39</v>
      </c>
      <c r="G112" s="18" t="s">
        <v>815</v>
      </c>
      <c r="H112" s="2">
        <v>-6.9999999999999999E-4</v>
      </c>
      <c r="I112" s="16">
        <f t="shared" si="8"/>
        <v>-7.390983000739378E-4</v>
      </c>
      <c r="J112" s="16">
        <f t="shared" si="9"/>
        <v>0.9992609016999261</v>
      </c>
      <c r="K112" s="16">
        <f t="shared" si="10"/>
        <v>40.602631578947367</v>
      </c>
      <c r="L112" s="16">
        <f t="shared" si="6"/>
        <v>40.487346938775524</v>
      </c>
      <c r="M112" s="25" t="str">
        <f t="shared" si="7"/>
        <v>HOLD</v>
      </c>
    </row>
    <row r="113" spans="2:13">
      <c r="B113" s="3">
        <v>42216</v>
      </c>
      <c r="C113" s="5">
        <v>41.08</v>
      </c>
      <c r="D113" s="5">
        <v>40.880000000000003</v>
      </c>
      <c r="E113" s="5">
        <v>41.22</v>
      </c>
      <c r="F113" s="5">
        <v>40.770000000000003</v>
      </c>
      <c r="G113" s="18" t="s">
        <v>1284</v>
      </c>
      <c r="H113" s="2">
        <v>1.2800000000000001E-2</v>
      </c>
      <c r="I113" s="16">
        <f t="shared" si="8"/>
        <v>1.2820512820512721E-2</v>
      </c>
      <c r="J113" s="16">
        <f t="shared" si="9"/>
        <v>1.0128205128205128</v>
      </c>
      <c r="K113" s="16">
        <f t="shared" si="10"/>
        <v>40.658947368421053</v>
      </c>
      <c r="L113" s="16">
        <f t="shared" si="6"/>
        <v>40.471224489795937</v>
      </c>
      <c r="M113" s="25" t="str">
        <f t="shared" si="7"/>
        <v>HOLD</v>
      </c>
    </row>
    <row r="114" spans="2:13">
      <c r="B114" s="3">
        <v>42219</v>
      </c>
      <c r="C114" s="5">
        <v>41.54</v>
      </c>
      <c r="D114" s="5">
        <v>40.85</v>
      </c>
      <c r="E114" s="5">
        <v>41.55</v>
      </c>
      <c r="F114" s="5">
        <v>40.840000000000003</v>
      </c>
      <c r="G114" s="18" t="s">
        <v>95</v>
      </c>
      <c r="H114" s="2">
        <v>1.12E-2</v>
      </c>
      <c r="I114" s="16">
        <f t="shared" si="8"/>
        <v>1.1197663096397295E-2</v>
      </c>
      <c r="J114" s="16">
        <f t="shared" si="9"/>
        <v>1.0111976630963972</v>
      </c>
      <c r="K114" s="16">
        <f t="shared" si="10"/>
        <v>40.746315789473684</v>
      </c>
      <c r="L114" s="16">
        <f t="shared" si="6"/>
        <v>40.468163265306131</v>
      </c>
      <c r="M114" s="25" t="str">
        <f t="shared" si="7"/>
        <v>HOLD</v>
      </c>
    </row>
    <row r="115" spans="2:13">
      <c r="B115" s="3">
        <v>42220</v>
      </c>
      <c r="C115" s="5">
        <v>41.85</v>
      </c>
      <c r="D115" s="5">
        <v>41.51</v>
      </c>
      <c r="E115" s="5">
        <v>41.87</v>
      </c>
      <c r="F115" s="5">
        <v>41.34</v>
      </c>
      <c r="G115" s="18" t="s">
        <v>585</v>
      </c>
      <c r="H115" s="2">
        <v>7.4999999999999997E-3</v>
      </c>
      <c r="I115" s="16">
        <f t="shared" si="8"/>
        <v>7.4626865671642336E-3</v>
      </c>
      <c r="J115" s="16">
        <f t="shared" si="9"/>
        <v>1.0074626865671643</v>
      </c>
      <c r="K115" s="16">
        <f t="shared" si="10"/>
        <v>40.814210526315783</v>
      </c>
      <c r="L115" s="16">
        <f t="shared" si="6"/>
        <v>40.474897959183679</v>
      </c>
      <c r="M115" s="25" t="str">
        <f t="shared" si="7"/>
        <v>HOLD</v>
      </c>
    </row>
    <row r="116" spans="2:13">
      <c r="B116" s="3">
        <v>42221</v>
      </c>
      <c r="C116" s="5">
        <v>42.12</v>
      </c>
      <c r="D116" s="5">
        <v>41.92</v>
      </c>
      <c r="E116" s="5">
        <v>42.22</v>
      </c>
      <c r="F116" s="5">
        <v>41.82</v>
      </c>
      <c r="G116" s="18" t="s">
        <v>1066</v>
      </c>
      <c r="H116" s="2">
        <v>6.4999999999999997E-3</v>
      </c>
      <c r="I116" s="16">
        <f t="shared" si="8"/>
        <v>6.451612903225711E-3</v>
      </c>
      <c r="J116" s="16">
        <f t="shared" si="9"/>
        <v>1.0064516129032257</v>
      </c>
      <c r="K116" s="16">
        <f t="shared" si="10"/>
        <v>40.918947368421051</v>
      </c>
      <c r="L116" s="16">
        <f t="shared" si="6"/>
        <v>40.492448979591842</v>
      </c>
      <c r="M116" s="25" t="str">
        <f t="shared" si="7"/>
        <v>HOLD</v>
      </c>
    </row>
    <row r="117" spans="2:13">
      <c r="B117" s="3">
        <v>42222</v>
      </c>
      <c r="C117" s="5">
        <v>41.92</v>
      </c>
      <c r="D117" s="5">
        <v>42</v>
      </c>
      <c r="E117" s="5">
        <v>42.25</v>
      </c>
      <c r="F117" s="5">
        <v>41.86</v>
      </c>
      <c r="G117" s="18" t="s">
        <v>1283</v>
      </c>
      <c r="H117" s="2">
        <v>-4.7000000000000002E-3</v>
      </c>
      <c r="I117" s="16">
        <f t="shared" si="8"/>
        <v>-4.7483380816713142E-3</v>
      </c>
      <c r="J117" s="16">
        <f t="shared" si="9"/>
        <v>0.9952516619183287</v>
      </c>
      <c r="K117" s="16">
        <f t="shared" si="10"/>
        <v>41.034736842105261</v>
      </c>
      <c r="L117" s="16">
        <f t="shared" si="6"/>
        <v>40.512857142857143</v>
      </c>
      <c r="M117" s="25" t="str">
        <f t="shared" si="7"/>
        <v>HOLD</v>
      </c>
    </row>
    <row r="118" spans="2:13">
      <c r="B118" s="3">
        <v>42223</v>
      </c>
      <c r="C118" s="5">
        <v>41.77</v>
      </c>
      <c r="D118" s="5">
        <v>41.81</v>
      </c>
      <c r="E118" s="5">
        <v>41.97</v>
      </c>
      <c r="F118" s="5">
        <v>41.53</v>
      </c>
      <c r="G118" s="18" t="s">
        <v>947</v>
      </c>
      <c r="H118" s="2">
        <v>-3.5999999999999999E-3</v>
      </c>
      <c r="I118" s="16">
        <f t="shared" si="8"/>
        <v>-3.5782442748091264E-3</v>
      </c>
      <c r="J118" s="16">
        <f t="shared" si="9"/>
        <v>0.99642175572519087</v>
      </c>
      <c r="K118" s="16">
        <f t="shared" si="10"/>
        <v>41.115263157894738</v>
      </c>
      <c r="L118" s="16">
        <f t="shared" si="6"/>
        <v>40.528775510204085</v>
      </c>
      <c r="M118" s="25" t="str">
        <f t="shared" si="7"/>
        <v>HOLD</v>
      </c>
    </row>
    <row r="119" spans="2:13">
      <c r="B119" s="3">
        <v>42226</v>
      </c>
      <c r="C119" s="5">
        <v>41.68</v>
      </c>
      <c r="D119" s="5">
        <v>41.89</v>
      </c>
      <c r="E119" s="5">
        <v>41.99</v>
      </c>
      <c r="F119" s="5">
        <v>41.58</v>
      </c>
      <c r="G119" s="18" t="s">
        <v>965</v>
      </c>
      <c r="H119" s="2">
        <v>-2.2000000000000001E-3</v>
      </c>
      <c r="I119" s="16">
        <f t="shared" si="8"/>
        <v>-2.1546564519991239E-3</v>
      </c>
      <c r="J119" s="16">
        <f t="shared" si="9"/>
        <v>0.99784534354800092</v>
      </c>
      <c r="K119" s="16">
        <f t="shared" si="10"/>
        <v>41.173684210526311</v>
      </c>
      <c r="L119" s="16">
        <f t="shared" si="6"/>
        <v>40.545306122448977</v>
      </c>
      <c r="M119" s="25" t="str">
        <f t="shared" si="7"/>
        <v>HOLD</v>
      </c>
    </row>
    <row r="120" spans="2:13">
      <c r="B120" s="3">
        <v>42227</v>
      </c>
      <c r="C120" s="5">
        <v>41.48</v>
      </c>
      <c r="D120" s="5">
        <v>41.4</v>
      </c>
      <c r="E120" s="5">
        <v>41.57</v>
      </c>
      <c r="F120" s="5">
        <v>41.17</v>
      </c>
      <c r="G120" s="18" t="s">
        <v>938</v>
      </c>
      <c r="H120" s="2">
        <v>-4.7999999999999996E-3</v>
      </c>
      <c r="I120" s="16">
        <f t="shared" si="8"/>
        <v>-4.798464491362832E-3</v>
      </c>
      <c r="J120" s="16">
        <f t="shared" si="9"/>
        <v>0.99520153550863721</v>
      </c>
      <c r="K120" s="16">
        <f t="shared" si="10"/>
        <v>41.200526315789467</v>
      </c>
      <c r="L120" s="16">
        <f t="shared" si="6"/>
        <v>40.560408163265308</v>
      </c>
      <c r="M120" s="25" t="str">
        <f t="shared" si="7"/>
        <v>HOLD</v>
      </c>
    </row>
    <row r="121" spans="2:13">
      <c r="B121" s="3">
        <v>42228</v>
      </c>
      <c r="C121" s="5">
        <v>41.26</v>
      </c>
      <c r="D121" s="5">
        <v>41.13</v>
      </c>
      <c r="E121" s="5">
        <v>41.26</v>
      </c>
      <c r="F121" s="5">
        <v>40.85</v>
      </c>
      <c r="G121" s="18" t="s">
        <v>726</v>
      </c>
      <c r="H121" s="2">
        <v>-5.3E-3</v>
      </c>
      <c r="I121" s="16">
        <f t="shared" si="8"/>
        <v>-5.3037608486017091E-3</v>
      </c>
      <c r="J121" s="16">
        <f t="shared" si="9"/>
        <v>0.99469623915139826</v>
      </c>
      <c r="K121" s="16">
        <f t="shared" si="10"/>
        <v>41.218947368421048</v>
      </c>
      <c r="L121" s="16">
        <f t="shared" ref="L121:L184" si="11">AVERAGE(C72:C120)</f>
        <v>40.570408163265306</v>
      </c>
      <c r="M121" s="25" t="str">
        <f t="shared" ref="M121:M184" si="12">IF(AND(K121&gt;L121,K120&lt;=L120),"BUY",IF(AND(K121&lt;L121,K120&gt;=L120),"SELL","HOLD"))</f>
        <v>HOLD</v>
      </c>
    </row>
    <row r="122" spans="2:13">
      <c r="B122" s="3">
        <v>42229</v>
      </c>
      <c r="C122" s="5">
        <v>41.1</v>
      </c>
      <c r="D122" s="5">
        <v>41.28</v>
      </c>
      <c r="E122" s="5">
        <v>41.38</v>
      </c>
      <c r="F122" s="5">
        <v>41.01</v>
      </c>
      <c r="G122" s="18" t="s">
        <v>1012</v>
      </c>
      <c r="H122" s="2">
        <v>-3.8999999999999998E-3</v>
      </c>
      <c r="I122" s="16">
        <f t="shared" si="8"/>
        <v>-3.8778477944739842E-3</v>
      </c>
      <c r="J122" s="16">
        <f t="shared" si="9"/>
        <v>0.99612215220552602</v>
      </c>
      <c r="K122" s="16">
        <f t="shared" si="10"/>
        <v>41.207368421052628</v>
      </c>
      <c r="L122" s="16">
        <f t="shared" si="11"/>
        <v>40.578367346938776</v>
      </c>
      <c r="M122" s="25" t="str">
        <f t="shared" si="12"/>
        <v>HOLD</v>
      </c>
    </row>
    <row r="123" spans="2:13">
      <c r="B123" s="3">
        <v>42230</v>
      </c>
      <c r="C123" s="5">
        <v>41.25</v>
      </c>
      <c r="D123" s="5">
        <v>41.01</v>
      </c>
      <c r="E123" s="5">
        <v>41.25</v>
      </c>
      <c r="F123" s="5">
        <v>40.96</v>
      </c>
      <c r="G123" s="18" t="s">
        <v>412</v>
      </c>
      <c r="H123" s="2">
        <v>3.5999999999999999E-3</v>
      </c>
      <c r="I123" s="16">
        <f t="shared" si="8"/>
        <v>3.6496350364963156E-3</v>
      </c>
      <c r="J123" s="16">
        <f t="shared" si="9"/>
        <v>1.0036496350364963</v>
      </c>
      <c r="K123" s="16">
        <f t="shared" si="10"/>
        <v>41.199473684210517</v>
      </c>
      <c r="L123" s="16">
        <f t="shared" si="11"/>
        <v>40.588775510204073</v>
      </c>
      <c r="M123" s="25" t="str">
        <f t="shared" si="12"/>
        <v>HOLD</v>
      </c>
    </row>
    <row r="124" spans="2:13">
      <c r="B124" s="3">
        <v>42233</v>
      </c>
      <c r="C124" s="5">
        <v>41.35</v>
      </c>
      <c r="D124" s="5">
        <v>41.03</v>
      </c>
      <c r="E124" s="5">
        <v>41.45</v>
      </c>
      <c r="F124" s="5">
        <v>40.97</v>
      </c>
      <c r="G124" s="18" t="s">
        <v>1282</v>
      </c>
      <c r="H124" s="2">
        <v>2.3999999999999998E-3</v>
      </c>
      <c r="I124" s="16">
        <f t="shared" si="8"/>
        <v>2.4242424242424585E-3</v>
      </c>
      <c r="J124" s="16">
        <f t="shared" si="9"/>
        <v>1.0024242424242424</v>
      </c>
      <c r="K124" s="16">
        <f t="shared" si="10"/>
        <v>41.192631578947363</v>
      </c>
      <c r="L124" s="16">
        <f t="shared" si="11"/>
        <v>40.612244897959179</v>
      </c>
      <c r="M124" s="25" t="str">
        <f t="shared" si="12"/>
        <v>HOLD</v>
      </c>
    </row>
    <row r="125" spans="2:13">
      <c r="B125" s="3">
        <v>42234</v>
      </c>
      <c r="C125" s="5">
        <v>41.3</v>
      </c>
      <c r="D125" s="5">
        <v>41.28</v>
      </c>
      <c r="E125" s="5">
        <v>41.53</v>
      </c>
      <c r="F125" s="5">
        <v>41.19</v>
      </c>
      <c r="G125" s="18" t="s">
        <v>1281</v>
      </c>
      <c r="H125" s="2">
        <v>-1.1999999999999999E-3</v>
      </c>
      <c r="I125" s="16">
        <f t="shared" si="8"/>
        <v>-1.2091898428054236E-3</v>
      </c>
      <c r="J125" s="16">
        <f t="shared" si="9"/>
        <v>0.99879081015719462</v>
      </c>
      <c r="K125" s="16">
        <f t="shared" si="10"/>
        <v>41.201052631578953</v>
      </c>
      <c r="L125" s="16">
        <f t="shared" si="11"/>
        <v>40.63653061224489</v>
      </c>
      <c r="M125" s="25" t="str">
        <f t="shared" si="12"/>
        <v>HOLD</v>
      </c>
    </row>
    <row r="126" spans="2:13">
      <c r="B126" s="3">
        <v>42235</v>
      </c>
      <c r="C126" s="5">
        <v>40.78</v>
      </c>
      <c r="D126" s="5">
        <v>41.14</v>
      </c>
      <c r="E126" s="5">
        <v>41.24</v>
      </c>
      <c r="F126" s="5">
        <v>40.78</v>
      </c>
      <c r="G126" s="18" t="s">
        <v>1280</v>
      </c>
      <c r="H126" s="2">
        <v>-1.26E-2</v>
      </c>
      <c r="I126" s="16">
        <f t="shared" si="8"/>
        <v>-1.2590799031476902E-2</v>
      </c>
      <c r="J126" s="16">
        <f t="shared" si="9"/>
        <v>0.98740920096852314</v>
      </c>
      <c r="K126" s="16">
        <f t="shared" si="10"/>
        <v>41.222105263157893</v>
      </c>
      <c r="L126" s="16">
        <f t="shared" si="11"/>
        <v>40.658979591836726</v>
      </c>
      <c r="M126" s="25" t="str">
        <f t="shared" si="12"/>
        <v>HOLD</v>
      </c>
    </row>
    <row r="127" spans="2:13">
      <c r="B127" s="3">
        <v>42236</v>
      </c>
      <c r="C127" s="5">
        <v>40.549999999999997</v>
      </c>
      <c r="D127" s="5">
        <v>40.520000000000003</v>
      </c>
      <c r="E127" s="5">
        <v>40.82</v>
      </c>
      <c r="F127" s="5">
        <v>40.42</v>
      </c>
      <c r="G127" s="18" t="s">
        <v>381</v>
      </c>
      <c r="H127" s="2">
        <v>-5.5999999999999999E-3</v>
      </c>
      <c r="I127" s="16">
        <f t="shared" si="8"/>
        <v>-5.6400196174596368E-3</v>
      </c>
      <c r="J127" s="16">
        <f t="shared" si="9"/>
        <v>0.99435998038254036</v>
      </c>
      <c r="K127" s="16">
        <f t="shared" si="10"/>
        <v>41.218947368421048</v>
      </c>
      <c r="L127" s="16">
        <f t="shared" si="11"/>
        <v>40.668163265306113</v>
      </c>
      <c r="M127" s="25" t="str">
        <f t="shared" si="12"/>
        <v>HOLD</v>
      </c>
    </row>
    <row r="128" spans="2:13">
      <c r="B128" s="3">
        <v>42237</v>
      </c>
      <c r="C128" s="5">
        <v>39.53</v>
      </c>
      <c r="D128" s="5">
        <v>40.159999999999997</v>
      </c>
      <c r="E128" s="5">
        <v>40.47</v>
      </c>
      <c r="F128" s="5">
        <v>39.51</v>
      </c>
      <c r="G128" s="18" t="s">
        <v>1279</v>
      </c>
      <c r="H128" s="2">
        <v>-2.52E-2</v>
      </c>
      <c r="I128" s="16">
        <f t="shared" si="8"/>
        <v>-2.5154130702835908E-2</v>
      </c>
      <c r="J128" s="16">
        <f t="shared" si="9"/>
        <v>0.9748458692971641</v>
      </c>
      <c r="K128" s="16">
        <f t="shared" si="10"/>
        <v>41.224736842105266</v>
      </c>
      <c r="L128" s="16">
        <f t="shared" si="11"/>
        <v>40.6773469387755</v>
      </c>
      <c r="M128" s="25" t="str">
        <f t="shared" si="12"/>
        <v>HOLD</v>
      </c>
    </row>
    <row r="129" spans="2:13">
      <c r="B129" s="3">
        <v>42240</v>
      </c>
      <c r="C129" s="5">
        <v>38.380000000000003</v>
      </c>
      <c r="D129" s="5">
        <v>37.99</v>
      </c>
      <c r="E129" s="5">
        <v>38.94</v>
      </c>
      <c r="F129" s="5">
        <v>36.56</v>
      </c>
      <c r="G129" s="18" t="s">
        <v>1278</v>
      </c>
      <c r="H129" s="2">
        <v>-2.9100000000000001E-2</v>
      </c>
      <c r="I129" s="16">
        <f t="shared" si="8"/>
        <v>-2.9091828990639983E-2</v>
      </c>
      <c r="J129" s="16">
        <f t="shared" si="9"/>
        <v>0.97090817100936</v>
      </c>
      <c r="K129" s="16">
        <f t="shared" si="10"/>
        <v>41.171578947368417</v>
      </c>
      <c r="L129" s="16">
        <f t="shared" si="11"/>
        <v>40.668571428571411</v>
      </c>
      <c r="M129" s="25" t="str">
        <f t="shared" si="12"/>
        <v>HOLD</v>
      </c>
    </row>
    <row r="130" spans="2:13">
      <c r="B130" s="3">
        <v>42241</v>
      </c>
      <c r="C130" s="5">
        <v>37.99</v>
      </c>
      <c r="D130" s="5">
        <v>39.130000000000003</v>
      </c>
      <c r="E130" s="5">
        <v>39.270000000000003</v>
      </c>
      <c r="F130" s="5">
        <v>37.93</v>
      </c>
      <c r="G130" s="18" t="s">
        <v>638</v>
      </c>
      <c r="H130" s="2">
        <v>-1.0200000000000001E-2</v>
      </c>
      <c r="I130" s="16">
        <f t="shared" si="8"/>
        <v>-1.0161542470036491E-2</v>
      </c>
      <c r="J130" s="16">
        <f t="shared" si="9"/>
        <v>0.98983845752996347</v>
      </c>
      <c r="K130" s="16">
        <f t="shared" si="10"/>
        <v>41.05736842105263</v>
      </c>
      <c r="L130" s="16">
        <f t="shared" si="11"/>
        <v>40.643877551020395</v>
      </c>
      <c r="M130" s="25" t="str">
        <f t="shared" si="12"/>
        <v>HOLD</v>
      </c>
    </row>
    <row r="131" spans="2:13">
      <c r="B131" s="3">
        <v>42242</v>
      </c>
      <c r="C131" s="5">
        <v>38.729999999999997</v>
      </c>
      <c r="D131" s="5">
        <v>38.75</v>
      </c>
      <c r="E131" s="5">
        <v>38.83</v>
      </c>
      <c r="F131" s="5">
        <v>37.89</v>
      </c>
      <c r="G131" s="18" t="s">
        <v>1277</v>
      </c>
      <c r="H131" s="2">
        <v>1.95E-2</v>
      </c>
      <c r="I131" s="16">
        <f t="shared" si="8"/>
        <v>1.9478810213213869E-2</v>
      </c>
      <c r="J131" s="16">
        <f t="shared" si="9"/>
        <v>1.019478810213214</v>
      </c>
      <c r="K131" s="16">
        <f t="shared" si="10"/>
        <v>40.920526315789466</v>
      </c>
      <c r="L131" s="16">
        <f t="shared" si="11"/>
        <v>40.601224489795904</v>
      </c>
      <c r="M131" s="25" t="str">
        <f t="shared" si="12"/>
        <v>HOLD</v>
      </c>
    </row>
    <row r="132" spans="2:13">
      <c r="B132" s="3">
        <v>42243</v>
      </c>
      <c r="C132" s="5">
        <v>39.270000000000003</v>
      </c>
      <c r="D132" s="5">
        <v>39.06</v>
      </c>
      <c r="E132" s="5">
        <v>39.380000000000003</v>
      </c>
      <c r="F132" s="5">
        <v>38.6</v>
      </c>
      <c r="G132" s="18" t="s">
        <v>1276</v>
      </c>
      <c r="H132" s="2">
        <v>1.3899999999999999E-2</v>
      </c>
      <c r="I132" s="16">
        <f t="shared" si="8"/>
        <v>1.3942680092951363E-2</v>
      </c>
      <c r="J132" s="16">
        <f t="shared" si="9"/>
        <v>1.0139426800929514</v>
      </c>
      <c r="K132" s="16">
        <f t="shared" si="10"/>
        <v>40.824210526315788</v>
      </c>
      <c r="L132" s="16">
        <f t="shared" si="11"/>
        <v>40.569795918367333</v>
      </c>
      <c r="M132" s="25" t="str">
        <f t="shared" si="12"/>
        <v>HOLD</v>
      </c>
    </row>
    <row r="133" spans="2:13">
      <c r="B133" s="3">
        <v>42244</v>
      </c>
      <c r="C133" s="5">
        <v>39.450000000000003</v>
      </c>
      <c r="D133" s="5">
        <v>39.11</v>
      </c>
      <c r="E133" s="5">
        <v>39.47</v>
      </c>
      <c r="F133" s="5">
        <v>39.049999999999997</v>
      </c>
      <c r="G133" s="18" t="s">
        <v>1167</v>
      </c>
      <c r="H133" s="2">
        <v>4.5999999999999999E-3</v>
      </c>
      <c r="I133" s="16">
        <f t="shared" si="8"/>
        <v>4.5836516424751644E-3</v>
      </c>
      <c r="J133" s="16">
        <f t="shared" si="9"/>
        <v>1.0045836516424751</v>
      </c>
      <c r="K133" s="16">
        <f t="shared" si="10"/>
        <v>40.728947368421053</v>
      </c>
      <c r="L133" s="16">
        <f t="shared" si="11"/>
        <v>40.541632653061207</v>
      </c>
      <c r="M133" s="25" t="str">
        <f t="shared" si="12"/>
        <v>HOLD</v>
      </c>
    </row>
    <row r="134" spans="2:13">
      <c r="B134" s="3">
        <v>42247</v>
      </c>
      <c r="C134" s="5">
        <v>39.32</v>
      </c>
      <c r="D134" s="5">
        <v>39.15</v>
      </c>
      <c r="E134" s="5">
        <v>39.450000000000003</v>
      </c>
      <c r="F134" s="5">
        <v>39.049999999999997</v>
      </c>
      <c r="G134" s="18" t="s">
        <v>300</v>
      </c>
      <c r="H134" s="2">
        <v>-3.3E-3</v>
      </c>
      <c r="I134" s="16">
        <f t="shared" si="8"/>
        <v>-3.295310519645185E-3</v>
      </c>
      <c r="J134" s="16">
        <f t="shared" si="9"/>
        <v>0.99670468948035484</v>
      </c>
      <c r="K134" s="16">
        <f t="shared" si="10"/>
        <v>40.618947368421054</v>
      </c>
      <c r="L134" s="16">
        <f t="shared" si="11"/>
        <v>40.522244897959176</v>
      </c>
      <c r="M134" s="25" t="str">
        <f t="shared" si="12"/>
        <v>HOLD</v>
      </c>
    </row>
    <row r="135" spans="2:13">
      <c r="B135" s="3">
        <v>42248</v>
      </c>
      <c r="C135" s="5">
        <v>38.75</v>
      </c>
      <c r="D135" s="5">
        <v>38.67</v>
      </c>
      <c r="E135" s="5">
        <v>39.03</v>
      </c>
      <c r="F135" s="5">
        <v>38.54</v>
      </c>
      <c r="G135" s="18" t="s">
        <v>1275</v>
      </c>
      <c r="H135" s="2">
        <v>-1.4500000000000001E-2</v>
      </c>
      <c r="I135" s="16">
        <f t="shared" si="8"/>
        <v>-1.4496439471007129E-2</v>
      </c>
      <c r="J135" s="16">
        <f t="shared" si="9"/>
        <v>0.98550356052899291</v>
      </c>
      <c r="K135" s="16">
        <f t="shared" si="10"/>
        <v>40.485789473684214</v>
      </c>
      <c r="L135" s="16">
        <f t="shared" si="11"/>
        <v>40.498571428571417</v>
      </c>
      <c r="M135" s="25" t="str">
        <f t="shared" si="12"/>
        <v>SELL</v>
      </c>
    </row>
    <row r="136" spans="2:13">
      <c r="B136" s="3">
        <v>42249</v>
      </c>
      <c r="C136" s="5">
        <v>38.9</v>
      </c>
      <c r="D136" s="5">
        <v>39.03</v>
      </c>
      <c r="E136" s="5">
        <v>39.07</v>
      </c>
      <c r="F136" s="5">
        <v>38.56</v>
      </c>
      <c r="G136" s="18" t="s">
        <v>1093</v>
      </c>
      <c r="H136" s="2">
        <v>3.8999999999999998E-3</v>
      </c>
      <c r="I136" s="16">
        <f t="shared" si="8"/>
        <v>3.870967741935447E-3</v>
      </c>
      <c r="J136" s="16">
        <f t="shared" si="9"/>
        <v>1.0038709677419355</v>
      </c>
      <c r="K136" s="16">
        <f t="shared" si="10"/>
        <v>40.308421052631587</v>
      </c>
      <c r="L136" s="16">
        <f t="shared" si="11"/>
        <v>40.465306122448972</v>
      </c>
      <c r="M136" s="25" t="str">
        <f t="shared" si="12"/>
        <v>HOLD</v>
      </c>
    </row>
    <row r="137" spans="2:13">
      <c r="B137" s="3">
        <v>42250</v>
      </c>
      <c r="C137" s="5">
        <v>39.159999999999997</v>
      </c>
      <c r="D137" s="5">
        <v>38.9</v>
      </c>
      <c r="E137" s="5">
        <v>39.340000000000003</v>
      </c>
      <c r="F137" s="5">
        <v>38.840000000000003</v>
      </c>
      <c r="G137" s="18" t="s">
        <v>171</v>
      </c>
      <c r="H137" s="2">
        <v>6.7000000000000002E-3</v>
      </c>
      <c r="I137" s="16">
        <f t="shared" ref="I137:I200" si="13">(C137-C136)/C136</f>
        <v>6.6838046272493061E-3</v>
      </c>
      <c r="J137" s="16">
        <f t="shared" ref="J137:J200" si="14">C137/C136</f>
        <v>1.0066838046272493</v>
      </c>
      <c r="K137" s="16">
        <f t="shared" si="10"/>
        <v>40.149473684210534</v>
      </c>
      <c r="L137" s="16">
        <f t="shared" si="11"/>
        <v>40.438979591836727</v>
      </c>
      <c r="M137" s="25" t="str">
        <f t="shared" si="12"/>
        <v>HOLD</v>
      </c>
    </row>
    <row r="138" spans="2:13">
      <c r="B138" s="3">
        <v>42251</v>
      </c>
      <c r="C138" s="5">
        <v>38.520000000000003</v>
      </c>
      <c r="D138" s="5">
        <v>38.68</v>
      </c>
      <c r="E138" s="5">
        <v>38.79</v>
      </c>
      <c r="F138" s="5">
        <v>38.380000000000003</v>
      </c>
      <c r="G138" s="18" t="s">
        <v>1274</v>
      </c>
      <c r="H138" s="2">
        <v>-1.6299999999999999E-2</v>
      </c>
      <c r="I138" s="16">
        <f t="shared" si="13"/>
        <v>-1.6343207354443143E-2</v>
      </c>
      <c r="J138" s="16">
        <f t="shared" si="14"/>
        <v>0.98365679264555683</v>
      </c>
      <c r="K138" s="16">
        <f t="shared" si="10"/>
        <v>40.012105263157899</v>
      </c>
      <c r="L138" s="16">
        <f t="shared" si="11"/>
        <v>40.421428571428571</v>
      </c>
      <c r="M138" s="25" t="str">
        <f t="shared" si="12"/>
        <v>HOLD</v>
      </c>
    </row>
    <row r="139" spans="2:13">
      <c r="B139" s="3">
        <v>42255</v>
      </c>
      <c r="C139" s="5">
        <v>38.9</v>
      </c>
      <c r="D139" s="5">
        <v>38.869999999999997</v>
      </c>
      <c r="E139" s="5">
        <v>39.03</v>
      </c>
      <c r="F139" s="5">
        <v>38.6</v>
      </c>
      <c r="G139" s="18" t="s">
        <v>379</v>
      </c>
      <c r="H139" s="2">
        <v>9.9000000000000008E-3</v>
      </c>
      <c r="I139" s="16">
        <f t="shared" si="13"/>
        <v>9.8650051921078778E-3</v>
      </c>
      <c r="J139" s="16">
        <f t="shared" si="14"/>
        <v>1.0098650051921079</v>
      </c>
      <c r="K139" s="16">
        <f t="shared" si="10"/>
        <v>39.845789473684214</v>
      </c>
      <c r="L139" s="16">
        <f t="shared" si="11"/>
        <v>40.391224489795917</v>
      </c>
      <c r="M139" s="25" t="str">
        <f t="shared" si="12"/>
        <v>HOLD</v>
      </c>
    </row>
    <row r="140" spans="2:13">
      <c r="B140" s="3">
        <v>42256</v>
      </c>
      <c r="C140" s="5">
        <v>38.299999999999997</v>
      </c>
      <c r="D140" s="5">
        <v>39.119999999999997</v>
      </c>
      <c r="E140" s="5">
        <v>39.21</v>
      </c>
      <c r="F140" s="5">
        <v>38.200000000000003</v>
      </c>
      <c r="G140" s="18" t="s">
        <v>652</v>
      </c>
      <c r="H140" s="2">
        <v>-1.54E-2</v>
      </c>
      <c r="I140" s="16">
        <f t="shared" si="13"/>
        <v>-1.5424164524421632E-2</v>
      </c>
      <c r="J140" s="16">
        <f t="shared" si="14"/>
        <v>0.98457583547557836</v>
      </c>
      <c r="K140" s="16">
        <f t="shared" si="10"/>
        <v>39.71</v>
      </c>
      <c r="L140" s="16">
        <f t="shared" si="11"/>
        <v>40.381020408163266</v>
      </c>
      <c r="M140" s="25" t="str">
        <f t="shared" si="12"/>
        <v>HOLD</v>
      </c>
    </row>
    <row r="141" spans="2:13">
      <c r="B141" s="3">
        <v>42257</v>
      </c>
      <c r="C141" s="5">
        <v>38.42</v>
      </c>
      <c r="D141" s="5">
        <v>38.31</v>
      </c>
      <c r="E141" s="5">
        <v>38.65</v>
      </c>
      <c r="F141" s="5">
        <v>38.25</v>
      </c>
      <c r="G141" s="18" t="s">
        <v>60</v>
      </c>
      <c r="H141" s="2">
        <v>3.0999999999999999E-3</v>
      </c>
      <c r="I141" s="16">
        <f t="shared" si="13"/>
        <v>3.1331592689296229E-3</v>
      </c>
      <c r="J141" s="16">
        <f t="shared" si="14"/>
        <v>1.0031331592689297</v>
      </c>
      <c r="K141" s="16">
        <f t="shared" si="10"/>
        <v>39.554210526315785</v>
      </c>
      <c r="L141" s="16">
        <f t="shared" si="11"/>
        <v>40.362040816326534</v>
      </c>
      <c r="M141" s="25" t="str">
        <f t="shared" si="12"/>
        <v>HOLD</v>
      </c>
    </row>
    <row r="142" spans="2:13">
      <c r="B142" s="3">
        <v>42258</v>
      </c>
      <c r="C142" s="5">
        <v>38.130000000000003</v>
      </c>
      <c r="D142" s="5">
        <v>38.01</v>
      </c>
      <c r="E142" s="5">
        <v>38.19</v>
      </c>
      <c r="F142" s="5">
        <v>37.840000000000003</v>
      </c>
      <c r="G142" s="18" t="s">
        <v>525</v>
      </c>
      <c r="H142" s="2">
        <v>-7.4999999999999997E-3</v>
      </c>
      <c r="I142" s="16">
        <f t="shared" si="13"/>
        <v>-7.548152004164475E-3</v>
      </c>
      <c r="J142" s="16">
        <f t="shared" si="14"/>
        <v>0.99245184799583552</v>
      </c>
      <c r="K142" s="16">
        <f t="shared" si="10"/>
        <v>39.413157894736834</v>
      </c>
      <c r="L142" s="16">
        <f t="shared" si="11"/>
        <v>40.340000000000003</v>
      </c>
      <c r="M142" s="25" t="str">
        <f t="shared" si="12"/>
        <v>HOLD</v>
      </c>
    </row>
    <row r="143" spans="2:13">
      <c r="B143" s="3">
        <v>42261</v>
      </c>
      <c r="C143" s="5">
        <v>38.1</v>
      </c>
      <c r="D143" s="5">
        <v>38.22</v>
      </c>
      <c r="E143" s="5">
        <v>38.22</v>
      </c>
      <c r="F143" s="5">
        <v>37.85</v>
      </c>
      <c r="G143" s="18" t="s">
        <v>409</v>
      </c>
      <c r="H143" s="2">
        <v>-8.0000000000000004E-4</v>
      </c>
      <c r="I143" s="16">
        <f t="shared" si="13"/>
        <v>-7.867820613690306E-4</v>
      </c>
      <c r="J143" s="16">
        <f t="shared" si="14"/>
        <v>0.99921321793863094</v>
      </c>
      <c r="K143" s="16">
        <f t="shared" si="10"/>
        <v>39.248947368421042</v>
      </c>
      <c r="L143" s="16">
        <f t="shared" si="11"/>
        <v>40.312244897959189</v>
      </c>
      <c r="M143" s="25" t="str">
        <f t="shared" si="12"/>
        <v>HOLD</v>
      </c>
    </row>
    <row r="144" spans="2:13">
      <c r="B144" s="3">
        <v>42262</v>
      </c>
      <c r="C144" s="5">
        <v>38.5</v>
      </c>
      <c r="D144" s="5">
        <v>38.07</v>
      </c>
      <c r="E144" s="5">
        <v>38.630000000000003</v>
      </c>
      <c r="F144" s="5">
        <v>37.92</v>
      </c>
      <c r="G144" s="18" t="s">
        <v>215</v>
      </c>
      <c r="H144" s="2">
        <v>1.0500000000000001E-2</v>
      </c>
      <c r="I144" s="16">
        <f t="shared" si="13"/>
        <v>1.0498687664041956E-2</v>
      </c>
      <c r="J144" s="16">
        <f t="shared" si="14"/>
        <v>1.0104986876640421</v>
      </c>
      <c r="K144" s="16">
        <f t="shared" si="10"/>
        <v>39.077894736842097</v>
      </c>
      <c r="L144" s="16">
        <f t="shared" si="11"/>
        <v>40.285306122448979</v>
      </c>
      <c r="M144" s="25" t="str">
        <f t="shared" si="12"/>
        <v>HOLD</v>
      </c>
    </row>
    <row r="145" spans="2:13">
      <c r="B145" s="3">
        <v>42263</v>
      </c>
      <c r="C145" s="5">
        <v>39.15</v>
      </c>
      <c r="D145" s="5">
        <v>38.67</v>
      </c>
      <c r="E145" s="5">
        <v>39.19</v>
      </c>
      <c r="F145" s="5">
        <v>38.47</v>
      </c>
      <c r="G145" s="18" t="s">
        <v>1273</v>
      </c>
      <c r="H145" s="2">
        <v>1.6899999999999998E-2</v>
      </c>
      <c r="I145" s="16">
        <f t="shared" si="13"/>
        <v>1.6883116883116847E-2</v>
      </c>
      <c r="J145" s="16">
        <f t="shared" si="14"/>
        <v>1.0168831168831169</v>
      </c>
      <c r="K145" s="16">
        <f t="shared" si="10"/>
        <v>38.930526315789464</v>
      </c>
      <c r="L145" s="16">
        <f t="shared" si="11"/>
        <v>40.249591836734687</v>
      </c>
      <c r="M145" s="25" t="str">
        <f t="shared" si="12"/>
        <v>HOLD</v>
      </c>
    </row>
    <row r="146" spans="2:13">
      <c r="B146" s="3">
        <v>42264</v>
      </c>
      <c r="C146" s="5">
        <v>39.380000000000003</v>
      </c>
      <c r="D146" s="5">
        <v>39.15</v>
      </c>
      <c r="E146" s="5">
        <v>39.61</v>
      </c>
      <c r="F146" s="5">
        <v>39.04</v>
      </c>
      <c r="G146" s="18" t="s">
        <v>1272</v>
      </c>
      <c r="H146" s="2">
        <v>5.8999999999999999E-3</v>
      </c>
      <c r="I146" s="16">
        <f t="shared" si="13"/>
        <v>5.8748403575990798E-3</v>
      </c>
      <c r="J146" s="16">
        <f t="shared" si="14"/>
        <v>1.005874840357599</v>
      </c>
      <c r="K146" s="16">
        <f t="shared" si="10"/>
        <v>38.844736842105256</v>
      </c>
      <c r="L146" s="16">
        <f t="shared" si="11"/>
        <v>40.235102040816329</v>
      </c>
      <c r="M146" s="25" t="str">
        <f t="shared" si="12"/>
        <v>HOLD</v>
      </c>
    </row>
    <row r="147" spans="2:13">
      <c r="B147" s="3">
        <v>42265</v>
      </c>
      <c r="C147" s="5">
        <v>38.979999999999997</v>
      </c>
      <c r="D147" s="5">
        <v>38.86</v>
      </c>
      <c r="E147" s="5">
        <v>39.299999999999997</v>
      </c>
      <c r="F147" s="5">
        <v>38.71</v>
      </c>
      <c r="G147" s="18" t="s">
        <v>1271</v>
      </c>
      <c r="H147" s="2">
        <v>-1.0200000000000001E-2</v>
      </c>
      <c r="I147" s="16">
        <f t="shared" si="13"/>
        <v>-1.0157440325038234E-2</v>
      </c>
      <c r="J147" s="16">
        <f t="shared" si="14"/>
        <v>0.98984255967496182</v>
      </c>
      <c r="K147" s="16">
        <f t="shared" si="10"/>
        <v>38.783157894736839</v>
      </c>
      <c r="L147" s="16">
        <f t="shared" si="11"/>
        <v>40.224081632653068</v>
      </c>
      <c r="M147" s="25" t="str">
        <f t="shared" si="12"/>
        <v>HOLD</v>
      </c>
    </row>
    <row r="148" spans="2:13">
      <c r="B148" s="3">
        <v>42268</v>
      </c>
      <c r="C148" s="5">
        <v>39.19</v>
      </c>
      <c r="D148" s="5">
        <v>39.049999999999997</v>
      </c>
      <c r="E148" s="5">
        <v>39.31</v>
      </c>
      <c r="F148" s="5">
        <v>38.94</v>
      </c>
      <c r="G148" s="18" t="s">
        <v>122</v>
      </c>
      <c r="H148" s="2">
        <v>5.4000000000000003E-3</v>
      </c>
      <c r="I148" s="16">
        <f t="shared" si="13"/>
        <v>5.3873781426372717E-3</v>
      </c>
      <c r="J148" s="16">
        <f t="shared" si="14"/>
        <v>1.0053873781426372</v>
      </c>
      <c r="K148" s="16">
        <f t="shared" si="10"/>
        <v>38.754210526315788</v>
      </c>
      <c r="L148" s="16">
        <f t="shared" si="11"/>
        <v>40.19530612244899</v>
      </c>
      <c r="M148" s="25" t="str">
        <f t="shared" si="12"/>
        <v>HOLD</v>
      </c>
    </row>
    <row r="149" spans="2:13">
      <c r="B149" s="3">
        <v>42269</v>
      </c>
      <c r="C149" s="5">
        <v>38.79</v>
      </c>
      <c r="D149" s="5">
        <v>38.68</v>
      </c>
      <c r="E149" s="5">
        <v>38.99</v>
      </c>
      <c r="F149" s="5">
        <v>38.58</v>
      </c>
      <c r="G149" s="18" t="s">
        <v>78</v>
      </c>
      <c r="H149" s="2">
        <v>-1.0200000000000001E-2</v>
      </c>
      <c r="I149" s="16">
        <f t="shared" si="13"/>
        <v>-1.0206685378923159E-2</v>
      </c>
      <c r="J149" s="16">
        <f t="shared" si="14"/>
        <v>0.98979331462107689</v>
      </c>
      <c r="K149" s="16">
        <f t="shared" si="10"/>
        <v>38.796842105263153</v>
      </c>
      <c r="L149" s="16">
        <f t="shared" si="11"/>
        <v>40.165306122448989</v>
      </c>
      <c r="M149" s="25" t="str">
        <f t="shared" si="12"/>
        <v>HOLD</v>
      </c>
    </row>
    <row r="150" spans="2:13">
      <c r="B150" s="3">
        <v>42270</v>
      </c>
      <c r="C150" s="5">
        <v>38.76</v>
      </c>
      <c r="D150" s="5">
        <v>38.79</v>
      </c>
      <c r="E150" s="5">
        <v>38.880000000000003</v>
      </c>
      <c r="F150" s="5">
        <v>38.549999999999997</v>
      </c>
      <c r="G150" s="18" t="s">
        <v>678</v>
      </c>
      <c r="H150" s="2">
        <v>-8.0000000000000004E-4</v>
      </c>
      <c r="I150" s="16">
        <f t="shared" si="13"/>
        <v>-7.7339520494975863E-4</v>
      </c>
      <c r="J150" s="16">
        <f t="shared" si="14"/>
        <v>0.99922660479505021</v>
      </c>
      <c r="K150" s="16">
        <f t="shared" si="10"/>
        <v>38.838947368421053</v>
      </c>
      <c r="L150" s="16">
        <f t="shared" si="11"/>
        <v>40.116734693877561</v>
      </c>
      <c r="M150" s="25" t="str">
        <f t="shared" si="12"/>
        <v>HOLD</v>
      </c>
    </row>
    <row r="151" spans="2:13">
      <c r="B151" s="3">
        <v>42271</v>
      </c>
      <c r="C151" s="5">
        <v>39.15</v>
      </c>
      <c r="D151" s="5">
        <v>38.520000000000003</v>
      </c>
      <c r="E151" s="5">
        <v>39.200000000000003</v>
      </c>
      <c r="F151" s="5">
        <v>38.51</v>
      </c>
      <c r="G151" s="18" t="s">
        <v>1270</v>
      </c>
      <c r="H151" s="2">
        <v>1.01E-2</v>
      </c>
      <c r="I151" s="16">
        <f t="shared" si="13"/>
        <v>1.0061919504643978E-2</v>
      </c>
      <c r="J151" s="16">
        <f t="shared" si="14"/>
        <v>1.0100619195046441</v>
      </c>
      <c r="K151" s="16">
        <f t="shared" si="10"/>
        <v>38.840526315789475</v>
      </c>
      <c r="L151" s="16">
        <f t="shared" si="11"/>
        <v>40.068367346938786</v>
      </c>
      <c r="M151" s="25" t="str">
        <f t="shared" si="12"/>
        <v>HOLD</v>
      </c>
    </row>
    <row r="152" spans="2:13">
      <c r="B152" s="3">
        <v>42272</v>
      </c>
      <c r="C152" s="5">
        <v>39.619999999999997</v>
      </c>
      <c r="D152" s="5">
        <v>39.43</v>
      </c>
      <c r="E152" s="5">
        <v>40.08</v>
      </c>
      <c r="F152" s="5">
        <v>39.33</v>
      </c>
      <c r="G152" s="18" t="s">
        <v>145</v>
      </c>
      <c r="H152" s="2">
        <v>1.2E-2</v>
      </c>
      <c r="I152" s="16">
        <f t="shared" si="13"/>
        <v>1.2005108556832665E-2</v>
      </c>
      <c r="J152" s="16">
        <f t="shared" si="14"/>
        <v>1.0120051085568327</v>
      </c>
      <c r="K152" s="16">
        <f t="shared" si="10"/>
        <v>38.834210526315793</v>
      </c>
      <c r="L152" s="16">
        <f t="shared" si="11"/>
        <v>40.020816326530628</v>
      </c>
      <c r="M152" s="25" t="str">
        <f t="shared" si="12"/>
        <v>HOLD</v>
      </c>
    </row>
    <row r="153" spans="2:13">
      <c r="B153" s="3">
        <v>42275</v>
      </c>
      <c r="C153" s="5">
        <v>39.53</v>
      </c>
      <c r="D153" s="5">
        <v>39.520000000000003</v>
      </c>
      <c r="E153" s="5">
        <v>39.82</v>
      </c>
      <c r="F153" s="5">
        <v>39.33</v>
      </c>
      <c r="G153" s="18" t="s">
        <v>1269</v>
      </c>
      <c r="H153" s="2">
        <v>-2.3E-3</v>
      </c>
      <c r="I153" s="16">
        <f t="shared" si="13"/>
        <v>-2.2715800100958179E-3</v>
      </c>
      <c r="J153" s="16">
        <f t="shared" si="14"/>
        <v>0.99772841998990414</v>
      </c>
      <c r="K153" s="16">
        <f t="shared" si="10"/>
        <v>38.843157894736841</v>
      </c>
      <c r="L153" s="16">
        <f t="shared" si="11"/>
        <v>39.987551020408169</v>
      </c>
      <c r="M153" s="25" t="str">
        <f t="shared" si="12"/>
        <v>HOLD</v>
      </c>
    </row>
    <row r="154" spans="2:13">
      <c r="B154" s="3">
        <v>42276</v>
      </c>
      <c r="C154" s="5">
        <v>39.659999999999997</v>
      </c>
      <c r="D154" s="5">
        <v>39.520000000000003</v>
      </c>
      <c r="E154" s="5">
        <v>39.71</v>
      </c>
      <c r="F154" s="5">
        <v>39.33</v>
      </c>
      <c r="G154" s="18" t="s">
        <v>505</v>
      </c>
      <c r="H154" s="2">
        <v>3.3E-3</v>
      </c>
      <c r="I154" s="16">
        <f t="shared" si="13"/>
        <v>3.2886415380722349E-3</v>
      </c>
      <c r="J154" s="16">
        <f t="shared" si="14"/>
        <v>1.0032886415380722</v>
      </c>
      <c r="K154" s="16">
        <f t="shared" si="10"/>
        <v>38.854210526315789</v>
      </c>
      <c r="L154" s="16">
        <f t="shared" si="11"/>
        <v>39.949795918367357</v>
      </c>
      <c r="M154" s="25" t="str">
        <f t="shared" si="12"/>
        <v>HOLD</v>
      </c>
    </row>
    <row r="155" spans="2:13">
      <c r="B155" s="3">
        <v>42277</v>
      </c>
      <c r="C155" s="5">
        <v>40.119999999999997</v>
      </c>
      <c r="D155" s="5">
        <v>39.880000000000003</v>
      </c>
      <c r="E155" s="5">
        <v>40.229999999999997</v>
      </c>
      <c r="F155" s="5">
        <v>39.799999999999997</v>
      </c>
      <c r="G155" s="18" t="s">
        <v>1268</v>
      </c>
      <c r="H155" s="2">
        <v>1.1599999999999999E-2</v>
      </c>
      <c r="I155" s="16">
        <f t="shared" si="13"/>
        <v>1.1598587997982877E-2</v>
      </c>
      <c r="J155" s="16">
        <f t="shared" si="14"/>
        <v>1.011598587997983</v>
      </c>
      <c r="K155" s="16">
        <f t="shared" ref="K155:K218" si="15">AVERAGE(C136:C154)</f>
        <v>38.902105263157893</v>
      </c>
      <c r="L155" s="16">
        <f t="shared" si="11"/>
        <v>39.91857142857144</v>
      </c>
      <c r="M155" s="25" t="str">
        <f t="shared" si="12"/>
        <v>HOLD</v>
      </c>
    </row>
    <row r="156" spans="2:13">
      <c r="B156" s="3">
        <v>42278</v>
      </c>
      <c r="C156" s="5">
        <v>39.799999999999997</v>
      </c>
      <c r="D156" s="5">
        <v>40.22</v>
      </c>
      <c r="E156" s="5">
        <v>40.47</v>
      </c>
      <c r="F156" s="5">
        <v>39.6</v>
      </c>
      <c r="G156" s="18" t="s">
        <v>1267</v>
      </c>
      <c r="H156" s="2">
        <v>-8.0000000000000002E-3</v>
      </c>
      <c r="I156" s="16">
        <f t="shared" si="13"/>
        <v>-7.9760717846460698E-3</v>
      </c>
      <c r="J156" s="16">
        <f t="shared" si="14"/>
        <v>0.9920239282153539</v>
      </c>
      <c r="K156" s="16">
        <f t="shared" si="15"/>
        <v>38.966315789473683</v>
      </c>
      <c r="L156" s="16">
        <f t="shared" si="11"/>
        <v>39.902653061224498</v>
      </c>
      <c r="M156" s="25" t="str">
        <f t="shared" si="12"/>
        <v>HOLD</v>
      </c>
    </row>
    <row r="157" spans="2:13">
      <c r="B157" s="3">
        <v>42279</v>
      </c>
      <c r="C157" s="5">
        <v>40.39</v>
      </c>
      <c r="D157" s="5">
        <v>39.56</v>
      </c>
      <c r="E157" s="5">
        <v>40.39</v>
      </c>
      <c r="F157" s="5">
        <v>39.36</v>
      </c>
      <c r="G157" s="18" t="s">
        <v>1231</v>
      </c>
      <c r="H157" s="2">
        <v>1.4800000000000001E-2</v>
      </c>
      <c r="I157" s="16">
        <f t="shared" si="13"/>
        <v>1.4824120603015162E-2</v>
      </c>
      <c r="J157" s="16">
        <f t="shared" si="14"/>
        <v>1.0148241206030151</v>
      </c>
      <c r="K157" s="16">
        <f t="shared" si="15"/>
        <v>38.999999999999993</v>
      </c>
      <c r="L157" s="16">
        <f t="shared" si="11"/>
        <v>39.881428571428579</v>
      </c>
      <c r="M157" s="25" t="str">
        <f t="shared" si="12"/>
        <v>HOLD</v>
      </c>
    </row>
    <row r="158" spans="2:13">
      <c r="B158" s="3">
        <v>42282</v>
      </c>
      <c r="C158" s="5">
        <v>41.01</v>
      </c>
      <c r="D158" s="5">
        <v>40.450000000000003</v>
      </c>
      <c r="E158" s="5">
        <v>41.05</v>
      </c>
      <c r="F158" s="5">
        <v>40.43</v>
      </c>
      <c r="G158" s="18" t="s">
        <v>419</v>
      </c>
      <c r="H158" s="2">
        <v>1.54E-2</v>
      </c>
      <c r="I158" s="16">
        <f t="shared" si="13"/>
        <v>1.5350334241148735E-2</v>
      </c>
      <c r="J158" s="16">
        <f t="shared" si="14"/>
        <v>1.0153503342411487</v>
      </c>
      <c r="K158" s="16">
        <f t="shared" si="15"/>
        <v>39.098421052631572</v>
      </c>
      <c r="L158" s="16">
        <f t="shared" si="11"/>
        <v>39.880408163265315</v>
      </c>
      <c r="M158" s="25" t="str">
        <f t="shared" si="12"/>
        <v>HOLD</v>
      </c>
    </row>
    <row r="159" spans="2:13">
      <c r="B159" s="3">
        <v>42283</v>
      </c>
      <c r="C159" s="5">
        <v>40.96</v>
      </c>
      <c r="D159" s="5">
        <v>41.04</v>
      </c>
      <c r="E159" s="5">
        <v>41.34</v>
      </c>
      <c r="F159" s="5">
        <v>40.93</v>
      </c>
      <c r="G159" s="18" t="s">
        <v>1266</v>
      </c>
      <c r="H159" s="2">
        <v>-1.1999999999999999E-3</v>
      </c>
      <c r="I159" s="16">
        <f t="shared" si="13"/>
        <v>-1.2192148256522106E-3</v>
      </c>
      <c r="J159" s="16">
        <f t="shared" si="14"/>
        <v>0.99878078517434776</v>
      </c>
      <c r="K159" s="16">
        <f t="shared" si="15"/>
        <v>39.209473684210522</v>
      </c>
      <c r="L159" s="16">
        <f t="shared" si="11"/>
        <v>39.890000000000015</v>
      </c>
      <c r="M159" s="25" t="str">
        <f t="shared" si="12"/>
        <v>HOLD</v>
      </c>
    </row>
    <row r="160" spans="2:13">
      <c r="B160" s="3">
        <v>42284</v>
      </c>
      <c r="C160" s="5">
        <v>41.52</v>
      </c>
      <c r="D160" s="5">
        <v>41.14</v>
      </c>
      <c r="E160" s="5">
        <v>41.61</v>
      </c>
      <c r="F160" s="5">
        <v>41.1</v>
      </c>
      <c r="G160" s="18" t="s">
        <v>701</v>
      </c>
      <c r="H160" s="2">
        <v>1.37E-2</v>
      </c>
      <c r="I160" s="16">
        <f t="shared" si="13"/>
        <v>1.3671875000000056E-2</v>
      </c>
      <c r="J160" s="16">
        <f t="shared" si="14"/>
        <v>1.013671875</v>
      </c>
      <c r="K160" s="16">
        <f t="shared" si="15"/>
        <v>39.349473684210523</v>
      </c>
      <c r="L160" s="16">
        <f t="shared" si="11"/>
        <v>39.898367346938784</v>
      </c>
      <c r="M160" s="25" t="str">
        <f t="shared" si="12"/>
        <v>HOLD</v>
      </c>
    </row>
    <row r="161" spans="2:13">
      <c r="B161" s="3">
        <v>42285</v>
      </c>
      <c r="C161" s="5">
        <v>41.98</v>
      </c>
      <c r="D161" s="5">
        <v>41.26</v>
      </c>
      <c r="E161" s="5">
        <v>41.99</v>
      </c>
      <c r="F161" s="5">
        <v>41.26</v>
      </c>
      <c r="G161" s="18" t="s">
        <v>134</v>
      </c>
      <c r="H161" s="2">
        <v>1.11E-2</v>
      </c>
      <c r="I161" s="16">
        <f t="shared" si="13"/>
        <v>1.1078998073217576E-2</v>
      </c>
      <c r="J161" s="16">
        <f t="shared" si="14"/>
        <v>1.0110789980732175</v>
      </c>
      <c r="K161" s="16">
        <f t="shared" si="15"/>
        <v>39.512631578947364</v>
      </c>
      <c r="L161" s="16">
        <f t="shared" si="11"/>
        <v>39.917346938775516</v>
      </c>
      <c r="M161" s="25" t="str">
        <f t="shared" si="12"/>
        <v>HOLD</v>
      </c>
    </row>
    <row r="162" spans="2:13">
      <c r="B162" s="3">
        <v>42286</v>
      </c>
      <c r="C162" s="5">
        <v>42.02</v>
      </c>
      <c r="D162" s="5">
        <v>41.82</v>
      </c>
      <c r="E162" s="5">
        <v>42.12</v>
      </c>
      <c r="F162" s="5">
        <v>41.78</v>
      </c>
      <c r="G162" s="18" t="s">
        <v>391</v>
      </c>
      <c r="H162" s="2">
        <v>1E-3</v>
      </c>
      <c r="I162" s="16">
        <f t="shared" si="13"/>
        <v>9.5283468318261687E-4</v>
      </c>
      <c r="J162" s="16">
        <f t="shared" si="14"/>
        <v>1.0009528346831826</v>
      </c>
      <c r="K162" s="16">
        <f t="shared" si="15"/>
        <v>39.715263157894732</v>
      </c>
      <c r="L162" s="16">
        <f t="shared" si="11"/>
        <v>39.946326530612254</v>
      </c>
      <c r="M162" s="25" t="str">
        <f t="shared" si="12"/>
        <v>HOLD</v>
      </c>
    </row>
    <row r="163" spans="2:13">
      <c r="B163" s="3">
        <v>42289</v>
      </c>
      <c r="C163" s="5">
        <v>42</v>
      </c>
      <c r="D163" s="5">
        <v>41.83</v>
      </c>
      <c r="E163" s="5">
        <v>42.29</v>
      </c>
      <c r="F163" s="5">
        <v>41.81</v>
      </c>
      <c r="G163" s="18" t="s">
        <v>415</v>
      </c>
      <c r="H163" s="2">
        <v>-5.0000000000000001E-4</v>
      </c>
      <c r="I163" s="16">
        <f t="shared" si="13"/>
        <v>-4.7596382674924142E-4</v>
      </c>
      <c r="J163" s="16">
        <f t="shared" si="14"/>
        <v>0.99952403617325081</v>
      </c>
      <c r="K163" s="16">
        <f t="shared" si="15"/>
        <v>39.921578947368424</v>
      </c>
      <c r="L163" s="16">
        <f t="shared" si="11"/>
        <v>39.965510204081639</v>
      </c>
      <c r="M163" s="25" t="str">
        <f t="shared" si="12"/>
        <v>HOLD</v>
      </c>
    </row>
    <row r="164" spans="2:13">
      <c r="B164" s="3">
        <v>42290</v>
      </c>
      <c r="C164" s="5">
        <v>41.65</v>
      </c>
      <c r="D164" s="5">
        <v>41.8</v>
      </c>
      <c r="E164" s="5">
        <v>41.91</v>
      </c>
      <c r="F164" s="5">
        <v>41.54</v>
      </c>
      <c r="G164" s="18" t="s">
        <v>280</v>
      </c>
      <c r="H164" s="2">
        <v>-8.3000000000000001E-3</v>
      </c>
      <c r="I164" s="16">
        <f t="shared" si="13"/>
        <v>-8.3333333333333679E-3</v>
      </c>
      <c r="J164" s="16">
        <f t="shared" si="14"/>
        <v>0.99166666666666659</v>
      </c>
      <c r="K164" s="16">
        <f t="shared" si="15"/>
        <v>40.105789473684212</v>
      </c>
      <c r="L164" s="16">
        <f t="shared" si="11"/>
        <v>39.974897959183679</v>
      </c>
      <c r="M164" s="25" t="str">
        <f t="shared" si="12"/>
        <v>BUY</v>
      </c>
    </row>
    <row r="165" spans="2:13">
      <c r="B165" s="3">
        <v>42291</v>
      </c>
      <c r="C165" s="5">
        <v>41.68</v>
      </c>
      <c r="D165" s="5">
        <v>41.56</v>
      </c>
      <c r="E165" s="5">
        <v>41.96</v>
      </c>
      <c r="F165" s="5">
        <v>41.56</v>
      </c>
      <c r="G165" s="18" t="s">
        <v>87</v>
      </c>
      <c r="H165" s="2">
        <v>6.9999999999999999E-4</v>
      </c>
      <c r="I165" s="16">
        <f t="shared" si="13"/>
        <v>7.2028811524612571E-4</v>
      </c>
      <c r="J165" s="16">
        <f t="shared" si="14"/>
        <v>1.0007202881152462</v>
      </c>
      <c r="K165" s="16">
        <f t="shared" si="15"/>
        <v>40.237368421052629</v>
      </c>
      <c r="L165" s="16">
        <f t="shared" si="11"/>
        <v>39.970816326530617</v>
      </c>
      <c r="M165" s="25" t="str">
        <f t="shared" si="12"/>
        <v>HOLD</v>
      </c>
    </row>
    <row r="166" spans="2:13">
      <c r="B166" s="3">
        <v>42292</v>
      </c>
      <c r="C166" s="5">
        <v>41.92</v>
      </c>
      <c r="D166" s="5">
        <v>41.87</v>
      </c>
      <c r="E166" s="5">
        <v>42.03</v>
      </c>
      <c r="F166" s="5">
        <v>41.6</v>
      </c>
      <c r="G166" s="18" t="s">
        <v>525</v>
      </c>
      <c r="H166" s="2">
        <v>5.7999999999999996E-3</v>
      </c>
      <c r="I166" s="16">
        <f t="shared" si="13"/>
        <v>5.7581573896353646E-3</v>
      </c>
      <c r="J166" s="16">
        <f t="shared" si="14"/>
        <v>1.0057581573896353</v>
      </c>
      <c r="K166" s="16">
        <f t="shared" si="15"/>
        <v>40.35842105263157</v>
      </c>
      <c r="L166" s="16">
        <f t="shared" si="11"/>
        <v>39.961836734693883</v>
      </c>
      <c r="M166" s="25" t="str">
        <f t="shared" si="12"/>
        <v>HOLD</v>
      </c>
    </row>
    <row r="167" spans="2:13">
      <c r="B167" s="3">
        <v>42293</v>
      </c>
      <c r="C167" s="5">
        <v>42.02</v>
      </c>
      <c r="D167" s="5">
        <v>42.16</v>
      </c>
      <c r="E167" s="5">
        <v>42.21</v>
      </c>
      <c r="F167" s="5">
        <v>41.88</v>
      </c>
      <c r="G167" s="18" t="s">
        <v>1265</v>
      </c>
      <c r="H167" s="2">
        <v>2.3999999999999998E-3</v>
      </c>
      <c r="I167" s="16">
        <f t="shared" si="13"/>
        <v>2.3854961832061408E-3</v>
      </c>
      <c r="J167" s="16">
        <f t="shared" si="14"/>
        <v>1.0023854961832062</v>
      </c>
      <c r="K167" s="16">
        <f t="shared" si="15"/>
        <v>40.513157894736835</v>
      </c>
      <c r="L167" s="16">
        <f t="shared" si="11"/>
        <v>39.961836734693883</v>
      </c>
      <c r="M167" s="25" t="str">
        <f t="shared" si="12"/>
        <v>HOLD</v>
      </c>
    </row>
    <row r="168" spans="2:13">
      <c r="B168" s="3">
        <v>42296</v>
      </c>
      <c r="C168" s="5">
        <v>41.99</v>
      </c>
      <c r="D168" s="5">
        <v>41.9</v>
      </c>
      <c r="E168" s="5">
        <v>42.05</v>
      </c>
      <c r="F168" s="5">
        <v>41.8</v>
      </c>
      <c r="G168" s="18" t="s">
        <v>714</v>
      </c>
      <c r="H168" s="2">
        <v>-6.9999999999999999E-4</v>
      </c>
      <c r="I168" s="16">
        <f t="shared" si="13"/>
        <v>-7.139457401237776E-4</v>
      </c>
      <c r="J168" s="16">
        <f t="shared" si="14"/>
        <v>0.99928605425987627</v>
      </c>
      <c r="K168" s="16">
        <f t="shared" si="15"/>
        <v>40.662105263157883</v>
      </c>
      <c r="L168" s="16">
        <f t="shared" si="11"/>
        <v>39.966938775510208</v>
      </c>
      <c r="M168" s="25" t="str">
        <f t="shared" si="12"/>
        <v>HOLD</v>
      </c>
    </row>
    <row r="169" spans="2:13">
      <c r="B169" s="3">
        <v>42297</v>
      </c>
      <c r="C169" s="5">
        <v>42.29</v>
      </c>
      <c r="D169" s="5">
        <v>42</v>
      </c>
      <c r="E169" s="5">
        <v>42.4</v>
      </c>
      <c r="F169" s="5">
        <v>42</v>
      </c>
      <c r="G169" s="18" t="s">
        <v>279</v>
      </c>
      <c r="H169" s="2">
        <v>7.1000000000000004E-3</v>
      </c>
      <c r="I169" s="16">
        <f t="shared" si="13"/>
        <v>7.1445582281494911E-3</v>
      </c>
      <c r="J169" s="16">
        <f t="shared" si="14"/>
        <v>1.0071445582281495</v>
      </c>
      <c r="K169" s="16">
        <f t="shared" si="15"/>
        <v>40.830526315789463</v>
      </c>
      <c r="L169" s="16">
        <f t="shared" si="11"/>
        <v>39.973265306122457</v>
      </c>
      <c r="M169" s="25" t="str">
        <f t="shared" si="12"/>
        <v>HOLD</v>
      </c>
    </row>
    <row r="170" spans="2:13">
      <c r="B170" s="3">
        <v>42298</v>
      </c>
      <c r="C170" s="5">
        <v>42.19</v>
      </c>
      <c r="D170" s="5">
        <v>41.94</v>
      </c>
      <c r="E170" s="5">
        <v>42.52</v>
      </c>
      <c r="F170" s="5">
        <v>41.71</v>
      </c>
      <c r="G170" s="18" t="s">
        <v>612</v>
      </c>
      <c r="H170" s="2">
        <v>-2.3999999999999998E-3</v>
      </c>
      <c r="I170" s="16">
        <f t="shared" si="13"/>
        <v>-2.3646252069047394E-3</v>
      </c>
      <c r="J170" s="16">
        <f t="shared" si="14"/>
        <v>0.99763537479309528</v>
      </c>
      <c r="K170" s="16">
        <f t="shared" si="15"/>
        <v>41.016315789473673</v>
      </c>
      <c r="L170" s="16">
        <f t="shared" si="11"/>
        <v>39.989795918367349</v>
      </c>
      <c r="M170" s="25" t="str">
        <f t="shared" si="12"/>
        <v>HOLD</v>
      </c>
    </row>
    <row r="171" spans="2:13">
      <c r="B171" s="3">
        <v>42299</v>
      </c>
      <c r="C171" s="5">
        <v>43.24</v>
      </c>
      <c r="D171" s="5">
        <v>42.44</v>
      </c>
      <c r="E171" s="5">
        <v>43.85</v>
      </c>
      <c r="F171" s="5">
        <v>42.41</v>
      </c>
      <c r="G171" s="18" t="s">
        <v>1264</v>
      </c>
      <c r="H171" s="2">
        <v>2.4899999999999999E-2</v>
      </c>
      <c r="I171" s="16">
        <f t="shared" si="13"/>
        <v>2.4887414079165782E-2</v>
      </c>
      <c r="J171" s="16">
        <f t="shared" si="14"/>
        <v>1.0248874140791657</v>
      </c>
      <c r="K171" s="16">
        <f t="shared" si="15"/>
        <v>41.176315789473676</v>
      </c>
      <c r="L171" s="16">
        <f t="shared" si="11"/>
        <v>40.008775510204082</v>
      </c>
      <c r="M171" s="25" t="str">
        <f t="shared" si="12"/>
        <v>HOLD</v>
      </c>
    </row>
    <row r="172" spans="2:13">
      <c r="B172" s="3">
        <v>42300</v>
      </c>
      <c r="C172" s="5">
        <v>42.79</v>
      </c>
      <c r="D172" s="5">
        <v>43.31</v>
      </c>
      <c r="E172" s="5">
        <v>43.31</v>
      </c>
      <c r="F172" s="5">
        <v>42.75</v>
      </c>
      <c r="G172" s="18" t="s">
        <v>1263</v>
      </c>
      <c r="H172" s="2">
        <v>-1.04E-2</v>
      </c>
      <c r="I172" s="16">
        <f t="shared" si="13"/>
        <v>-1.0407030527289612E-2</v>
      </c>
      <c r="J172" s="16">
        <f t="shared" si="14"/>
        <v>0.98959296947271036</v>
      </c>
      <c r="K172" s="16">
        <f t="shared" si="15"/>
        <v>41.366842105263146</v>
      </c>
      <c r="L172" s="16">
        <f t="shared" si="11"/>
        <v>40.052448979591837</v>
      </c>
      <c r="M172" s="25" t="str">
        <f t="shared" si="12"/>
        <v>HOLD</v>
      </c>
    </row>
    <row r="173" spans="2:13">
      <c r="B173" s="3">
        <v>42303</v>
      </c>
      <c r="C173" s="5">
        <v>42.59</v>
      </c>
      <c r="D173" s="5">
        <v>42.76</v>
      </c>
      <c r="E173" s="5">
        <v>42.89</v>
      </c>
      <c r="F173" s="5">
        <v>42.46</v>
      </c>
      <c r="G173" s="18" t="s">
        <v>1262</v>
      </c>
      <c r="H173" s="2">
        <v>-4.7000000000000002E-3</v>
      </c>
      <c r="I173" s="16">
        <f t="shared" si="13"/>
        <v>-4.6739892498246262E-3</v>
      </c>
      <c r="J173" s="16">
        <f t="shared" si="14"/>
        <v>0.99532601075017535</v>
      </c>
      <c r="K173" s="16">
        <f t="shared" si="15"/>
        <v>41.53842105263157</v>
      </c>
      <c r="L173" s="16">
        <f t="shared" si="11"/>
        <v>40.083877551020407</v>
      </c>
      <c r="M173" s="25" t="str">
        <f t="shared" si="12"/>
        <v>HOLD</v>
      </c>
    </row>
    <row r="174" spans="2:13">
      <c r="B174" s="3">
        <v>42304</v>
      </c>
      <c r="C174" s="5">
        <v>42.61</v>
      </c>
      <c r="D174" s="5">
        <v>42.5</v>
      </c>
      <c r="E174" s="5">
        <v>42.77</v>
      </c>
      <c r="F174" s="5">
        <v>42.48</v>
      </c>
      <c r="G174" s="18" t="s">
        <v>1261</v>
      </c>
      <c r="H174" s="2">
        <v>5.0000000000000001E-4</v>
      </c>
      <c r="I174" s="16">
        <f t="shared" si="13"/>
        <v>4.6959380136172858E-4</v>
      </c>
      <c r="J174" s="16">
        <f t="shared" si="14"/>
        <v>1.0004695938013617</v>
      </c>
      <c r="K174" s="16">
        <f t="shared" si="15"/>
        <v>41.692631578947363</v>
      </c>
      <c r="L174" s="16">
        <f t="shared" si="11"/>
        <v>40.109183673469389</v>
      </c>
      <c r="M174" s="25" t="str">
        <f t="shared" si="12"/>
        <v>HOLD</v>
      </c>
    </row>
    <row r="175" spans="2:13">
      <c r="B175" s="3">
        <v>42305</v>
      </c>
      <c r="C175" s="5">
        <v>42.73</v>
      </c>
      <c r="D175" s="5">
        <v>42.75</v>
      </c>
      <c r="E175" s="5">
        <v>42.84</v>
      </c>
      <c r="F175" s="5">
        <v>42.21</v>
      </c>
      <c r="G175" s="18" t="s">
        <v>214</v>
      </c>
      <c r="H175" s="2">
        <v>2.8E-3</v>
      </c>
      <c r="I175" s="16">
        <f t="shared" si="13"/>
        <v>2.816240319173843E-3</v>
      </c>
      <c r="J175" s="16">
        <f t="shared" si="14"/>
        <v>1.0028162403191738</v>
      </c>
      <c r="K175" s="16">
        <f t="shared" si="15"/>
        <v>41.823684210526309</v>
      </c>
      <c r="L175" s="16">
        <f t="shared" si="11"/>
        <v>40.135918367346939</v>
      </c>
      <c r="M175" s="25" t="str">
        <f t="shared" si="12"/>
        <v>HOLD</v>
      </c>
    </row>
    <row r="176" spans="2:13">
      <c r="B176" s="3">
        <v>42306</v>
      </c>
      <c r="C176" s="5">
        <v>42.79</v>
      </c>
      <c r="D176" s="5">
        <v>42.66</v>
      </c>
      <c r="E176" s="5">
        <v>42.9</v>
      </c>
      <c r="F176" s="5">
        <v>42.34</v>
      </c>
      <c r="G176" s="18" t="s">
        <v>933</v>
      </c>
      <c r="H176" s="2">
        <v>1.4E-3</v>
      </c>
      <c r="I176" s="16">
        <f t="shared" si="13"/>
        <v>1.4041656915516564E-3</v>
      </c>
      <c r="J176" s="16">
        <f t="shared" si="14"/>
        <v>1.0014041656915516</v>
      </c>
      <c r="K176" s="16">
        <f t="shared" si="15"/>
        <v>41.977894736842103</v>
      </c>
      <c r="L176" s="16">
        <f t="shared" si="11"/>
        <v>40.175714285714285</v>
      </c>
      <c r="M176" s="25" t="str">
        <f t="shared" si="12"/>
        <v>HOLD</v>
      </c>
    </row>
    <row r="177" spans="2:13">
      <c r="B177" s="3">
        <v>42307</v>
      </c>
      <c r="C177" s="5">
        <v>42.35</v>
      </c>
      <c r="D177" s="5">
        <v>42.8</v>
      </c>
      <c r="E177" s="5">
        <v>42.86</v>
      </c>
      <c r="F177" s="5">
        <v>42.35</v>
      </c>
      <c r="G177" s="18" t="s">
        <v>556</v>
      </c>
      <c r="H177" s="2">
        <v>-1.03E-2</v>
      </c>
      <c r="I177" s="16">
        <f t="shared" si="13"/>
        <v>-1.0282776349614343E-2</v>
      </c>
      <c r="J177" s="16">
        <f t="shared" si="14"/>
        <v>0.98971722365038561</v>
      </c>
      <c r="K177" s="16">
        <f t="shared" si="15"/>
        <v>42.104210526315789</v>
      </c>
      <c r="L177" s="16">
        <f t="shared" si="11"/>
        <v>40.221428571428568</v>
      </c>
      <c r="M177" s="25" t="str">
        <f t="shared" si="12"/>
        <v>HOLD</v>
      </c>
    </row>
    <row r="178" spans="2:13">
      <c r="B178" s="3">
        <v>42310</v>
      </c>
      <c r="C178" s="5">
        <v>42.24</v>
      </c>
      <c r="D178" s="5">
        <v>42.32</v>
      </c>
      <c r="E178" s="5">
        <v>42.36</v>
      </c>
      <c r="F178" s="5">
        <v>41.9</v>
      </c>
      <c r="G178" s="18" t="s">
        <v>74</v>
      </c>
      <c r="H178" s="2">
        <v>-2.5999999999999999E-3</v>
      </c>
      <c r="I178" s="16">
        <f t="shared" si="13"/>
        <v>-2.597402597402584E-3</v>
      </c>
      <c r="J178" s="16">
        <f t="shared" si="14"/>
        <v>0.9974025974025974</v>
      </c>
      <c r="K178" s="16">
        <f t="shared" si="15"/>
        <v>42.174736842105268</v>
      </c>
      <c r="L178" s="16">
        <f t="shared" si="11"/>
        <v>40.27897959183673</v>
      </c>
      <c r="M178" s="25" t="str">
        <f t="shared" si="12"/>
        <v>HOLD</v>
      </c>
    </row>
    <row r="179" spans="2:13">
      <c r="B179" s="3">
        <v>42311</v>
      </c>
      <c r="C179" s="5">
        <v>42.16</v>
      </c>
      <c r="D179" s="5">
        <v>42.18</v>
      </c>
      <c r="E179" s="5">
        <v>42.32</v>
      </c>
      <c r="F179" s="5">
        <v>41.81</v>
      </c>
      <c r="G179" s="18" t="s">
        <v>369</v>
      </c>
      <c r="H179" s="2">
        <v>-1.9E-3</v>
      </c>
      <c r="I179" s="16">
        <f t="shared" si="13"/>
        <v>-1.8939393939395217E-3</v>
      </c>
      <c r="J179" s="16">
        <f t="shared" si="14"/>
        <v>0.99810606060606044</v>
      </c>
      <c r="K179" s="16">
        <f t="shared" si="15"/>
        <v>42.242105263157903</v>
      </c>
      <c r="L179" s="16">
        <f t="shared" si="11"/>
        <v>40.357755102040812</v>
      </c>
      <c r="M179" s="25" t="str">
        <f t="shared" si="12"/>
        <v>HOLD</v>
      </c>
    </row>
    <row r="180" spans="2:13">
      <c r="B180" s="3">
        <v>42312</v>
      </c>
      <c r="C180" s="5">
        <v>41.97</v>
      </c>
      <c r="D180" s="5">
        <v>42.27</v>
      </c>
      <c r="E180" s="5">
        <v>42.39</v>
      </c>
      <c r="F180" s="5">
        <v>41.89</v>
      </c>
      <c r="G180" s="18" t="s">
        <v>265</v>
      </c>
      <c r="H180" s="2">
        <v>-4.4999999999999997E-3</v>
      </c>
      <c r="I180" s="16">
        <f t="shared" si="13"/>
        <v>-4.5066413662238555E-3</v>
      </c>
      <c r="J180" s="16">
        <f t="shared" si="14"/>
        <v>0.99549335863377619</v>
      </c>
      <c r="K180" s="16">
        <f t="shared" si="15"/>
        <v>42.275789473684213</v>
      </c>
      <c r="L180" s="16">
        <f t="shared" si="11"/>
        <v>40.442857142857143</v>
      </c>
      <c r="M180" s="25" t="str">
        <f t="shared" si="12"/>
        <v>HOLD</v>
      </c>
    </row>
    <row r="181" spans="2:13">
      <c r="B181" s="3">
        <v>42313</v>
      </c>
      <c r="C181" s="5">
        <v>42.33</v>
      </c>
      <c r="D181" s="5">
        <v>42</v>
      </c>
      <c r="E181" s="5">
        <v>42.35</v>
      </c>
      <c r="F181" s="5">
        <v>41.98</v>
      </c>
      <c r="G181" s="18" t="s">
        <v>180</v>
      </c>
      <c r="H181" s="2">
        <v>8.6E-3</v>
      </c>
      <c r="I181" s="16">
        <f t="shared" si="13"/>
        <v>8.5775553967119243E-3</v>
      </c>
      <c r="J181" s="16">
        <f t="shared" si="14"/>
        <v>1.008577555396712</v>
      </c>
      <c r="K181" s="16">
        <f t="shared" si="15"/>
        <v>42.275263157894742</v>
      </c>
      <c r="L181" s="16">
        <f t="shared" si="11"/>
        <v>40.508979591836734</v>
      </c>
      <c r="M181" s="25" t="str">
        <f t="shared" si="12"/>
        <v>HOLD</v>
      </c>
    </row>
    <row r="182" spans="2:13">
      <c r="B182" s="3">
        <v>42314</v>
      </c>
      <c r="C182" s="5">
        <v>41.96</v>
      </c>
      <c r="D182" s="5">
        <v>41.97</v>
      </c>
      <c r="E182" s="5">
        <v>42.22</v>
      </c>
      <c r="F182" s="5">
        <v>41.61</v>
      </c>
      <c r="G182" s="18" t="s">
        <v>158</v>
      </c>
      <c r="H182" s="2">
        <v>-8.6999999999999994E-3</v>
      </c>
      <c r="I182" s="16">
        <f t="shared" si="13"/>
        <v>-8.7408457358846559E-3</v>
      </c>
      <c r="J182" s="16">
        <f t="shared" si="14"/>
        <v>0.99125915426411537</v>
      </c>
      <c r="K182" s="16">
        <f t="shared" si="15"/>
        <v>42.291578947368428</v>
      </c>
      <c r="L182" s="16">
        <f t="shared" si="11"/>
        <v>40.571428571428569</v>
      </c>
      <c r="M182" s="25" t="str">
        <f t="shared" si="12"/>
        <v>HOLD</v>
      </c>
    </row>
    <row r="183" spans="2:13">
      <c r="B183" s="3">
        <v>42317</v>
      </c>
      <c r="C183" s="5">
        <v>41.54</v>
      </c>
      <c r="D183" s="5">
        <v>41.7</v>
      </c>
      <c r="E183" s="5">
        <v>41.79</v>
      </c>
      <c r="F183" s="5">
        <v>41.34</v>
      </c>
      <c r="G183" s="18" t="s">
        <v>528</v>
      </c>
      <c r="H183" s="2">
        <v>-0.01</v>
      </c>
      <c r="I183" s="16">
        <f t="shared" si="13"/>
        <v>-1.0009532888465246E-2</v>
      </c>
      <c r="J183" s="16">
        <f t="shared" si="14"/>
        <v>0.98999046711153471</v>
      </c>
      <c r="K183" s="16">
        <f t="shared" si="15"/>
        <v>42.289473684210535</v>
      </c>
      <c r="L183" s="16">
        <f t="shared" si="11"/>
        <v>40.62265306122449</v>
      </c>
      <c r="M183" s="25" t="str">
        <f t="shared" si="12"/>
        <v>HOLD</v>
      </c>
    </row>
    <row r="184" spans="2:13">
      <c r="B184" s="3">
        <v>42318</v>
      </c>
      <c r="C184" s="5">
        <v>41.77</v>
      </c>
      <c r="D184" s="5">
        <v>41.44</v>
      </c>
      <c r="E184" s="5">
        <v>41.81</v>
      </c>
      <c r="F184" s="5">
        <v>41.43</v>
      </c>
      <c r="G184" s="18" t="s">
        <v>1097</v>
      </c>
      <c r="H184" s="2">
        <v>5.4999999999999997E-3</v>
      </c>
      <c r="I184" s="16">
        <f t="shared" si="13"/>
        <v>5.536831969186422E-3</v>
      </c>
      <c r="J184" s="16">
        <f t="shared" si="14"/>
        <v>1.0055368319691864</v>
      </c>
      <c r="K184" s="16">
        <f t="shared" si="15"/>
        <v>42.283684210526324</v>
      </c>
      <c r="L184" s="16">
        <f t="shared" si="11"/>
        <v>40.667959183673467</v>
      </c>
      <c r="M184" s="25" t="str">
        <f t="shared" si="12"/>
        <v>HOLD</v>
      </c>
    </row>
    <row r="185" spans="2:13">
      <c r="B185" s="3">
        <v>42319</v>
      </c>
      <c r="C185" s="5">
        <v>42.04</v>
      </c>
      <c r="D185" s="5">
        <v>41.94</v>
      </c>
      <c r="E185" s="5">
        <v>42.2</v>
      </c>
      <c r="F185" s="5">
        <v>41.92</v>
      </c>
      <c r="G185" s="18" t="s">
        <v>815</v>
      </c>
      <c r="H185" s="2">
        <v>6.4999999999999997E-3</v>
      </c>
      <c r="I185" s="16">
        <f t="shared" si="13"/>
        <v>6.4639693559970313E-3</v>
      </c>
      <c r="J185" s="16">
        <f t="shared" si="14"/>
        <v>1.0064639693559971</v>
      </c>
      <c r="K185" s="16">
        <f t="shared" si="15"/>
        <v>42.288421052631577</v>
      </c>
      <c r="L185" s="16">
        <f t="shared" ref="L185:L248" si="16">AVERAGE(C136:C184)</f>
        <v>40.729591836734691</v>
      </c>
      <c r="M185" s="25" t="str">
        <f t="shared" ref="M185:M248" si="17">IF(AND(K185&gt;L185,K184&lt;=L184),"BUY",IF(AND(K185&lt;L185,K184&gt;=L184),"SELL","HOLD"))</f>
        <v>HOLD</v>
      </c>
    </row>
    <row r="186" spans="2:13">
      <c r="B186" s="3">
        <v>42320</v>
      </c>
      <c r="C186" s="5">
        <v>41.58</v>
      </c>
      <c r="D186" s="5">
        <v>42.01</v>
      </c>
      <c r="E186" s="5">
        <v>42.05</v>
      </c>
      <c r="F186" s="5">
        <v>41.57</v>
      </c>
      <c r="G186" s="18" t="s">
        <v>115</v>
      </c>
      <c r="H186" s="2">
        <v>-1.09E-2</v>
      </c>
      <c r="I186" s="16">
        <f t="shared" si="13"/>
        <v>-1.0941960038059011E-2</v>
      </c>
      <c r="J186" s="16">
        <f t="shared" si="14"/>
        <v>0.98905803996194097</v>
      </c>
      <c r="K186" s="16">
        <f t="shared" si="15"/>
        <v>42.294736842105273</v>
      </c>
      <c r="L186" s="16">
        <f t="shared" si="16"/>
        <v>40.793673469387755</v>
      </c>
      <c r="M186" s="25" t="str">
        <f t="shared" si="17"/>
        <v>HOLD</v>
      </c>
    </row>
    <row r="187" spans="2:13">
      <c r="B187" s="3">
        <v>42321</v>
      </c>
      <c r="C187" s="5">
        <v>41.38</v>
      </c>
      <c r="D187" s="5">
        <v>41.46</v>
      </c>
      <c r="E187" s="5">
        <v>41.78</v>
      </c>
      <c r="F187" s="5">
        <v>41.36</v>
      </c>
      <c r="G187" s="18" t="s">
        <v>1260</v>
      </c>
      <c r="H187" s="2">
        <v>-4.7999999999999996E-3</v>
      </c>
      <c r="I187" s="16">
        <f t="shared" si="13"/>
        <v>-4.8100048100047079E-3</v>
      </c>
      <c r="J187" s="16">
        <f t="shared" si="14"/>
        <v>0.99518999518999529</v>
      </c>
      <c r="K187" s="16">
        <f t="shared" si="15"/>
        <v>42.271578947368425</v>
      </c>
      <c r="L187" s="16">
        <f t="shared" si="16"/>
        <v>40.843061224489787</v>
      </c>
      <c r="M187" s="25" t="str">
        <f t="shared" si="17"/>
        <v>HOLD</v>
      </c>
    </row>
    <row r="188" spans="2:13">
      <c r="B188" s="3">
        <v>42324</v>
      </c>
      <c r="C188" s="5">
        <v>41.96</v>
      </c>
      <c r="D188" s="5">
        <v>41.43</v>
      </c>
      <c r="E188" s="5">
        <v>42</v>
      </c>
      <c r="F188" s="5">
        <v>41.39</v>
      </c>
      <c r="G188" s="18" t="s">
        <v>160</v>
      </c>
      <c r="H188" s="2">
        <v>1.4E-2</v>
      </c>
      <c r="I188" s="16">
        <f t="shared" si="13"/>
        <v>1.4016433059448967E-2</v>
      </c>
      <c r="J188" s="16">
        <f t="shared" si="14"/>
        <v>1.014016433059449</v>
      </c>
      <c r="K188" s="16">
        <f t="shared" si="15"/>
        <v>42.23947368421053</v>
      </c>
      <c r="L188" s="16">
        <f t="shared" si="16"/>
        <v>40.901428571428568</v>
      </c>
      <c r="M188" s="25" t="str">
        <f t="shared" si="17"/>
        <v>HOLD</v>
      </c>
    </row>
    <row r="189" spans="2:13">
      <c r="B189" s="3">
        <v>42325</v>
      </c>
      <c r="C189" s="5">
        <v>41.67</v>
      </c>
      <c r="D189" s="5">
        <v>41.85</v>
      </c>
      <c r="E189" s="5">
        <v>42.15</v>
      </c>
      <c r="F189" s="5">
        <v>41.51</v>
      </c>
      <c r="G189" s="18" t="s">
        <v>754</v>
      </c>
      <c r="H189" s="2">
        <v>-6.8999999999999999E-3</v>
      </c>
      <c r="I189" s="16">
        <f t="shared" si="13"/>
        <v>-6.9113441372735734E-3</v>
      </c>
      <c r="J189" s="16">
        <f t="shared" si="14"/>
        <v>0.99308865586272643</v>
      </c>
      <c r="K189" s="16">
        <f t="shared" si="15"/>
        <v>42.222105263157893</v>
      </c>
      <c r="L189" s="16">
        <f t="shared" si="16"/>
        <v>40.963877551020403</v>
      </c>
      <c r="M189" s="25" t="str">
        <f t="shared" si="17"/>
        <v>HOLD</v>
      </c>
    </row>
    <row r="190" spans="2:13">
      <c r="B190" s="3">
        <v>42326</v>
      </c>
      <c r="C190" s="5">
        <v>42.28</v>
      </c>
      <c r="D190" s="5">
        <v>41.77</v>
      </c>
      <c r="E190" s="5">
        <v>42.35</v>
      </c>
      <c r="F190" s="5">
        <v>41.68</v>
      </c>
      <c r="G190" s="18" t="s">
        <v>116</v>
      </c>
      <c r="H190" s="2">
        <v>1.46E-2</v>
      </c>
      <c r="I190" s="16">
        <f t="shared" si="13"/>
        <v>1.4638828893688491E-2</v>
      </c>
      <c r="J190" s="16">
        <f t="shared" si="14"/>
        <v>1.0146388288936885</v>
      </c>
      <c r="K190" s="16">
        <f t="shared" si="15"/>
        <v>42.194736842105257</v>
      </c>
      <c r="L190" s="16">
        <f t="shared" si="16"/>
        <v>41.032653061224487</v>
      </c>
      <c r="M190" s="25" t="str">
        <f t="shared" si="17"/>
        <v>HOLD</v>
      </c>
    </row>
    <row r="191" spans="2:13">
      <c r="B191" s="3">
        <v>42327</v>
      </c>
      <c r="C191" s="5">
        <v>43.11</v>
      </c>
      <c r="D191" s="5">
        <v>42.32</v>
      </c>
      <c r="E191" s="5">
        <v>43.3</v>
      </c>
      <c r="F191" s="5">
        <v>42.32</v>
      </c>
      <c r="G191" s="18" t="s">
        <v>1259</v>
      </c>
      <c r="H191" s="2">
        <v>1.9599999999999999E-2</v>
      </c>
      <c r="I191" s="16">
        <f t="shared" si="13"/>
        <v>1.9631031220435153E-2</v>
      </c>
      <c r="J191" s="16">
        <f t="shared" si="14"/>
        <v>1.0196310312204351</v>
      </c>
      <c r="K191" s="16">
        <f t="shared" si="15"/>
        <v>42.144210526315788</v>
      </c>
      <c r="L191" s="16">
        <f t="shared" si="16"/>
        <v>41.111428571428561</v>
      </c>
      <c r="M191" s="25" t="str">
        <f t="shared" si="17"/>
        <v>HOLD</v>
      </c>
    </row>
    <row r="192" spans="2:13">
      <c r="B192" s="3">
        <v>42328</v>
      </c>
      <c r="C192" s="5">
        <v>42.43</v>
      </c>
      <c r="D192" s="5">
        <v>43.31</v>
      </c>
      <c r="E192" s="5">
        <v>43.58</v>
      </c>
      <c r="F192" s="5">
        <v>42.4</v>
      </c>
      <c r="G192" s="18" t="s">
        <v>568</v>
      </c>
      <c r="H192" s="2">
        <v>-1.5800000000000002E-2</v>
      </c>
      <c r="I192" s="16">
        <f t="shared" si="13"/>
        <v>-1.5773602412433304E-2</v>
      </c>
      <c r="J192" s="16">
        <f t="shared" si="14"/>
        <v>0.98422639758756669</v>
      </c>
      <c r="K192" s="16">
        <f t="shared" si="15"/>
        <v>42.161052631578947</v>
      </c>
      <c r="L192" s="16">
        <f t="shared" si="16"/>
        <v>41.213061224489785</v>
      </c>
      <c r="M192" s="25" t="str">
        <f t="shared" si="17"/>
        <v>HOLD</v>
      </c>
    </row>
    <row r="193" spans="2:13">
      <c r="B193" s="3">
        <v>42331</v>
      </c>
      <c r="C193" s="5">
        <v>42.96</v>
      </c>
      <c r="D193" s="5">
        <v>42.55</v>
      </c>
      <c r="E193" s="5">
        <v>43.18</v>
      </c>
      <c r="F193" s="5">
        <v>42.53</v>
      </c>
      <c r="G193" s="18" t="s">
        <v>931</v>
      </c>
      <c r="H193" s="2">
        <v>1.2500000000000001E-2</v>
      </c>
      <c r="I193" s="16">
        <f t="shared" si="13"/>
        <v>1.2491161913740305E-2</v>
      </c>
      <c r="J193" s="16">
        <f t="shared" si="14"/>
        <v>1.0124911619137402</v>
      </c>
      <c r="K193" s="16">
        <f t="shared" si="15"/>
        <v>42.152631578947364</v>
      </c>
      <c r="L193" s="16">
        <f t="shared" si="16"/>
        <v>41.301428571428566</v>
      </c>
      <c r="M193" s="25" t="str">
        <f t="shared" si="17"/>
        <v>HOLD</v>
      </c>
    </row>
    <row r="194" spans="2:13">
      <c r="B194" s="3">
        <v>42332</v>
      </c>
      <c r="C194" s="5">
        <v>43.36</v>
      </c>
      <c r="D194" s="5">
        <v>42.7</v>
      </c>
      <c r="E194" s="5">
        <v>43.6</v>
      </c>
      <c r="F194" s="5">
        <v>42.66</v>
      </c>
      <c r="G194" s="18" t="s">
        <v>1258</v>
      </c>
      <c r="H194" s="2">
        <v>9.2999999999999992E-3</v>
      </c>
      <c r="I194" s="16">
        <f t="shared" si="13"/>
        <v>9.3109869646182154E-3</v>
      </c>
      <c r="J194" s="16">
        <f t="shared" si="14"/>
        <v>1.0093109869646182</v>
      </c>
      <c r="K194" s="16">
        <f t="shared" si="15"/>
        <v>42.171052631578945</v>
      </c>
      <c r="L194" s="16">
        <f t="shared" si="16"/>
        <v>41.392448979591826</v>
      </c>
      <c r="M194" s="25" t="str">
        <f t="shared" si="17"/>
        <v>HOLD</v>
      </c>
    </row>
    <row r="195" spans="2:13">
      <c r="B195" s="3">
        <v>42333</v>
      </c>
      <c r="C195" s="5">
        <v>43.36</v>
      </c>
      <c r="D195" s="5">
        <v>43.32</v>
      </c>
      <c r="E195" s="5">
        <v>43.5</v>
      </c>
      <c r="F195" s="5">
        <v>43.24</v>
      </c>
      <c r="G195" s="18" t="s">
        <v>238</v>
      </c>
      <c r="H195" s="2">
        <v>0</v>
      </c>
      <c r="I195" s="16">
        <f t="shared" si="13"/>
        <v>0</v>
      </c>
      <c r="J195" s="16">
        <f t="shared" si="14"/>
        <v>1</v>
      </c>
      <c r="K195" s="16">
        <f t="shared" si="15"/>
        <v>42.204210526315784</v>
      </c>
      <c r="L195" s="16">
        <f t="shared" si="16"/>
        <v>41.478367346938768</v>
      </c>
      <c r="M195" s="25" t="str">
        <f t="shared" si="17"/>
        <v>HOLD</v>
      </c>
    </row>
    <row r="196" spans="2:13">
      <c r="B196" s="3">
        <v>42335</v>
      </c>
      <c r="C196" s="5">
        <v>43.15</v>
      </c>
      <c r="D196" s="5">
        <v>43.04</v>
      </c>
      <c r="E196" s="5">
        <v>43.24</v>
      </c>
      <c r="F196" s="5">
        <v>42.8</v>
      </c>
      <c r="G196" s="18" t="s">
        <v>400</v>
      </c>
      <c r="H196" s="2">
        <v>-4.7999999999999996E-3</v>
      </c>
      <c r="I196" s="16">
        <f t="shared" si="13"/>
        <v>-4.8431734317343367E-3</v>
      </c>
      <c r="J196" s="16">
        <f t="shared" si="14"/>
        <v>0.99515682656826565</v>
      </c>
      <c r="K196" s="16">
        <f t="shared" si="15"/>
        <v>42.234210526315785</v>
      </c>
      <c r="L196" s="16">
        <f t="shared" si="16"/>
        <v>41.559591836734683</v>
      </c>
      <c r="M196" s="25" t="str">
        <f t="shared" si="17"/>
        <v>HOLD</v>
      </c>
    </row>
    <row r="197" spans="2:13">
      <c r="B197" s="3">
        <v>42338</v>
      </c>
      <c r="C197" s="5">
        <v>42.62</v>
      </c>
      <c r="D197" s="5">
        <v>43.12</v>
      </c>
      <c r="E197" s="5">
        <v>43.15</v>
      </c>
      <c r="F197" s="5">
        <v>42.6</v>
      </c>
      <c r="G197" s="18" t="s">
        <v>709</v>
      </c>
      <c r="H197" s="2">
        <v>-1.23E-2</v>
      </c>
      <c r="I197" s="16">
        <f t="shared" si="13"/>
        <v>-1.2282734646581719E-2</v>
      </c>
      <c r="J197" s="16">
        <f t="shared" si="14"/>
        <v>0.98771726535341831</v>
      </c>
      <c r="K197" s="16">
        <f t="shared" si="15"/>
        <v>42.276315789473685</v>
      </c>
      <c r="L197" s="16">
        <f t="shared" si="16"/>
        <v>41.644693877551006</v>
      </c>
      <c r="M197" s="25" t="str">
        <f t="shared" si="17"/>
        <v>HOLD</v>
      </c>
    </row>
    <row r="198" spans="2:13">
      <c r="B198" s="3">
        <v>42339</v>
      </c>
      <c r="C198" s="5">
        <v>42.89</v>
      </c>
      <c r="D198" s="5">
        <v>42.73</v>
      </c>
      <c r="E198" s="5">
        <v>43.1</v>
      </c>
      <c r="F198" s="5">
        <v>42.73</v>
      </c>
      <c r="G198" s="18" t="s">
        <v>361</v>
      </c>
      <c r="H198" s="2">
        <v>6.3E-3</v>
      </c>
      <c r="I198" s="16">
        <f t="shared" si="13"/>
        <v>6.3350539652745931E-3</v>
      </c>
      <c r="J198" s="16">
        <f t="shared" si="14"/>
        <v>1.0063350539652747</v>
      </c>
      <c r="K198" s="16">
        <f t="shared" si="15"/>
        <v>42.296315789473681</v>
      </c>
      <c r="L198" s="16">
        <f t="shared" si="16"/>
        <v>41.714693877551007</v>
      </c>
      <c r="M198" s="25" t="str">
        <f t="shared" si="17"/>
        <v>HOLD</v>
      </c>
    </row>
    <row r="199" spans="2:13">
      <c r="B199" s="3">
        <v>42340</v>
      </c>
      <c r="C199" s="5">
        <v>42.77</v>
      </c>
      <c r="D199" s="5">
        <v>42.83</v>
      </c>
      <c r="E199" s="5">
        <v>42.93</v>
      </c>
      <c r="F199" s="5">
        <v>42.59</v>
      </c>
      <c r="G199" s="18" t="s">
        <v>368</v>
      </c>
      <c r="H199" s="2">
        <v>-2.8E-3</v>
      </c>
      <c r="I199" s="16">
        <f t="shared" si="13"/>
        <v>-2.797854977850255E-3</v>
      </c>
      <c r="J199" s="16">
        <f t="shared" si="14"/>
        <v>0.99720214502214977</v>
      </c>
      <c r="K199" s="16">
        <f t="shared" si="15"/>
        <v>42.334736842105265</v>
      </c>
      <c r="L199" s="16">
        <f t="shared" si="16"/>
        <v>41.798367346938761</v>
      </c>
      <c r="M199" s="25" t="str">
        <f t="shared" si="17"/>
        <v>HOLD</v>
      </c>
    </row>
    <row r="200" spans="2:13">
      <c r="B200" s="3">
        <v>42341</v>
      </c>
      <c r="C200" s="5">
        <v>42.46</v>
      </c>
      <c r="D200" s="5">
        <v>42.73</v>
      </c>
      <c r="E200" s="5">
        <v>42.89</v>
      </c>
      <c r="F200" s="5">
        <v>42.32</v>
      </c>
      <c r="G200" s="18" t="s">
        <v>736</v>
      </c>
      <c r="H200" s="2">
        <v>-7.1999999999999998E-3</v>
      </c>
      <c r="I200" s="16">
        <f t="shared" si="13"/>
        <v>-7.2480710778583647E-3</v>
      </c>
      <c r="J200" s="16">
        <f t="shared" si="14"/>
        <v>0.99275192892214159</v>
      </c>
      <c r="K200" s="16">
        <f t="shared" si="15"/>
        <v>42.376842105263158</v>
      </c>
      <c r="L200" s="16">
        <f t="shared" si="16"/>
        <v>41.880204081632648</v>
      </c>
      <c r="M200" s="25" t="str">
        <f t="shared" si="17"/>
        <v>HOLD</v>
      </c>
    </row>
    <row r="201" spans="2:13">
      <c r="B201" s="3">
        <v>42342</v>
      </c>
      <c r="C201" s="5">
        <v>43.29</v>
      </c>
      <c r="D201" s="5">
        <v>42.58</v>
      </c>
      <c r="E201" s="5">
        <v>43.48</v>
      </c>
      <c r="F201" s="5">
        <v>42.58</v>
      </c>
      <c r="G201" s="18" t="s">
        <v>1032</v>
      </c>
      <c r="H201" s="2">
        <v>1.95E-2</v>
      </c>
      <c r="I201" s="16">
        <f t="shared" ref="I201:I264" si="18">(C201-C200)/C200</f>
        <v>1.9547809703250076E-2</v>
      </c>
      <c r="J201" s="16">
        <f t="shared" ref="J201:J264" si="19">C201/C200</f>
        <v>1.01954780970325</v>
      </c>
      <c r="K201" s="16">
        <f t="shared" si="15"/>
        <v>42.383684210526312</v>
      </c>
      <c r="L201" s="16">
        <f t="shared" si="16"/>
        <v>41.947755102040809</v>
      </c>
      <c r="M201" s="25" t="str">
        <f t="shared" si="17"/>
        <v>HOLD</v>
      </c>
    </row>
    <row r="202" spans="2:13">
      <c r="B202" s="3">
        <v>42345</v>
      </c>
      <c r="C202" s="5">
        <v>43.2</v>
      </c>
      <c r="D202" s="5">
        <v>43.31</v>
      </c>
      <c r="E202" s="5">
        <v>43.44</v>
      </c>
      <c r="F202" s="5">
        <v>43</v>
      </c>
      <c r="G202" s="18" t="s">
        <v>1196</v>
      </c>
      <c r="H202" s="2">
        <v>-2.0999999999999999E-3</v>
      </c>
      <c r="I202" s="16">
        <f t="shared" si="18"/>
        <v>-2.0790020790019937E-3</v>
      </c>
      <c r="J202" s="16">
        <f t="shared" si="19"/>
        <v>0.99792099792099798</v>
      </c>
      <c r="K202" s="16">
        <f t="shared" si="15"/>
        <v>42.453684210526319</v>
      </c>
      <c r="L202" s="16">
        <f t="shared" si="16"/>
        <v>42.022653061224482</v>
      </c>
      <c r="M202" s="25" t="str">
        <f t="shared" si="17"/>
        <v>HOLD</v>
      </c>
    </row>
    <row r="203" spans="2:13">
      <c r="B203" s="3">
        <v>42346</v>
      </c>
      <c r="C203" s="5">
        <v>43.01</v>
      </c>
      <c r="D203" s="5">
        <v>43.05</v>
      </c>
      <c r="E203" s="5">
        <v>43.25</v>
      </c>
      <c r="F203" s="5">
        <v>42.8</v>
      </c>
      <c r="G203" s="18" t="s">
        <v>1217</v>
      </c>
      <c r="H203" s="2">
        <v>-4.4000000000000003E-3</v>
      </c>
      <c r="I203" s="16">
        <f t="shared" si="18"/>
        <v>-4.3981481481482594E-3</v>
      </c>
      <c r="J203" s="16">
        <f t="shared" si="19"/>
        <v>0.99560185185185179</v>
      </c>
      <c r="K203" s="16">
        <f t="shared" si="15"/>
        <v>42.54105263157895</v>
      </c>
      <c r="L203" s="16">
        <f t="shared" si="16"/>
        <v>42.097551020408162</v>
      </c>
      <c r="M203" s="25" t="str">
        <f t="shared" si="17"/>
        <v>HOLD</v>
      </c>
    </row>
    <row r="204" spans="2:13">
      <c r="B204" s="3">
        <v>42347</v>
      </c>
      <c r="C204" s="5">
        <v>42.66</v>
      </c>
      <c r="D204" s="5">
        <v>42.78</v>
      </c>
      <c r="E204" s="5">
        <v>43.27</v>
      </c>
      <c r="F204" s="5">
        <v>42.5</v>
      </c>
      <c r="G204" s="18" t="s">
        <v>1011</v>
      </c>
      <c r="H204" s="2">
        <v>-8.0999999999999996E-3</v>
      </c>
      <c r="I204" s="16">
        <f t="shared" si="18"/>
        <v>-8.1376424087421864E-3</v>
      </c>
      <c r="J204" s="16">
        <f t="shared" si="19"/>
        <v>0.99186235759125785</v>
      </c>
      <c r="K204" s="16">
        <f t="shared" si="15"/>
        <v>42.606315789473683</v>
      </c>
      <c r="L204" s="16">
        <f t="shared" si="16"/>
        <v>42.16591836734694</v>
      </c>
      <c r="M204" s="25" t="str">
        <f t="shared" si="17"/>
        <v>HOLD</v>
      </c>
    </row>
    <row r="205" spans="2:13">
      <c r="B205" s="3">
        <v>42348</v>
      </c>
      <c r="C205" s="5">
        <v>42.76</v>
      </c>
      <c r="D205" s="5">
        <v>42.73</v>
      </c>
      <c r="E205" s="5">
        <v>43.07</v>
      </c>
      <c r="F205" s="5">
        <v>42.52</v>
      </c>
      <c r="G205" s="18" t="s">
        <v>366</v>
      </c>
      <c r="H205" s="2">
        <v>2.3E-3</v>
      </c>
      <c r="I205" s="16">
        <f t="shared" si="18"/>
        <v>2.3441162681669347E-3</v>
      </c>
      <c r="J205" s="16">
        <f t="shared" si="19"/>
        <v>1.002344116268167</v>
      </c>
      <c r="K205" s="16">
        <f t="shared" si="15"/>
        <v>42.63894736842105</v>
      </c>
      <c r="L205" s="16">
        <f t="shared" si="16"/>
        <v>42.217755102040812</v>
      </c>
      <c r="M205" s="25" t="str">
        <f t="shared" si="17"/>
        <v>HOLD</v>
      </c>
    </row>
    <row r="206" spans="2:13">
      <c r="B206" s="3">
        <v>42349</v>
      </c>
      <c r="C206" s="5">
        <v>42.27</v>
      </c>
      <c r="D206" s="5">
        <v>42.63</v>
      </c>
      <c r="E206" s="5">
        <v>42.83</v>
      </c>
      <c r="F206" s="5">
        <v>42.14</v>
      </c>
      <c r="G206" s="18" t="s">
        <v>1257</v>
      </c>
      <c r="H206" s="2">
        <v>-1.15E-2</v>
      </c>
      <c r="I206" s="16">
        <f t="shared" si="18"/>
        <v>-1.145930776426555E-2</v>
      </c>
      <c r="J206" s="16">
        <f t="shared" si="19"/>
        <v>0.98854069223573449</v>
      </c>
      <c r="K206" s="16">
        <f t="shared" si="15"/>
        <v>42.701052631578953</v>
      </c>
      <c r="L206" s="16">
        <f t="shared" si="16"/>
        <v>42.278163265306127</v>
      </c>
      <c r="M206" s="25" t="str">
        <f t="shared" si="17"/>
        <v>HOLD</v>
      </c>
    </row>
    <row r="207" spans="2:13">
      <c r="B207" s="3">
        <v>42352</v>
      </c>
      <c r="C207" s="5">
        <v>42.45</v>
      </c>
      <c r="D207" s="5">
        <v>42.31</v>
      </c>
      <c r="E207" s="5">
        <v>42.76</v>
      </c>
      <c r="F207" s="5">
        <v>41.97</v>
      </c>
      <c r="G207" s="18" t="s">
        <v>1256</v>
      </c>
      <c r="H207" s="2">
        <v>4.3E-3</v>
      </c>
      <c r="I207" s="16">
        <f t="shared" si="18"/>
        <v>4.2583392476933926E-3</v>
      </c>
      <c r="J207" s="16">
        <f t="shared" si="19"/>
        <v>1.0042583392476934</v>
      </c>
      <c r="K207" s="16">
        <f t="shared" si="15"/>
        <v>42.747894736842099</v>
      </c>
      <c r="L207" s="16">
        <f t="shared" si="16"/>
        <v>42.316530612244904</v>
      </c>
      <c r="M207" s="25" t="str">
        <f t="shared" si="17"/>
        <v>HOLD</v>
      </c>
    </row>
    <row r="208" spans="2:13">
      <c r="B208" s="3">
        <v>42353</v>
      </c>
      <c r="C208" s="5">
        <v>43.07</v>
      </c>
      <c r="D208" s="5">
        <v>42.84</v>
      </c>
      <c r="E208" s="5">
        <v>43.24</v>
      </c>
      <c r="F208" s="5">
        <v>42.76</v>
      </c>
      <c r="G208" s="18" t="s">
        <v>43</v>
      </c>
      <c r="H208" s="2">
        <v>1.46E-2</v>
      </c>
      <c r="I208" s="16">
        <f t="shared" si="18"/>
        <v>1.4605418138986982E-2</v>
      </c>
      <c r="J208" s="16">
        <f t="shared" si="19"/>
        <v>1.014605418138987</v>
      </c>
      <c r="K208" s="16">
        <f t="shared" si="15"/>
        <v>42.773684210526312</v>
      </c>
      <c r="L208" s="16">
        <f t="shared" si="16"/>
        <v>42.345918367346947</v>
      </c>
      <c r="M208" s="25" t="str">
        <f t="shared" si="17"/>
        <v>HOLD</v>
      </c>
    </row>
    <row r="209" spans="2:13">
      <c r="B209" s="3">
        <v>42354</v>
      </c>
      <c r="C209" s="5">
        <v>43.84</v>
      </c>
      <c r="D209" s="5">
        <v>43.25</v>
      </c>
      <c r="E209" s="5">
        <v>43.91</v>
      </c>
      <c r="F209" s="5">
        <v>43.25</v>
      </c>
      <c r="G209" s="18" t="s">
        <v>1255</v>
      </c>
      <c r="H209" s="2">
        <v>1.7899999999999999E-2</v>
      </c>
      <c r="I209" s="16">
        <f t="shared" si="18"/>
        <v>1.7877873229626261E-2</v>
      </c>
      <c r="J209" s="16">
        <f t="shared" si="19"/>
        <v>1.0178778732296263</v>
      </c>
      <c r="K209" s="16">
        <f t="shared" si="15"/>
        <v>42.847368421052636</v>
      </c>
      <c r="L209" s="16">
        <f t="shared" si="16"/>
        <v>42.388979591836744</v>
      </c>
      <c r="M209" s="25" t="str">
        <f t="shared" si="17"/>
        <v>HOLD</v>
      </c>
    </row>
    <row r="210" spans="2:13">
      <c r="B210" s="3">
        <v>42355</v>
      </c>
      <c r="C210" s="5">
        <v>43.49</v>
      </c>
      <c r="D210" s="5">
        <v>43.81</v>
      </c>
      <c r="E210" s="5">
        <v>43.89</v>
      </c>
      <c r="F210" s="5">
        <v>43.42</v>
      </c>
      <c r="G210" s="18" t="s">
        <v>792</v>
      </c>
      <c r="H210" s="2">
        <v>-8.0000000000000002E-3</v>
      </c>
      <c r="I210" s="16">
        <f t="shared" si="18"/>
        <v>-7.9835766423357983E-3</v>
      </c>
      <c r="J210" s="16">
        <f t="shared" si="19"/>
        <v>0.99201642335766416</v>
      </c>
      <c r="K210" s="16">
        <f t="shared" si="15"/>
        <v>42.929473684210528</v>
      </c>
      <c r="L210" s="16">
        <f t="shared" si="16"/>
        <v>42.436326530612249</v>
      </c>
      <c r="M210" s="25" t="str">
        <f t="shared" si="17"/>
        <v>HOLD</v>
      </c>
    </row>
    <row r="211" spans="2:13">
      <c r="B211" s="3">
        <v>42356</v>
      </c>
      <c r="C211" s="5">
        <v>42.5</v>
      </c>
      <c r="D211" s="5">
        <v>43.36</v>
      </c>
      <c r="E211" s="5">
        <v>43.42</v>
      </c>
      <c r="F211" s="5">
        <v>42.5</v>
      </c>
      <c r="G211" s="18" t="s">
        <v>1254</v>
      </c>
      <c r="H211" s="2">
        <v>-2.2800000000000001E-2</v>
      </c>
      <c r="I211" s="16">
        <f t="shared" si="18"/>
        <v>-2.2763853759484982E-2</v>
      </c>
      <c r="J211" s="16">
        <f t="shared" si="19"/>
        <v>0.97723614624051502</v>
      </c>
      <c r="K211" s="16">
        <f t="shared" si="15"/>
        <v>42.949473684210531</v>
      </c>
      <c r="L211" s="16">
        <f t="shared" si="16"/>
        <v>42.467142857142854</v>
      </c>
      <c r="M211" s="25" t="str">
        <f t="shared" si="17"/>
        <v>HOLD</v>
      </c>
    </row>
    <row r="212" spans="2:13">
      <c r="B212" s="3">
        <v>42359</v>
      </c>
      <c r="C212" s="5">
        <v>42.78</v>
      </c>
      <c r="D212" s="5">
        <v>42.82</v>
      </c>
      <c r="E212" s="5">
        <v>42.94</v>
      </c>
      <c r="F212" s="5">
        <v>42.46</v>
      </c>
      <c r="G212" s="18" t="s">
        <v>1039</v>
      </c>
      <c r="H212" s="2">
        <v>6.6E-3</v>
      </c>
      <c r="I212" s="16">
        <f t="shared" si="18"/>
        <v>6.5882352941176742E-3</v>
      </c>
      <c r="J212" s="16">
        <f t="shared" si="19"/>
        <v>1.0065882352941178</v>
      </c>
      <c r="K212" s="16">
        <f t="shared" si="15"/>
        <v>42.953157894736847</v>
      </c>
      <c r="L212" s="16">
        <f t="shared" si="16"/>
        <v>42.476938775510199</v>
      </c>
      <c r="M212" s="25" t="str">
        <f t="shared" si="17"/>
        <v>HOLD</v>
      </c>
    </row>
    <row r="213" spans="2:13">
      <c r="B213" s="3">
        <v>42360</v>
      </c>
      <c r="C213" s="5">
        <v>43.29</v>
      </c>
      <c r="D213" s="5">
        <v>42.86</v>
      </c>
      <c r="E213" s="5">
        <v>43.39</v>
      </c>
      <c r="F213" s="5">
        <v>42.71</v>
      </c>
      <c r="G213" s="18" t="s">
        <v>955</v>
      </c>
      <c r="H213" s="2">
        <v>1.1900000000000001E-2</v>
      </c>
      <c r="I213" s="16">
        <f t="shared" si="18"/>
        <v>1.19214586255259E-2</v>
      </c>
      <c r="J213" s="16">
        <f t="shared" si="19"/>
        <v>1.0119214586255258</v>
      </c>
      <c r="K213" s="16">
        <f t="shared" si="15"/>
        <v>42.943684210526321</v>
      </c>
      <c r="L213" s="16">
        <f t="shared" si="16"/>
        <v>42.492857142857147</v>
      </c>
      <c r="M213" s="25" t="str">
        <f t="shared" si="17"/>
        <v>HOLD</v>
      </c>
    </row>
    <row r="214" spans="2:13">
      <c r="B214" s="3">
        <v>42361</v>
      </c>
      <c r="C214" s="5">
        <v>43.67</v>
      </c>
      <c r="D214" s="5">
        <v>43.39</v>
      </c>
      <c r="E214" s="5">
        <v>43.73</v>
      </c>
      <c r="F214" s="5">
        <v>43.35</v>
      </c>
      <c r="G214" s="18" t="s">
        <v>403</v>
      </c>
      <c r="H214" s="2">
        <v>8.8000000000000005E-3</v>
      </c>
      <c r="I214" s="16">
        <f t="shared" si="18"/>
        <v>8.7780087780088365E-3</v>
      </c>
      <c r="J214" s="16">
        <f t="shared" si="19"/>
        <v>1.0087780087780089</v>
      </c>
      <c r="K214" s="16">
        <f t="shared" si="15"/>
        <v>42.94</v>
      </c>
      <c r="L214" s="16">
        <f t="shared" si="16"/>
        <v>42.526326530612245</v>
      </c>
      <c r="M214" s="25" t="str">
        <f t="shared" si="17"/>
        <v>HOLD</v>
      </c>
    </row>
    <row r="215" spans="2:13">
      <c r="B215" s="3">
        <v>42362</v>
      </c>
      <c r="C215" s="5">
        <v>43.54</v>
      </c>
      <c r="D215" s="5">
        <v>43.49</v>
      </c>
      <c r="E215" s="5">
        <v>43.72</v>
      </c>
      <c r="F215" s="5">
        <v>43.42</v>
      </c>
      <c r="G215" s="18" t="s">
        <v>1253</v>
      </c>
      <c r="H215" s="2">
        <v>-3.0000000000000001E-3</v>
      </c>
      <c r="I215" s="16">
        <f t="shared" si="18"/>
        <v>-2.9768719945042947E-3</v>
      </c>
      <c r="J215" s="16">
        <f t="shared" si="19"/>
        <v>0.99702312800549575</v>
      </c>
      <c r="K215" s="16">
        <f t="shared" si="15"/>
        <v>42.956315789473685</v>
      </c>
      <c r="L215" s="16">
        <f t="shared" si="16"/>
        <v>42.566938775510202</v>
      </c>
      <c r="M215" s="25" t="str">
        <f t="shared" si="17"/>
        <v>HOLD</v>
      </c>
    </row>
    <row r="216" spans="2:13">
      <c r="B216" s="3">
        <v>42366</v>
      </c>
      <c r="C216" s="5">
        <v>43.49</v>
      </c>
      <c r="D216" s="5">
        <v>43.44</v>
      </c>
      <c r="E216" s="5">
        <v>43.52</v>
      </c>
      <c r="F216" s="5">
        <v>43.31</v>
      </c>
      <c r="G216" s="18" t="s">
        <v>1063</v>
      </c>
      <c r="H216" s="2">
        <v>-1.1000000000000001E-3</v>
      </c>
      <c r="I216" s="16">
        <f t="shared" si="18"/>
        <v>-1.1483693155718226E-3</v>
      </c>
      <c r="J216" s="16">
        <f t="shared" si="19"/>
        <v>0.99885163068442817</v>
      </c>
      <c r="K216" s="16">
        <f t="shared" si="15"/>
        <v>42.976842105263152</v>
      </c>
      <c r="L216" s="16">
        <f t="shared" si="16"/>
        <v>42.6</v>
      </c>
      <c r="M216" s="25" t="str">
        <f t="shared" si="17"/>
        <v>HOLD</v>
      </c>
    </row>
    <row r="217" spans="2:13">
      <c r="B217" s="3">
        <v>42367</v>
      </c>
      <c r="C217" s="5">
        <v>43.71</v>
      </c>
      <c r="D217" s="5">
        <v>43.54</v>
      </c>
      <c r="E217" s="5">
        <v>43.78</v>
      </c>
      <c r="F217" s="5">
        <v>43.5</v>
      </c>
      <c r="G217" s="18" t="s">
        <v>1154</v>
      </c>
      <c r="H217" s="2">
        <v>5.1000000000000004E-3</v>
      </c>
      <c r="I217" s="16">
        <f t="shared" si="18"/>
        <v>5.0586341687744044E-3</v>
      </c>
      <c r="J217" s="16">
        <f t="shared" si="19"/>
        <v>1.0050586341687744</v>
      </c>
      <c r="K217" s="16">
        <f t="shared" si="15"/>
        <v>43.022631578947362</v>
      </c>
      <c r="L217" s="16">
        <f t="shared" si="16"/>
        <v>42.629999999999995</v>
      </c>
      <c r="M217" s="25" t="str">
        <f t="shared" si="17"/>
        <v>HOLD</v>
      </c>
    </row>
    <row r="218" spans="2:13">
      <c r="B218" s="3">
        <v>42368</v>
      </c>
      <c r="C218" s="5">
        <v>43.57</v>
      </c>
      <c r="D218" s="5">
        <v>43.75</v>
      </c>
      <c r="E218" s="5">
        <v>43.77</v>
      </c>
      <c r="F218" s="5">
        <v>43.45</v>
      </c>
      <c r="G218" s="18" t="s">
        <v>1252</v>
      </c>
      <c r="H218" s="2">
        <v>-3.2000000000000002E-3</v>
      </c>
      <c r="I218" s="16">
        <f t="shared" si="18"/>
        <v>-3.2029283916723992E-3</v>
      </c>
      <c r="J218" s="16">
        <f t="shared" si="19"/>
        <v>0.99679707160832765</v>
      </c>
      <c r="K218" s="16">
        <f t="shared" si="15"/>
        <v>43.065789473684205</v>
      </c>
      <c r="L218" s="16">
        <f t="shared" si="16"/>
        <v>42.665102040816322</v>
      </c>
      <c r="M218" s="25" t="str">
        <f t="shared" si="17"/>
        <v>HOLD</v>
      </c>
    </row>
    <row r="219" spans="2:13">
      <c r="B219" s="3">
        <v>42369</v>
      </c>
      <c r="C219" s="5">
        <v>42.96</v>
      </c>
      <c r="D219" s="5">
        <v>43.3</v>
      </c>
      <c r="E219" s="5">
        <v>43.34</v>
      </c>
      <c r="F219" s="5">
        <v>42.87</v>
      </c>
      <c r="G219" s="18" t="s">
        <v>482</v>
      </c>
      <c r="H219" s="2">
        <v>-1.4E-2</v>
      </c>
      <c r="I219" s="16">
        <f t="shared" si="18"/>
        <v>-1.4000459031443641E-2</v>
      </c>
      <c r="J219" s="16">
        <f t="shared" si="19"/>
        <v>0.98599954096855635</v>
      </c>
      <c r="K219" s="16">
        <f t="shared" ref="K219:K282" si="20">AVERAGE(C200:C218)</f>
        <v>43.107894736842105</v>
      </c>
      <c r="L219" s="16">
        <f t="shared" si="16"/>
        <v>42.691224489795914</v>
      </c>
      <c r="M219" s="25" t="str">
        <f t="shared" si="17"/>
        <v>HOLD</v>
      </c>
    </row>
    <row r="220" spans="2:13">
      <c r="B220" s="3">
        <v>42373</v>
      </c>
      <c r="C220" s="5">
        <v>42.4</v>
      </c>
      <c r="D220" s="5">
        <v>42.34</v>
      </c>
      <c r="E220" s="5">
        <v>42.5</v>
      </c>
      <c r="F220" s="5">
        <v>41.97</v>
      </c>
      <c r="G220" s="18" t="s">
        <v>75</v>
      </c>
      <c r="H220" s="2">
        <v>-1.2999999999999999E-2</v>
      </c>
      <c r="I220" s="16">
        <f t="shared" si="18"/>
        <v>-1.3035381750465602E-2</v>
      </c>
      <c r="J220" s="16">
        <f t="shared" si="19"/>
        <v>0.98696461824953441</v>
      </c>
      <c r="K220" s="16">
        <f t="shared" si="20"/>
        <v>43.13421052631579</v>
      </c>
      <c r="L220" s="16">
        <f t="shared" si="16"/>
        <v>42.706938775510203</v>
      </c>
      <c r="M220" s="25" t="str">
        <f t="shared" si="17"/>
        <v>HOLD</v>
      </c>
    </row>
    <row r="221" spans="2:13">
      <c r="B221" s="3">
        <v>42374</v>
      </c>
      <c r="C221" s="5">
        <v>42.55</v>
      </c>
      <c r="D221" s="5">
        <v>42.31</v>
      </c>
      <c r="E221" s="5">
        <v>42.62</v>
      </c>
      <c r="F221" s="5">
        <v>42.17</v>
      </c>
      <c r="G221" s="18" t="s">
        <v>853</v>
      </c>
      <c r="H221" s="2">
        <v>3.5000000000000001E-3</v>
      </c>
      <c r="I221" s="16">
        <f t="shared" si="18"/>
        <v>3.5377358490565705E-3</v>
      </c>
      <c r="J221" s="16">
        <f t="shared" si="19"/>
        <v>1.0035377358490565</v>
      </c>
      <c r="K221" s="16">
        <f t="shared" si="20"/>
        <v>43.087368421052631</v>
      </c>
      <c r="L221" s="16">
        <f t="shared" si="16"/>
        <v>42.689795918367352</v>
      </c>
      <c r="M221" s="25" t="str">
        <f t="shared" si="17"/>
        <v>HOLD</v>
      </c>
    </row>
    <row r="222" spans="2:13">
      <c r="B222" s="3">
        <v>42375</v>
      </c>
      <c r="C222" s="5">
        <v>42.32</v>
      </c>
      <c r="D222" s="5">
        <v>42.2</v>
      </c>
      <c r="E222" s="5">
        <v>42.51</v>
      </c>
      <c r="F222" s="5">
        <v>42.04</v>
      </c>
      <c r="G222" s="18" t="s">
        <v>74</v>
      </c>
      <c r="H222" s="2">
        <v>-5.4000000000000003E-3</v>
      </c>
      <c r="I222" s="16">
        <f t="shared" si="18"/>
        <v>-5.405405405405332E-3</v>
      </c>
      <c r="J222" s="16">
        <f t="shared" si="19"/>
        <v>0.99459459459459465</v>
      </c>
      <c r="K222" s="16">
        <f t="shared" si="20"/>
        <v>43.053157894736842</v>
      </c>
      <c r="L222" s="16">
        <f t="shared" si="16"/>
        <v>42.684897959183679</v>
      </c>
      <c r="M222" s="25" t="str">
        <f t="shared" si="17"/>
        <v>HOLD</v>
      </c>
    </row>
    <row r="223" spans="2:13">
      <c r="B223" s="3">
        <v>42376</v>
      </c>
      <c r="C223" s="5">
        <v>41.62</v>
      </c>
      <c r="D223" s="5">
        <v>41.65</v>
      </c>
      <c r="E223" s="5">
        <v>42.11</v>
      </c>
      <c r="F223" s="5">
        <v>41.45</v>
      </c>
      <c r="G223" s="18" t="s">
        <v>1251</v>
      </c>
      <c r="H223" s="2">
        <v>-1.6500000000000001E-2</v>
      </c>
      <c r="I223" s="16">
        <f t="shared" si="18"/>
        <v>-1.654064272211727E-2</v>
      </c>
      <c r="J223" s="16">
        <f t="shared" si="19"/>
        <v>0.9834593572778827</v>
      </c>
      <c r="K223" s="16">
        <f t="shared" si="20"/>
        <v>43.016842105263159</v>
      </c>
      <c r="L223" s="16">
        <f t="shared" si="16"/>
        <v>42.679387755102049</v>
      </c>
      <c r="M223" s="25" t="str">
        <f t="shared" si="17"/>
        <v>HOLD</v>
      </c>
    </row>
    <row r="224" spans="2:13">
      <c r="B224" s="3">
        <v>42377</v>
      </c>
      <c r="C224" s="5">
        <v>41.51</v>
      </c>
      <c r="D224" s="5">
        <v>41.65</v>
      </c>
      <c r="E224" s="5">
        <v>42.12</v>
      </c>
      <c r="F224" s="5">
        <v>41.41</v>
      </c>
      <c r="G224" s="18" t="s">
        <v>324</v>
      </c>
      <c r="H224" s="2">
        <v>-2.5999999999999999E-3</v>
      </c>
      <c r="I224" s="16">
        <f t="shared" si="18"/>
        <v>-2.6429601153291553E-3</v>
      </c>
      <c r="J224" s="16">
        <f t="shared" si="19"/>
        <v>0.99735703988467084</v>
      </c>
      <c r="K224" s="16">
        <f t="shared" si="20"/>
        <v>42.962105263157902</v>
      </c>
      <c r="L224" s="16">
        <f t="shared" si="16"/>
        <v>42.659183673469393</v>
      </c>
      <c r="M224" s="25" t="str">
        <f t="shared" si="17"/>
        <v>HOLD</v>
      </c>
    </row>
    <row r="225" spans="2:13">
      <c r="B225" s="3">
        <v>42380</v>
      </c>
      <c r="C225" s="5">
        <v>41.58</v>
      </c>
      <c r="D225" s="5">
        <v>41.58</v>
      </c>
      <c r="E225" s="5">
        <v>41.86</v>
      </c>
      <c r="F225" s="5">
        <v>41.29</v>
      </c>
      <c r="G225" s="18" t="s">
        <v>857</v>
      </c>
      <c r="H225" s="2">
        <v>1.6999999999999999E-3</v>
      </c>
      <c r="I225" s="16">
        <f t="shared" si="18"/>
        <v>1.6863406408094504E-3</v>
      </c>
      <c r="J225" s="16">
        <f t="shared" si="19"/>
        <v>1.0016863406408094</v>
      </c>
      <c r="K225" s="16">
        <f t="shared" si="20"/>
        <v>42.89631578947369</v>
      </c>
      <c r="L225" s="16">
        <f t="shared" si="16"/>
        <v>42.63428571428571</v>
      </c>
      <c r="M225" s="25" t="str">
        <f t="shared" si="17"/>
        <v>HOLD</v>
      </c>
    </row>
    <row r="226" spans="2:13">
      <c r="B226" s="3">
        <v>42381</v>
      </c>
      <c r="C226" s="5">
        <v>42.12</v>
      </c>
      <c r="D226" s="5">
        <v>42.3</v>
      </c>
      <c r="E226" s="5">
        <v>42.45</v>
      </c>
      <c r="F226" s="5">
        <v>41.87</v>
      </c>
      <c r="G226" s="18" t="s">
        <v>1250</v>
      </c>
      <c r="H226" s="2">
        <v>1.2999999999999999E-2</v>
      </c>
      <c r="I226" s="16">
        <f t="shared" si="18"/>
        <v>1.2987012987012967E-2</v>
      </c>
      <c r="J226" s="16">
        <f t="shared" si="19"/>
        <v>1.0129870129870129</v>
      </c>
      <c r="K226" s="16">
        <f t="shared" si="20"/>
        <v>42.860000000000007</v>
      </c>
      <c r="L226" s="16">
        <f t="shared" si="16"/>
        <v>42.609591836734694</v>
      </c>
      <c r="M226" s="25" t="str">
        <f t="shared" si="17"/>
        <v>HOLD</v>
      </c>
    </row>
    <row r="227" spans="2:13">
      <c r="B227" s="3">
        <v>42382</v>
      </c>
      <c r="C227" s="5">
        <v>41.85</v>
      </c>
      <c r="D227" s="5">
        <v>42.17</v>
      </c>
      <c r="E227" s="5">
        <v>42.57</v>
      </c>
      <c r="F227" s="5">
        <v>41.79</v>
      </c>
      <c r="G227" s="18" t="s">
        <v>1249</v>
      </c>
      <c r="H227" s="2">
        <v>-6.4000000000000003E-3</v>
      </c>
      <c r="I227" s="16">
        <f t="shared" si="18"/>
        <v>-6.4102564102563164E-3</v>
      </c>
      <c r="J227" s="16">
        <f t="shared" si="19"/>
        <v>0.99358974358974372</v>
      </c>
      <c r="K227" s="16">
        <f t="shared" si="20"/>
        <v>42.842631578947376</v>
      </c>
      <c r="L227" s="16">
        <f t="shared" si="16"/>
        <v>42.604897959183674</v>
      </c>
      <c r="M227" s="25" t="str">
        <f t="shared" si="17"/>
        <v>HOLD</v>
      </c>
    </row>
    <row r="228" spans="2:13">
      <c r="B228" s="3">
        <v>42383</v>
      </c>
      <c r="C228" s="5">
        <v>41.88</v>
      </c>
      <c r="D228" s="5">
        <v>41.99</v>
      </c>
      <c r="E228" s="5">
        <v>42.17</v>
      </c>
      <c r="F228" s="5">
        <v>41.64</v>
      </c>
      <c r="G228" s="18" t="s">
        <v>14</v>
      </c>
      <c r="H228" s="2">
        <v>6.9999999999999999E-4</v>
      </c>
      <c r="I228" s="16">
        <f t="shared" si="18"/>
        <v>7.1684587813622782E-4</v>
      </c>
      <c r="J228" s="16">
        <f t="shared" si="19"/>
        <v>1.0007168458781361</v>
      </c>
      <c r="K228" s="16">
        <f t="shared" si="20"/>
        <v>42.778421052631586</v>
      </c>
      <c r="L228" s="16">
        <f t="shared" si="16"/>
        <v>42.596938775510196</v>
      </c>
      <c r="M228" s="25" t="str">
        <f t="shared" si="17"/>
        <v>HOLD</v>
      </c>
    </row>
    <row r="229" spans="2:13">
      <c r="B229" s="3">
        <v>42384</v>
      </c>
      <c r="C229" s="5">
        <v>41.5</v>
      </c>
      <c r="D229" s="5">
        <v>40.950000000000003</v>
      </c>
      <c r="E229" s="5">
        <v>41.59</v>
      </c>
      <c r="F229" s="5">
        <v>40.93</v>
      </c>
      <c r="G229" s="18" t="s">
        <v>1248</v>
      </c>
      <c r="H229" s="2">
        <v>-9.1000000000000004E-3</v>
      </c>
      <c r="I229" s="16">
        <f t="shared" si="18"/>
        <v>-9.0735434574976733E-3</v>
      </c>
      <c r="J229" s="16">
        <f t="shared" si="19"/>
        <v>0.99092645654250233</v>
      </c>
      <c r="K229" s="16">
        <f t="shared" si="20"/>
        <v>42.67526315789474</v>
      </c>
      <c r="L229" s="16">
        <f t="shared" si="16"/>
        <v>42.591224489795906</v>
      </c>
      <c r="M229" s="25" t="str">
        <f t="shared" si="17"/>
        <v>HOLD</v>
      </c>
    </row>
    <row r="230" spans="2:13">
      <c r="B230" s="3">
        <v>42388</v>
      </c>
      <c r="C230" s="5">
        <v>41.92</v>
      </c>
      <c r="D230" s="5">
        <v>41.77</v>
      </c>
      <c r="E230" s="5">
        <v>42.12</v>
      </c>
      <c r="F230" s="5">
        <v>41.65</v>
      </c>
      <c r="G230" s="18" t="s">
        <v>1247</v>
      </c>
      <c r="H230" s="2">
        <v>1.01E-2</v>
      </c>
      <c r="I230" s="16">
        <f t="shared" si="18"/>
        <v>1.0120481927710884E-2</v>
      </c>
      <c r="J230" s="16">
        <f t="shared" si="19"/>
        <v>1.010120481927711</v>
      </c>
      <c r="K230" s="16">
        <f t="shared" si="20"/>
        <v>42.570526315789472</v>
      </c>
      <c r="L230" s="16">
        <f t="shared" si="16"/>
        <v>42.581632653061213</v>
      </c>
      <c r="M230" s="25" t="str">
        <f t="shared" si="17"/>
        <v>SELL</v>
      </c>
    </row>
    <row r="231" spans="2:13">
      <c r="B231" s="3">
        <v>42389</v>
      </c>
      <c r="C231" s="5">
        <v>41.38</v>
      </c>
      <c r="D231" s="5">
        <v>41.45</v>
      </c>
      <c r="E231" s="5">
        <v>41.62</v>
      </c>
      <c r="F231" s="5">
        <v>40.75</v>
      </c>
      <c r="G231" s="18" t="s">
        <v>1246</v>
      </c>
      <c r="H231" s="2">
        <v>-1.29E-2</v>
      </c>
      <c r="I231" s="16">
        <f t="shared" si="18"/>
        <v>-1.2881679389312957E-2</v>
      </c>
      <c r="J231" s="16">
        <f t="shared" si="19"/>
        <v>0.98711832061068705</v>
      </c>
      <c r="K231" s="16">
        <f t="shared" si="20"/>
        <v>42.54</v>
      </c>
      <c r="L231" s="16">
        <f t="shared" si="16"/>
        <v>42.573265306122444</v>
      </c>
      <c r="M231" s="25" t="str">
        <f t="shared" si="17"/>
        <v>HOLD</v>
      </c>
    </row>
    <row r="232" spans="2:13">
      <c r="B232" s="3">
        <v>42390</v>
      </c>
      <c r="C232" s="5">
        <v>41.39</v>
      </c>
      <c r="D232" s="5">
        <v>41.45</v>
      </c>
      <c r="E232" s="5">
        <v>41.51</v>
      </c>
      <c r="F232" s="5">
        <v>41.09</v>
      </c>
      <c r="G232" s="18" t="s">
        <v>15</v>
      </c>
      <c r="H232" s="2">
        <v>2.0000000000000001E-4</v>
      </c>
      <c r="I232" s="16">
        <f t="shared" si="18"/>
        <v>2.4166263895596932E-4</v>
      </c>
      <c r="J232" s="16">
        <f t="shared" si="19"/>
        <v>1.0002416626389559</v>
      </c>
      <c r="K232" s="16">
        <f t="shared" si="20"/>
        <v>42.466315789473683</v>
      </c>
      <c r="L232" s="16">
        <f t="shared" si="16"/>
        <v>42.561428571428564</v>
      </c>
      <c r="M232" s="25" t="str">
        <f t="shared" si="17"/>
        <v>HOLD</v>
      </c>
    </row>
    <row r="233" spans="2:13">
      <c r="B233" s="3">
        <v>42391</v>
      </c>
      <c r="C233" s="5">
        <v>42.06</v>
      </c>
      <c r="D233" s="5">
        <v>41.64</v>
      </c>
      <c r="E233" s="5">
        <v>42.24</v>
      </c>
      <c r="F233" s="5">
        <v>41.45</v>
      </c>
      <c r="G233" s="18" t="s">
        <v>541</v>
      </c>
      <c r="H233" s="2">
        <v>1.6199999999999999E-2</v>
      </c>
      <c r="I233" s="16">
        <f t="shared" si="18"/>
        <v>1.6187484899734275E-2</v>
      </c>
      <c r="J233" s="16">
        <f t="shared" si="19"/>
        <v>1.0161874848997343</v>
      </c>
      <c r="K233" s="16">
        <f t="shared" si="20"/>
        <v>42.366315789473681</v>
      </c>
      <c r="L233" s="16">
        <f t="shared" si="16"/>
        <v>42.558367346938766</v>
      </c>
      <c r="M233" s="25" t="str">
        <f t="shared" si="17"/>
        <v>HOLD</v>
      </c>
    </row>
    <row r="234" spans="2:13">
      <c r="B234" s="3">
        <v>42394</v>
      </c>
      <c r="C234" s="5">
        <v>42.16</v>
      </c>
      <c r="D234" s="5">
        <v>42.24</v>
      </c>
      <c r="E234" s="5">
        <v>42.5</v>
      </c>
      <c r="F234" s="5">
        <v>41.93</v>
      </c>
      <c r="G234" s="18" t="s">
        <v>133</v>
      </c>
      <c r="H234" s="2">
        <v>2.3999999999999998E-3</v>
      </c>
      <c r="I234" s="16">
        <f t="shared" si="18"/>
        <v>2.37755587256287E-3</v>
      </c>
      <c r="J234" s="16">
        <f t="shared" si="19"/>
        <v>1.0023775558725629</v>
      </c>
      <c r="K234" s="16">
        <f t="shared" si="20"/>
        <v>42.281578947368416</v>
      </c>
      <c r="L234" s="16">
        <f t="shared" si="16"/>
        <v>42.564285714285717</v>
      </c>
      <c r="M234" s="25" t="str">
        <f t="shared" si="17"/>
        <v>HOLD</v>
      </c>
    </row>
    <row r="235" spans="2:13">
      <c r="B235" s="3">
        <v>42395</v>
      </c>
      <c r="C235" s="5">
        <v>42.08</v>
      </c>
      <c r="D235" s="5">
        <v>42.16</v>
      </c>
      <c r="E235" s="5">
        <v>42.5</v>
      </c>
      <c r="F235" s="5">
        <v>41.93</v>
      </c>
      <c r="G235" s="18" t="s">
        <v>215</v>
      </c>
      <c r="H235" s="2">
        <v>-1.9E-3</v>
      </c>
      <c r="I235" s="16">
        <f t="shared" si="18"/>
        <v>-1.8975332068310792E-3</v>
      </c>
      <c r="J235" s="16">
        <f t="shared" si="19"/>
        <v>0.99810246679316894</v>
      </c>
      <c r="K235" s="16">
        <f t="shared" si="20"/>
        <v>42.20894736842105</v>
      </c>
      <c r="L235" s="16">
        <f t="shared" si="16"/>
        <v>42.566734693877549</v>
      </c>
      <c r="M235" s="25" t="str">
        <f t="shared" si="17"/>
        <v>HOLD</v>
      </c>
    </row>
    <row r="236" spans="2:13">
      <c r="B236" s="3">
        <v>42396</v>
      </c>
      <c r="C236" s="5">
        <v>42.09</v>
      </c>
      <c r="D236" s="5">
        <v>42.18</v>
      </c>
      <c r="E236" s="5">
        <v>42.46</v>
      </c>
      <c r="F236" s="5">
        <v>41.81</v>
      </c>
      <c r="G236" s="18" t="s">
        <v>505</v>
      </c>
      <c r="H236" s="2">
        <v>2.0000000000000001E-4</v>
      </c>
      <c r="I236" s="16">
        <f t="shared" si="18"/>
        <v>2.3764258555145239E-4</v>
      </c>
      <c r="J236" s="16">
        <f t="shared" si="19"/>
        <v>1.0002376425855515</v>
      </c>
      <c r="K236" s="16">
        <f t="shared" si="20"/>
        <v>42.134736842105262</v>
      </c>
      <c r="L236" s="16">
        <f t="shared" si="16"/>
        <v>42.5769387755102</v>
      </c>
      <c r="M236" s="25" t="str">
        <f t="shared" si="17"/>
        <v>HOLD</v>
      </c>
    </row>
    <row r="237" spans="2:13">
      <c r="B237" s="3">
        <v>42397</v>
      </c>
      <c r="C237" s="5">
        <v>42.57</v>
      </c>
      <c r="D237" s="5">
        <v>42.18</v>
      </c>
      <c r="E237" s="5">
        <v>42.72</v>
      </c>
      <c r="F237" s="5">
        <v>42.06</v>
      </c>
      <c r="G237" s="18" t="s">
        <v>1245</v>
      </c>
      <c r="H237" s="2">
        <v>1.14E-2</v>
      </c>
      <c r="I237" s="16">
        <f t="shared" si="18"/>
        <v>1.1404133998574408E-2</v>
      </c>
      <c r="J237" s="16">
        <f t="shared" si="19"/>
        <v>1.0114041339985744</v>
      </c>
      <c r="K237" s="16">
        <f t="shared" si="20"/>
        <v>42.049473684210525</v>
      </c>
      <c r="L237" s="16">
        <f t="shared" si="16"/>
        <v>42.591428571428573</v>
      </c>
      <c r="M237" s="25" t="str">
        <f t="shared" si="17"/>
        <v>HOLD</v>
      </c>
    </row>
    <row r="238" spans="2:13">
      <c r="B238" s="3">
        <v>42398</v>
      </c>
      <c r="C238" s="5">
        <v>42.92</v>
      </c>
      <c r="D238" s="5">
        <v>42.86</v>
      </c>
      <c r="E238" s="5">
        <v>43.26</v>
      </c>
      <c r="F238" s="5">
        <v>42.65</v>
      </c>
      <c r="G238" s="18" t="s">
        <v>1004</v>
      </c>
      <c r="H238" s="2">
        <v>8.2000000000000007E-3</v>
      </c>
      <c r="I238" s="16">
        <f t="shared" si="18"/>
        <v>8.2217524077989532E-3</v>
      </c>
      <c r="J238" s="16">
        <f t="shared" si="19"/>
        <v>1.008221752407799</v>
      </c>
      <c r="K238" s="16">
        <f t="shared" si="20"/>
        <v>41.996842105263163</v>
      </c>
      <c r="L238" s="16">
        <f t="shared" si="16"/>
        <v>42.60387755102041</v>
      </c>
      <c r="M238" s="25" t="str">
        <f t="shared" si="17"/>
        <v>HOLD</v>
      </c>
    </row>
    <row r="239" spans="2:13">
      <c r="B239" s="3">
        <v>42401</v>
      </c>
      <c r="C239" s="5">
        <v>43</v>
      </c>
      <c r="D239" s="5">
        <v>42.6</v>
      </c>
      <c r="E239" s="5">
        <v>43.15</v>
      </c>
      <c r="F239" s="5">
        <v>42.57</v>
      </c>
      <c r="G239" s="18" t="s">
        <v>1244</v>
      </c>
      <c r="H239" s="2">
        <v>1.9E-3</v>
      </c>
      <c r="I239" s="16">
        <f t="shared" si="18"/>
        <v>1.8639328984156173E-3</v>
      </c>
      <c r="J239" s="16">
        <f t="shared" si="19"/>
        <v>1.0018639328984156</v>
      </c>
      <c r="K239" s="16">
        <f t="shared" si="20"/>
        <v>41.994736842105262</v>
      </c>
      <c r="L239" s="16">
        <f t="shared" si="16"/>
        <v>42.629387755102037</v>
      </c>
      <c r="M239" s="25" t="str">
        <f t="shared" si="17"/>
        <v>HOLD</v>
      </c>
    </row>
    <row r="240" spans="2:13">
      <c r="B240" s="3">
        <v>42402</v>
      </c>
      <c r="C240" s="5">
        <v>42.44</v>
      </c>
      <c r="D240" s="5">
        <v>42.7</v>
      </c>
      <c r="E240" s="5">
        <v>42.79</v>
      </c>
      <c r="F240" s="5">
        <v>42.41</v>
      </c>
      <c r="G240" s="18" t="s">
        <v>110</v>
      </c>
      <c r="H240" s="2">
        <v>-1.2999999999999999E-2</v>
      </c>
      <c r="I240" s="16">
        <f t="shared" si="18"/>
        <v>-1.3023255813953541E-2</v>
      </c>
      <c r="J240" s="16">
        <f t="shared" si="19"/>
        <v>0.98697674418604642</v>
      </c>
      <c r="K240" s="16">
        <f t="shared" si="20"/>
        <v>42.026315789473692</v>
      </c>
      <c r="L240" s="16">
        <f t="shared" si="16"/>
        <v>42.644081632653062</v>
      </c>
      <c r="M240" s="25" t="str">
        <f t="shared" si="17"/>
        <v>HOLD</v>
      </c>
    </row>
    <row r="241" spans="2:13">
      <c r="B241" s="3">
        <v>42403</v>
      </c>
      <c r="C241" s="5">
        <v>42.72</v>
      </c>
      <c r="D241" s="5">
        <v>42.8</v>
      </c>
      <c r="E241" s="5">
        <v>42.94</v>
      </c>
      <c r="F241" s="5">
        <v>42.28</v>
      </c>
      <c r="G241" s="18" t="s">
        <v>1106</v>
      </c>
      <c r="H241" s="2">
        <v>6.6E-3</v>
      </c>
      <c r="I241" s="16">
        <f t="shared" si="18"/>
        <v>6.5975494816211391E-3</v>
      </c>
      <c r="J241" s="16">
        <f t="shared" si="19"/>
        <v>1.0065975494816211</v>
      </c>
      <c r="K241" s="16">
        <f t="shared" si="20"/>
        <v>42.020526315789482</v>
      </c>
      <c r="L241" s="16">
        <f t="shared" si="16"/>
        <v>42.630408163265301</v>
      </c>
      <c r="M241" s="25" t="str">
        <f t="shared" si="17"/>
        <v>HOLD</v>
      </c>
    </row>
    <row r="242" spans="2:13">
      <c r="B242" s="3">
        <v>42404</v>
      </c>
      <c r="C242" s="5">
        <v>42.53</v>
      </c>
      <c r="D242" s="5">
        <v>42.52</v>
      </c>
      <c r="E242" s="5">
        <v>42.89</v>
      </c>
      <c r="F242" s="5">
        <v>42.4</v>
      </c>
      <c r="G242" s="18" t="s">
        <v>41</v>
      </c>
      <c r="H242" s="2">
        <v>-4.4000000000000003E-3</v>
      </c>
      <c r="I242" s="16">
        <f t="shared" si="18"/>
        <v>-4.4475655430711077E-3</v>
      </c>
      <c r="J242" s="16">
        <f t="shared" si="19"/>
        <v>0.99555243445692887</v>
      </c>
      <c r="K242" s="16">
        <f t="shared" si="20"/>
        <v>42.041578947368421</v>
      </c>
      <c r="L242" s="16">
        <f t="shared" si="16"/>
        <v>42.636326530612244</v>
      </c>
      <c r="M242" s="25" t="str">
        <f t="shared" si="17"/>
        <v>HOLD</v>
      </c>
    </row>
    <row r="243" spans="2:13">
      <c r="B243" s="3">
        <v>42405</v>
      </c>
      <c r="C243" s="5">
        <v>42.44</v>
      </c>
      <c r="D243" s="5">
        <v>42.93</v>
      </c>
      <c r="E243" s="5">
        <v>42.99</v>
      </c>
      <c r="F243" s="5">
        <v>42.26</v>
      </c>
      <c r="G243" s="18" t="s">
        <v>597</v>
      </c>
      <c r="H243" s="2">
        <v>-2.0999999999999999E-3</v>
      </c>
      <c r="I243" s="16">
        <f t="shared" si="18"/>
        <v>-2.116153303550515E-3</v>
      </c>
      <c r="J243" s="16">
        <f t="shared" si="19"/>
        <v>0.99788384669644947</v>
      </c>
      <c r="K243" s="16">
        <f t="shared" si="20"/>
        <v>42.089473684210532</v>
      </c>
      <c r="L243" s="16">
        <f t="shared" si="16"/>
        <v>42.627551020408163</v>
      </c>
      <c r="M243" s="25" t="str">
        <f t="shared" si="17"/>
        <v>HOLD</v>
      </c>
    </row>
    <row r="244" spans="2:13">
      <c r="B244" s="3">
        <v>42408</v>
      </c>
      <c r="C244" s="5">
        <v>42.65</v>
      </c>
      <c r="D244" s="5">
        <v>42.17</v>
      </c>
      <c r="E244" s="5">
        <v>42.7</v>
      </c>
      <c r="F244" s="5">
        <v>41.9</v>
      </c>
      <c r="G244" s="18" t="s">
        <v>854</v>
      </c>
      <c r="H244" s="2">
        <v>4.8999999999999998E-3</v>
      </c>
      <c r="I244" s="16">
        <f t="shared" si="18"/>
        <v>4.9481621112158541E-3</v>
      </c>
      <c r="J244" s="16">
        <f t="shared" si="19"/>
        <v>1.004948162111216</v>
      </c>
      <c r="K244" s="16">
        <f t="shared" si="20"/>
        <v>42.138421052631571</v>
      </c>
      <c r="L244" s="16">
        <f t="shared" si="16"/>
        <v>42.608775510204083</v>
      </c>
      <c r="M244" s="25" t="str">
        <f t="shared" si="17"/>
        <v>HOLD</v>
      </c>
    </row>
    <row r="245" spans="2:13">
      <c r="B245" s="3">
        <v>42409</v>
      </c>
      <c r="C245" s="5">
        <v>43.3</v>
      </c>
      <c r="D245" s="5">
        <v>42.26</v>
      </c>
      <c r="E245" s="5">
        <v>43.49</v>
      </c>
      <c r="F245" s="5">
        <v>42.26</v>
      </c>
      <c r="G245" s="18" t="s">
        <v>1243</v>
      </c>
      <c r="H245" s="2">
        <v>1.52E-2</v>
      </c>
      <c r="I245" s="16">
        <f t="shared" si="18"/>
        <v>1.5240328253223882E-2</v>
      </c>
      <c r="J245" s="16">
        <f t="shared" si="19"/>
        <v>1.0152403282532239</v>
      </c>
      <c r="K245" s="16">
        <f t="shared" si="20"/>
        <v>42.194736842105257</v>
      </c>
      <c r="L245" s="16">
        <f t="shared" si="16"/>
        <v>42.594285714285711</v>
      </c>
      <c r="M245" s="25" t="str">
        <f t="shared" si="17"/>
        <v>HOLD</v>
      </c>
    </row>
    <row r="246" spans="2:13">
      <c r="B246" s="3">
        <v>42410</v>
      </c>
      <c r="C246" s="5">
        <v>42.55</v>
      </c>
      <c r="D246" s="5">
        <v>43.34</v>
      </c>
      <c r="E246" s="5">
        <v>43.39</v>
      </c>
      <c r="F246" s="5">
        <v>42.51</v>
      </c>
      <c r="G246" s="18" t="s">
        <v>201</v>
      </c>
      <c r="H246" s="2">
        <v>-1.7299999999999999E-2</v>
      </c>
      <c r="I246" s="16">
        <f t="shared" si="18"/>
        <v>-1.7321016166281757E-2</v>
      </c>
      <c r="J246" s="16">
        <f t="shared" si="19"/>
        <v>0.98267898383371821</v>
      </c>
      <c r="K246" s="16">
        <f t="shared" si="20"/>
        <v>42.256842105263161</v>
      </c>
      <c r="L246" s="16">
        <f t="shared" si="16"/>
        <v>42.597346938775509</v>
      </c>
      <c r="M246" s="25" t="str">
        <f t="shared" si="17"/>
        <v>HOLD</v>
      </c>
    </row>
    <row r="247" spans="2:13">
      <c r="B247" s="3">
        <v>42411</v>
      </c>
      <c r="C247" s="5">
        <v>42.41</v>
      </c>
      <c r="D247" s="5">
        <v>42.03</v>
      </c>
      <c r="E247" s="5">
        <v>42.61</v>
      </c>
      <c r="F247" s="5">
        <v>41.98</v>
      </c>
      <c r="G247" s="18" t="s">
        <v>1242</v>
      </c>
      <c r="H247" s="2">
        <v>-3.3E-3</v>
      </c>
      <c r="I247" s="16">
        <f t="shared" si="18"/>
        <v>-3.2902467685076518E-3</v>
      </c>
      <c r="J247" s="16">
        <f t="shared" si="19"/>
        <v>0.99670975323149236</v>
      </c>
      <c r="K247" s="16">
        <f t="shared" si="20"/>
        <v>42.293684210526308</v>
      </c>
      <c r="L247" s="16">
        <f t="shared" si="16"/>
        <v>42.595918367346933</v>
      </c>
      <c r="M247" s="25" t="str">
        <f t="shared" si="17"/>
        <v>HOLD</v>
      </c>
    </row>
    <row r="248" spans="2:13">
      <c r="B248" s="3">
        <v>42412</v>
      </c>
      <c r="C248" s="5">
        <v>43.11</v>
      </c>
      <c r="D248" s="5">
        <v>42.72</v>
      </c>
      <c r="E248" s="5">
        <v>43.13</v>
      </c>
      <c r="F248" s="5">
        <v>42.56</v>
      </c>
      <c r="G248" s="18" t="s">
        <v>1241</v>
      </c>
      <c r="H248" s="2">
        <v>1.6500000000000001E-2</v>
      </c>
      <c r="I248" s="16">
        <f t="shared" si="18"/>
        <v>1.6505541145956211E-2</v>
      </c>
      <c r="J248" s="16">
        <f t="shared" si="19"/>
        <v>1.0165055411459563</v>
      </c>
      <c r="K248" s="16">
        <f t="shared" si="20"/>
        <v>42.321578947368415</v>
      </c>
      <c r="L248" s="16">
        <f t="shared" si="16"/>
        <v>42.586122448979587</v>
      </c>
      <c r="M248" s="25" t="str">
        <f t="shared" si="17"/>
        <v>HOLD</v>
      </c>
    </row>
    <row r="249" spans="2:13">
      <c r="B249" s="3">
        <v>42416</v>
      </c>
      <c r="C249" s="5">
        <v>43.36</v>
      </c>
      <c r="D249" s="5">
        <v>43.32</v>
      </c>
      <c r="E249" s="5">
        <v>43.46</v>
      </c>
      <c r="F249" s="5">
        <v>43.02</v>
      </c>
      <c r="G249" s="18" t="s">
        <v>229</v>
      </c>
      <c r="H249" s="2">
        <v>5.7999999999999996E-3</v>
      </c>
      <c r="I249" s="16">
        <f t="shared" si="18"/>
        <v>5.7991185339828343E-3</v>
      </c>
      <c r="J249" s="16">
        <f t="shared" si="19"/>
        <v>1.0057991185339827</v>
      </c>
      <c r="K249" s="16">
        <f t="shared" si="20"/>
        <v>42.40631578947368</v>
      </c>
      <c r="L249" s="16">
        <f t="shared" ref="L249:L312" si="21">AVERAGE(C200:C248)</f>
        <v>42.593061224489794</v>
      </c>
      <c r="M249" s="25" t="str">
        <f t="shared" ref="M249:M312" si="22">IF(AND(K249&gt;L249,K248&lt;=L248),"BUY",IF(AND(K249&lt;L249,K248&gt;=L248),"SELL","HOLD"))</f>
        <v>HOLD</v>
      </c>
    </row>
    <row r="250" spans="2:13">
      <c r="B250" s="3">
        <v>42417</v>
      </c>
      <c r="C250" s="5">
        <v>43.49</v>
      </c>
      <c r="D250" s="5">
        <v>43.42</v>
      </c>
      <c r="E250" s="5">
        <v>43.62</v>
      </c>
      <c r="F250" s="5">
        <v>43.28</v>
      </c>
      <c r="G250" s="18" t="s">
        <v>110</v>
      </c>
      <c r="H250" s="2">
        <v>3.0000000000000001E-3</v>
      </c>
      <c r="I250" s="16">
        <f t="shared" si="18"/>
        <v>2.9981549815498746E-3</v>
      </c>
      <c r="J250" s="16">
        <f t="shared" si="19"/>
        <v>1.0029981549815499</v>
      </c>
      <c r="K250" s="16">
        <f t="shared" si="20"/>
        <v>42.482105263157884</v>
      </c>
      <c r="L250" s="16">
        <f t="shared" si="21"/>
        <v>42.611428571428576</v>
      </c>
      <c r="M250" s="25" t="str">
        <f t="shared" si="22"/>
        <v>HOLD</v>
      </c>
    </row>
    <row r="251" spans="2:13">
      <c r="B251" s="3">
        <v>42418</v>
      </c>
      <c r="C251" s="5">
        <v>43.61</v>
      </c>
      <c r="D251" s="5">
        <v>43.63</v>
      </c>
      <c r="E251" s="5">
        <v>43.73</v>
      </c>
      <c r="F251" s="5">
        <v>43.3</v>
      </c>
      <c r="G251" s="18" t="s">
        <v>372</v>
      </c>
      <c r="H251" s="2">
        <v>2.8E-3</v>
      </c>
      <c r="I251" s="16">
        <f t="shared" si="18"/>
        <v>2.7592550011496307E-3</v>
      </c>
      <c r="J251" s="16">
        <f t="shared" si="19"/>
        <v>1.0027592550011497</v>
      </c>
      <c r="K251" s="16">
        <f t="shared" si="20"/>
        <v>42.593157894736834</v>
      </c>
      <c r="L251" s="16">
        <f t="shared" si="21"/>
        <v>42.61551020408163</v>
      </c>
      <c r="M251" s="25" t="str">
        <f t="shared" si="22"/>
        <v>HOLD</v>
      </c>
    </row>
    <row r="252" spans="2:13">
      <c r="B252" s="3">
        <v>42419</v>
      </c>
      <c r="C252" s="5">
        <v>43.77</v>
      </c>
      <c r="D252" s="5">
        <v>43.58</v>
      </c>
      <c r="E252" s="5">
        <v>43.77</v>
      </c>
      <c r="F252" s="5">
        <v>43.28</v>
      </c>
      <c r="G252" s="18" t="s">
        <v>992</v>
      </c>
      <c r="H252" s="2">
        <v>3.7000000000000002E-3</v>
      </c>
      <c r="I252" s="16">
        <f t="shared" si="18"/>
        <v>3.6688832836506238E-3</v>
      </c>
      <c r="J252" s="16">
        <f t="shared" si="19"/>
        <v>1.0036688832836507</v>
      </c>
      <c r="K252" s="16">
        <f t="shared" si="20"/>
        <v>42.709999999999994</v>
      </c>
      <c r="L252" s="16">
        <f t="shared" si="21"/>
        <v>42.623877551020414</v>
      </c>
      <c r="M252" s="25" t="str">
        <f t="shared" si="22"/>
        <v>BUY</v>
      </c>
    </row>
    <row r="253" spans="2:13">
      <c r="B253" s="3">
        <v>42422</v>
      </c>
      <c r="C253" s="5">
        <v>43.94</v>
      </c>
      <c r="D253" s="5">
        <v>43.76</v>
      </c>
      <c r="E253" s="5">
        <v>44.16</v>
      </c>
      <c r="F253" s="5">
        <v>43.63</v>
      </c>
      <c r="G253" s="18" t="s">
        <v>1240</v>
      </c>
      <c r="H253" s="2">
        <v>3.8999999999999998E-3</v>
      </c>
      <c r="I253" s="16">
        <f t="shared" si="18"/>
        <v>3.8839387708474887E-3</v>
      </c>
      <c r="J253" s="16">
        <f t="shared" si="19"/>
        <v>1.0038839387708476</v>
      </c>
      <c r="K253" s="16">
        <f t="shared" si="20"/>
        <v>42.8</v>
      </c>
      <c r="L253" s="16">
        <f t="shared" si="21"/>
        <v>42.639387755102049</v>
      </c>
      <c r="M253" s="25" t="str">
        <f t="shared" si="22"/>
        <v>HOLD</v>
      </c>
    </row>
    <row r="254" spans="2:13">
      <c r="B254" s="3">
        <v>42423</v>
      </c>
      <c r="C254" s="5">
        <v>43.69</v>
      </c>
      <c r="D254" s="5">
        <v>43.74</v>
      </c>
      <c r="E254" s="5">
        <v>44.05</v>
      </c>
      <c r="F254" s="5">
        <v>43.66</v>
      </c>
      <c r="G254" s="18" t="s">
        <v>372</v>
      </c>
      <c r="H254" s="2">
        <v>-5.7000000000000002E-3</v>
      </c>
      <c r="I254" s="16">
        <f t="shared" si="18"/>
        <v>-5.6895766954938552E-3</v>
      </c>
      <c r="J254" s="16">
        <f t="shared" si="19"/>
        <v>0.99431042330450614</v>
      </c>
      <c r="K254" s="16">
        <f t="shared" si="20"/>
        <v>42.893684210526317</v>
      </c>
      <c r="L254" s="16">
        <f t="shared" si="21"/>
        <v>42.665510204081635</v>
      </c>
      <c r="M254" s="25" t="str">
        <f t="shared" si="22"/>
        <v>HOLD</v>
      </c>
    </row>
    <row r="255" spans="2:13">
      <c r="B255" s="3">
        <v>42424</v>
      </c>
      <c r="C255" s="5">
        <v>43.91</v>
      </c>
      <c r="D255" s="5">
        <v>43.56</v>
      </c>
      <c r="E255" s="5">
        <v>43.94</v>
      </c>
      <c r="F255" s="5">
        <v>43.37</v>
      </c>
      <c r="G255" s="18" t="s">
        <v>528</v>
      </c>
      <c r="H255" s="2">
        <v>5.0000000000000001E-3</v>
      </c>
      <c r="I255" s="16">
        <f t="shared" si="18"/>
        <v>5.0354772259097935E-3</v>
      </c>
      <c r="J255" s="16">
        <f t="shared" si="19"/>
        <v>1.0050354772259098</v>
      </c>
      <c r="K255" s="16">
        <f t="shared" si="20"/>
        <v>42.978421052631589</v>
      </c>
      <c r="L255" s="16">
        <f t="shared" si="21"/>
        <v>42.684489795918367</v>
      </c>
      <c r="M255" s="25" t="str">
        <f t="shared" si="22"/>
        <v>HOLD</v>
      </c>
    </row>
    <row r="256" spans="2:13">
      <c r="B256" s="3">
        <v>42425</v>
      </c>
      <c r="C256" s="5">
        <v>44.16</v>
      </c>
      <c r="D256" s="5">
        <v>43.96</v>
      </c>
      <c r="E256" s="5">
        <v>44.18</v>
      </c>
      <c r="F256" s="5">
        <v>43.87</v>
      </c>
      <c r="G256" s="18" t="s">
        <v>1214</v>
      </c>
      <c r="H256" s="2">
        <v>5.7000000000000002E-3</v>
      </c>
      <c r="I256" s="16">
        <f t="shared" si="18"/>
        <v>5.6934639034388525E-3</v>
      </c>
      <c r="J256" s="16">
        <f t="shared" si="19"/>
        <v>1.0056934639034389</v>
      </c>
      <c r="K256" s="16">
        <f t="shared" si="20"/>
        <v>43.074210526315788</v>
      </c>
      <c r="L256" s="16">
        <f t="shared" si="21"/>
        <v>42.717959183673464</v>
      </c>
      <c r="M256" s="25" t="str">
        <f t="shared" si="22"/>
        <v>HOLD</v>
      </c>
    </row>
    <row r="257" spans="2:13">
      <c r="B257" s="3">
        <v>42426</v>
      </c>
      <c r="C257" s="5">
        <v>43.14</v>
      </c>
      <c r="D257" s="5">
        <v>44.04</v>
      </c>
      <c r="E257" s="5">
        <v>44.05</v>
      </c>
      <c r="F257" s="5">
        <v>43.1</v>
      </c>
      <c r="G257" s="18" t="s">
        <v>1239</v>
      </c>
      <c r="H257" s="2">
        <v>-2.3099999999999999E-2</v>
      </c>
      <c r="I257" s="16">
        <f t="shared" si="18"/>
        <v>-2.3097826086956433E-2</v>
      </c>
      <c r="J257" s="16">
        <f t="shared" si="19"/>
        <v>0.97690217391304357</v>
      </c>
      <c r="K257" s="16">
        <f t="shared" si="20"/>
        <v>43.157894736842103</v>
      </c>
      <c r="L257" s="16">
        <f t="shared" si="21"/>
        <v>42.752857142857138</v>
      </c>
      <c r="M257" s="25" t="str">
        <f t="shared" si="22"/>
        <v>HOLD</v>
      </c>
    </row>
    <row r="258" spans="2:13">
      <c r="B258" s="3">
        <v>42429</v>
      </c>
      <c r="C258" s="5">
        <v>43.13</v>
      </c>
      <c r="D258" s="5">
        <v>43.17</v>
      </c>
      <c r="E258" s="5">
        <v>43.61</v>
      </c>
      <c r="F258" s="5">
        <v>42.92</v>
      </c>
      <c r="G258" s="18" t="s">
        <v>544</v>
      </c>
      <c r="H258" s="2">
        <v>-2.0000000000000001E-4</v>
      </c>
      <c r="I258" s="16">
        <f t="shared" si="18"/>
        <v>-2.3180343069072811E-4</v>
      </c>
      <c r="J258" s="16">
        <f t="shared" si="19"/>
        <v>0.99976819656930926</v>
      </c>
      <c r="K258" s="16">
        <f t="shared" si="20"/>
        <v>43.169473684210523</v>
      </c>
      <c r="L258" s="16">
        <f t="shared" si="21"/>
        <v>42.754285714285714</v>
      </c>
      <c r="M258" s="25" t="str">
        <f t="shared" si="22"/>
        <v>HOLD</v>
      </c>
    </row>
    <row r="259" spans="2:13">
      <c r="B259" s="3">
        <v>42430</v>
      </c>
      <c r="C259" s="5">
        <v>43.69</v>
      </c>
      <c r="D259" s="5">
        <v>43.38</v>
      </c>
      <c r="E259" s="5">
        <v>43.69</v>
      </c>
      <c r="F259" s="5">
        <v>43.17</v>
      </c>
      <c r="G259" s="18" t="s">
        <v>323</v>
      </c>
      <c r="H259" s="2">
        <v>1.2999999999999999E-2</v>
      </c>
      <c r="I259" s="16">
        <f t="shared" si="18"/>
        <v>1.2984001854857295E-2</v>
      </c>
      <c r="J259" s="16">
        <f t="shared" si="19"/>
        <v>1.0129840018548573</v>
      </c>
      <c r="K259" s="16">
        <f t="shared" si="20"/>
        <v>43.176315789473676</v>
      </c>
      <c r="L259" s="16">
        <f t="shared" si="21"/>
        <v>42.739795918367349</v>
      </c>
      <c r="M259" s="25" t="str">
        <f t="shared" si="22"/>
        <v>HOLD</v>
      </c>
    </row>
    <row r="260" spans="2:13">
      <c r="B260" s="3">
        <v>42431</v>
      </c>
      <c r="C260" s="5">
        <v>43.77</v>
      </c>
      <c r="D260" s="5">
        <v>43.47</v>
      </c>
      <c r="E260" s="5">
        <v>43.77</v>
      </c>
      <c r="F260" s="5">
        <v>43.42</v>
      </c>
      <c r="G260" s="18" t="s">
        <v>374</v>
      </c>
      <c r="H260" s="2">
        <v>1.8E-3</v>
      </c>
      <c r="I260" s="16">
        <f t="shared" si="18"/>
        <v>1.8310826276036942E-3</v>
      </c>
      <c r="J260" s="16">
        <f t="shared" si="19"/>
        <v>1.0018310826276038</v>
      </c>
      <c r="K260" s="16">
        <f t="shared" si="20"/>
        <v>43.242105263157903</v>
      </c>
      <c r="L260" s="16">
        <f t="shared" si="21"/>
        <v>42.743877551020411</v>
      </c>
      <c r="M260" s="25" t="str">
        <f t="shared" si="22"/>
        <v>HOLD</v>
      </c>
    </row>
    <row r="261" spans="2:13">
      <c r="B261" s="3">
        <v>42432</v>
      </c>
      <c r="C261" s="5">
        <v>43.96</v>
      </c>
      <c r="D261" s="5">
        <v>43.61</v>
      </c>
      <c r="E261" s="5">
        <v>43.98</v>
      </c>
      <c r="F261" s="5">
        <v>43.54</v>
      </c>
      <c r="G261" s="18" t="s">
        <v>1238</v>
      </c>
      <c r="H261" s="2">
        <v>4.3E-3</v>
      </c>
      <c r="I261" s="16">
        <f t="shared" si="18"/>
        <v>4.340872743888456E-3</v>
      </c>
      <c r="J261" s="16">
        <f t="shared" si="19"/>
        <v>1.0043408727438885</v>
      </c>
      <c r="K261" s="16">
        <f t="shared" si="20"/>
        <v>43.297368421052639</v>
      </c>
      <c r="L261" s="16">
        <f t="shared" si="21"/>
        <v>42.76979591836735</v>
      </c>
      <c r="M261" s="25" t="str">
        <f t="shared" si="22"/>
        <v>HOLD</v>
      </c>
    </row>
    <row r="262" spans="2:13">
      <c r="B262" s="3">
        <v>42433</v>
      </c>
      <c r="C262" s="5">
        <v>44.11</v>
      </c>
      <c r="D262" s="5">
        <v>43.78</v>
      </c>
      <c r="E262" s="5">
        <v>44.15</v>
      </c>
      <c r="F262" s="5">
        <v>43.68</v>
      </c>
      <c r="G262" s="18" t="s">
        <v>205</v>
      </c>
      <c r="H262" s="2">
        <v>3.3999999999999998E-3</v>
      </c>
      <c r="I262" s="16">
        <f t="shared" si="18"/>
        <v>3.4121929026387299E-3</v>
      </c>
      <c r="J262" s="16">
        <f t="shared" si="19"/>
        <v>1.0034121929026387</v>
      </c>
      <c r="K262" s="16">
        <f t="shared" si="20"/>
        <v>43.372631578947363</v>
      </c>
      <c r="L262" s="16">
        <f t="shared" si="21"/>
        <v>42.793877551020422</v>
      </c>
      <c r="M262" s="25" t="str">
        <f t="shared" si="22"/>
        <v>HOLD</v>
      </c>
    </row>
    <row r="263" spans="2:13">
      <c r="B263" s="3">
        <v>42436</v>
      </c>
      <c r="C263" s="5">
        <v>44.01</v>
      </c>
      <c r="D263" s="5">
        <v>43.91</v>
      </c>
      <c r="E263" s="5">
        <v>44.14</v>
      </c>
      <c r="F263" s="5">
        <v>43.86</v>
      </c>
      <c r="G263" s="18" t="s">
        <v>1108</v>
      </c>
      <c r="H263" s="2">
        <v>-2.3E-3</v>
      </c>
      <c r="I263" s="16">
        <f t="shared" si="18"/>
        <v>-2.2670596236681346E-3</v>
      </c>
      <c r="J263" s="16">
        <f t="shared" si="19"/>
        <v>0.99773294037633187</v>
      </c>
      <c r="K263" s="16">
        <f t="shared" si="20"/>
        <v>43.460526315789465</v>
      </c>
      <c r="L263" s="16">
        <f t="shared" si="21"/>
        <v>42.810612244897975</v>
      </c>
      <c r="M263" s="25" t="str">
        <f t="shared" si="22"/>
        <v>HOLD</v>
      </c>
    </row>
    <row r="264" spans="2:13">
      <c r="B264" s="3">
        <v>42437</v>
      </c>
      <c r="C264" s="5">
        <v>44.32</v>
      </c>
      <c r="D264" s="5">
        <v>43.92</v>
      </c>
      <c r="E264" s="5">
        <v>44.47</v>
      </c>
      <c r="F264" s="5">
        <v>43.81</v>
      </c>
      <c r="G264" s="18" t="s">
        <v>73</v>
      </c>
      <c r="H264" s="2">
        <v>7.0000000000000001E-3</v>
      </c>
      <c r="I264" s="16">
        <f t="shared" si="18"/>
        <v>7.0438536696205926E-3</v>
      </c>
      <c r="J264" s="16">
        <f t="shared" si="19"/>
        <v>1.0070438536696207</v>
      </c>
      <c r="K264" s="16">
        <f t="shared" si="20"/>
        <v>43.532105263157895</v>
      </c>
      <c r="L264" s="16">
        <f t="shared" si="21"/>
        <v>42.817551020408182</v>
      </c>
      <c r="M264" s="25" t="str">
        <f t="shared" si="22"/>
        <v>HOLD</v>
      </c>
    </row>
    <row r="265" spans="2:13">
      <c r="B265" s="3">
        <v>42438</v>
      </c>
      <c r="C265" s="5">
        <v>44.81</v>
      </c>
      <c r="D265" s="5">
        <v>44.39</v>
      </c>
      <c r="E265" s="5">
        <v>44.83</v>
      </c>
      <c r="F265" s="5">
        <v>44.29</v>
      </c>
      <c r="G265" s="18" t="s">
        <v>1237</v>
      </c>
      <c r="H265" s="2">
        <v>1.11E-2</v>
      </c>
      <c r="I265" s="16">
        <f t="shared" ref="I265:I328" si="23">(C265-C264)/C264</f>
        <v>1.1055956678700405E-2</v>
      </c>
      <c r="J265" s="16">
        <f t="shared" ref="J265:J328" si="24">C265/C264</f>
        <v>1.0110559566787003</v>
      </c>
      <c r="K265" s="16">
        <f t="shared" si="20"/>
        <v>43.585789473684216</v>
      </c>
      <c r="L265" s="16">
        <f t="shared" si="21"/>
        <v>42.833469387755116</v>
      </c>
      <c r="M265" s="25" t="str">
        <f t="shared" si="22"/>
        <v>HOLD</v>
      </c>
    </row>
    <row r="266" spans="2:13">
      <c r="B266" s="3">
        <v>42439</v>
      </c>
      <c r="C266" s="5">
        <v>45.23</v>
      </c>
      <c r="D266" s="5">
        <v>44.84</v>
      </c>
      <c r="E266" s="5">
        <v>45.26</v>
      </c>
      <c r="F266" s="5">
        <v>44.68</v>
      </c>
      <c r="G266" s="18" t="s">
        <v>1236</v>
      </c>
      <c r="H266" s="2">
        <v>9.4000000000000004E-3</v>
      </c>
      <c r="I266" s="16">
        <f t="shared" si="23"/>
        <v>9.3729078330728535E-3</v>
      </c>
      <c r="J266" s="16">
        <f t="shared" si="24"/>
        <v>1.0093729078330729</v>
      </c>
      <c r="K266" s="16">
        <f t="shared" si="20"/>
        <v>43.704736842105255</v>
      </c>
      <c r="L266" s="16">
        <f t="shared" si="21"/>
        <v>42.860408163265312</v>
      </c>
      <c r="M266" s="25" t="str">
        <f t="shared" si="22"/>
        <v>HOLD</v>
      </c>
    </row>
    <row r="267" spans="2:13">
      <c r="B267" s="3">
        <v>42440</v>
      </c>
      <c r="C267" s="5">
        <v>45.2</v>
      </c>
      <c r="D267" s="5">
        <v>45</v>
      </c>
      <c r="E267" s="5">
        <v>45.25</v>
      </c>
      <c r="F267" s="5">
        <v>44.93</v>
      </c>
      <c r="G267" s="18" t="s">
        <v>1235</v>
      </c>
      <c r="H267" s="2">
        <v>-6.9999999999999999E-4</v>
      </c>
      <c r="I267" s="16">
        <f t="shared" si="23"/>
        <v>-6.6327658633637038E-4</v>
      </c>
      <c r="J267" s="16">
        <f t="shared" si="24"/>
        <v>0.99933672341366364</v>
      </c>
      <c r="K267" s="16">
        <f t="shared" si="20"/>
        <v>43.853157894736846</v>
      </c>
      <c r="L267" s="16">
        <f t="shared" si="21"/>
        <v>42.891428571428577</v>
      </c>
      <c r="M267" s="25" t="str">
        <f t="shared" si="22"/>
        <v>HOLD</v>
      </c>
    </row>
    <row r="268" spans="2:13">
      <c r="B268" s="3">
        <v>42443</v>
      </c>
      <c r="C268" s="5">
        <v>45.29</v>
      </c>
      <c r="D268" s="5">
        <v>45.04</v>
      </c>
      <c r="E268" s="5">
        <v>45.42</v>
      </c>
      <c r="F268" s="5">
        <v>45.04</v>
      </c>
      <c r="G268" s="18" t="s">
        <v>169</v>
      </c>
      <c r="H268" s="2">
        <v>2E-3</v>
      </c>
      <c r="I268" s="16">
        <f t="shared" si="23"/>
        <v>1.9911504424777941E-3</v>
      </c>
      <c r="J268" s="16">
        <f t="shared" si="24"/>
        <v>1.0019911504424779</v>
      </c>
      <c r="K268" s="16">
        <f t="shared" si="20"/>
        <v>43.963157894736852</v>
      </c>
      <c r="L268" s="16">
        <f t="shared" si="21"/>
        <v>42.924693877551022</v>
      </c>
      <c r="M268" s="25" t="str">
        <f t="shared" si="22"/>
        <v>HOLD</v>
      </c>
    </row>
    <row r="269" spans="2:13">
      <c r="B269" s="3">
        <v>42444</v>
      </c>
      <c r="C269" s="5">
        <v>45.24</v>
      </c>
      <c r="D269" s="5">
        <v>45.08</v>
      </c>
      <c r="E269" s="5">
        <v>45.56</v>
      </c>
      <c r="F269" s="5">
        <v>45.07</v>
      </c>
      <c r="G269" s="18" t="s">
        <v>205</v>
      </c>
      <c r="H269" s="2">
        <v>-1.1000000000000001E-3</v>
      </c>
      <c r="I269" s="16">
        <f t="shared" si="23"/>
        <v>-1.1039964672112422E-3</v>
      </c>
      <c r="J269" s="16">
        <f t="shared" si="24"/>
        <v>0.99889600353278873</v>
      </c>
      <c r="K269" s="16">
        <f t="shared" si="20"/>
        <v>44.064736842105262</v>
      </c>
      <c r="L269" s="16">
        <f t="shared" si="21"/>
        <v>42.972244897959179</v>
      </c>
      <c r="M269" s="25" t="str">
        <f t="shared" si="22"/>
        <v>HOLD</v>
      </c>
    </row>
    <row r="270" spans="2:13">
      <c r="B270" s="3">
        <v>42445</v>
      </c>
      <c r="C270" s="5">
        <v>45.05</v>
      </c>
      <c r="D270" s="5">
        <v>45.05</v>
      </c>
      <c r="E270" s="5">
        <v>45.17</v>
      </c>
      <c r="F270" s="5">
        <v>44.55</v>
      </c>
      <c r="G270" s="18" t="s">
        <v>719</v>
      </c>
      <c r="H270" s="2">
        <v>-4.1999999999999997E-3</v>
      </c>
      <c r="I270" s="16">
        <f t="shared" si="23"/>
        <v>-4.1998231653405131E-3</v>
      </c>
      <c r="J270" s="16">
        <f t="shared" si="24"/>
        <v>0.99580017683465949</v>
      </c>
      <c r="K270" s="16">
        <f t="shared" si="20"/>
        <v>44.156842105263159</v>
      </c>
      <c r="L270" s="16">
        <f t="shared" si="21"/>
        <v>43.030204081632654</v>
      </c>
      <c r="M270" s="25" t="str">
        <f t="shared" si="22"/>
        <v>HOLD</v>
      </c>
    </row>
    <row r="271" spans="2:13">
      <c r="B271" s="3">
        <v>42446</v>
      </c>
      <c r="C271" s="5">
        <v>45.77</v>
      </c>
      <c r="D271" s="5">
        <v>45.05</v>
      </c>
      <c r="E271" s="5">
        <v>45.91</v>
      </c>
      <c r="F271" s="5">
        <v>44.97</v>
      </c>
      <c r="G271" s="18" t="s">
        <v>1234</v>
      </c>
      <c r="H271" s="2">
        <v>1.6E-2</v>
      </c>
      <c r="I271" s="16">
        <f t="shared" si="23"/>
        <v>1.5982241953385261E-2</v>
      </c>
      <c r="J271" s="16">
        <f t="shared" si="24"/>
        <v>1.0159822419533853</v>
      </c>
      <c r="K271" s="16">
        <f t="shared" si="20"/>
        <v>44.23263157894737</v>
      </c>
      <c r="L271" s="16">
        <f t="shared" si="21"/>
        <v>43.081224489795929</v>
      </c>
      <c r="M271" s="25" t="str">
        <f t="shared" si="22"/>
        <v>HOLD</v>
      </c>
    </row>
    <row r="272" spans="2:13">
      <c r="B272" s="3">
        <v>42447</v>
      </c>
      <c r="C272" s="5">
        <v>45.6</v>
      </c>
      <c r="D272" s="5">
        <v>45.84</v>
      </c>
      <c r="E272" s="5">
        <v>45.87</v>
      </c>
      <c r="F272" s="5">
        <v>45.39</v>
      </c>
      <c r="G272" s="18" t="s">
        <v>1233</v>
      </c>
      <c r="H272" s="2">
        <v>-3.7000000000000002E-3</v>
      </c>
      <c r="I272" s="16">
        <f t="shared" si="23"/>
        <v>-3.7142232903649049E-3</v>
      </c>
      <c r="J272" s="16">
        <f t="shared" si="24"/>
        <v>0.99628577670963514</v>
      </c>
      <c r="K272" s="16">
        <f t="shared" si="20"/>
        <v>44.337894736842095</v>
      </c>
      <c r="L272" s="16">
        <f t="shared" si="21"/>
        <v>43.15163265306122</v>
      </c>
      <c r="M272" s="25" t="str">
        <f t="shared" si="22"/>
        <v>HOLD</v>
      </c>
    </row>
    <row r="273" spans="2:13">
      <c r="B273" s="3">
        <v>42450</v>
      </c>
      <c r="C273" s="5">
        <v>45.67</v>
      </c>
      <c r="D273" s="5">
        <v>45.42</v>
      </c>
      <c r="E273" s="5">
        <v>45.87</v>
      </c>
      <c r="F273" s="5">
        <v>45.36</v>
      </c>
      <c r="G273" s="18" t="s">
        <v>428</v>
      </c>
      <c r="H273" s="2">
        <v>1.5E-3</v>
      </c>
      <c r="I273" s="16">
        <f t="shared" si="23"/>
        <v>1.5350877192982519E-3</v>
      </c>
      <c r="J273" s="16">
        <f t="shared" si="24"/>
        <v>1.0015350877192983</v>
      </c>
      <c r="K273" s="16">
        <f t="shared" si="20"/>
        <v>44.425263157894733</v>
      </c>
      <c r="L273" s="16">
        <f t="shared" si="21"/>
        <v>43.232857142857142</v>
      </c>
      <c r="M273" s="25" t="str">
        <f t="shared" si="22"/>
        <v>HOLD</v>
      </c>
    </row>
    <row r="274" spans="2:13">
      <c r="B274" s="3">
        <v>42451</v>
      </c>
      <c r="C274" s="5">
        <v>45.5</v>
      </c>
      <c r="D274" s="5">
        <v>45.55</v>
      </c>
      <c r="E274" s="5">
        <v>45.73</v>
      </c>
      <c r="F274" s="5">
        <v>45.39</v>
      </c>
      <c r="G274" s="18" t="s">
        <v>660</v>
      </c>
      <c r="H274" s="2">
        <v>-3.7000000000000002E-3</v>
      </c>
      <c r="I274" s="16">
        <f t="shared" si="23"/>
        <v>-3.7223560324064309E-3</v>
      </c>
      <c r="J274" s="16">
        <f t="shared" si="24"/>
        <v>0.99627764396759355</v>
      </c>
      <c r="K274" s="16">
        <f t="shared" si="20"/>
        <v>44.529473684210515</v>
      </c>
      <c r="L274" s="16">
        <f t="shared" si="21"/>
        <v>43.31775510204082</v>
      </c>
      <c r="M274" s="25" t="str">
        <f t="shared" si="22"/>
        <v>HOLD</v>
      </c>
    </row>
    <row r="275" spans="2:13">
      <c r="B275" s="3">
        <v>42452</v>
      </c>
      <c r="C275" s="5">
        <v>45.46</v>
      </c>
      <c r="D275" s="5">
        <v>45.4</v>
      </c>
      <c r="E275" s="5">
        <v>45.71</v>
      </c>
      <c r="F275" s="5">
        <v>45.35</v>
      </c>
      <c r="G275" s="18" t="s">
        <v>788</v>
      </c>
      <c r="H275" s="2">
        <v>-8.9999999999999998E-4</v>
      </c>
      <c r="I275" s="16">
        <f t="shared" si="23"/>
        <v>-8.7912087912086036E-4</v>
      </c>
      <c r="J275" s="16">
        <f t="shared" si="24"/>
        <v>0.9991208791208791</v>
      </c>
      <c r="K275" s="16">
        <f t="shared" si="20"/>
        <v>44.613157894736844</v>
      </c>
      <c r="L275" s="16">
        <f t="shared" si="21"/>
        <v>43.397755102040811</v>
      </c>
      <c r="M275" s="25" t="str">
        <f t="shared" si="22"/>
        <v>HOLD</v>
      </c>
    </row>
    <row r="276" spans="2:13">
      <c r="B276" s="3">
        <v>42453</v>
      </c>
      <c r="C276" s="5">
        <v>45.58</v>
      </c>
      <c r="D276" s="5">
        <v>45.45</v>
      </c>
      <c r="E276" s="5">
        <v>45.6</v>
      </c>
      <c r="F276" s="5">
        <v>45.19</v>
      </c>
      <c r="G276" s="18" t="s">
        <v>947</v>
      </c>
      <c r="H276" s="2">
        <v>2.5999999999999999E-3</v>
      </c>
      <c r="I276" s="16">
        <f t="shared" si="23"/>
        <v>2.6396832380113822E-3</v>
      </c>
      <c r="J276" s="16">
        <f t="shared" si="24"/>
        <v>1.0026396832380113</v>
      </c>
      <c r="K276" s="16">
        <f t="shared" si="20"/>
        <v>44.681578947368415</v>
      </c>
      <c r="L276" s="16">
        <f t="shared" si="21"/>
        <v>43.465918367346937</v>
      </c>
      <c r="M276" s="25" t="str">
        <f t="shared" si="22"/>
        <v>HOLD</v>
      </c>
    </row>
    <row r="277" spans="2:13">
      <c r="B277" s="3">
        <v>42457</v>
      </c>
      <c r="C277" s="5">
        <v>45.8</v>
      </c>
      <c r="D277" s="5">
        <v>45.56</v>
      </c>
      <c r="E277" s="5">
        <v>45.93</v>
      </c>
      <c r="F277" s="5">
        <v>45.51</v>
      </c>
      <c r="G277" s="18" t="s">
        <v>171</v>
      </c>
      <c r="H277" s="2">
        <v>4.7999999999999996E-3</v>
      </c>
      <c r="I277" s="16">
        <f t="shared" si="23"/>
        <v>4.8266783677051095E-3</v>
      </c>
      <c r="J277" s="16">
        <f t="shared" si="24"/>
        <v>1.0048266783677051</v>
      </c>
      <c r="K277" s="16">
        <f t="shared" si="20"/>
        <v>44.81</v>
      </c>
      <c r="L277" s="16">
        <f t="shared" si="21"/>
        <v>43.542040816326526</v>
      </c>
      <c r="M277" s="25" t="str">
        <f t="shared" si="22"/>
        <v>HOLD</v>
      </c>
    </row>
    <row r="278" spans="2:13">
      <c r="B278" s="3">
        <v>42458</v>
      </c>
      <c r="C278" s="5">
        <v>46.48</v>
      </c>
      <c r="D278" s="5">
        <v>45.86</v>
      </c>
      <c r="E278" s="5">
        <v>46.51</v>
      </c>
      <c r="F278" s="5">
        <v>45.81</v>
      </c>
      <c r="G278" s="18" t="s">
        <v>1232</v>
      </c>
      <c r="H278" s="2">
        <v>1.4800000000000001E-2</v>
      </c>
      <c r="I278" s="16">
        <f t="shared" si="23"/>
        <v>1.4847161572052396E-2</v>
      </c>
      <c r="J278" s="16">
        <f t="shared" si="24"/>
        <v>1.0148471615720525</v>
      </c>
      <c r="K278" s="16">
        <f t="shared" si="20"/>
        <v>44.950526315789475</v>
      </c>
      <c r="L278" s="16">
        <f t="shared" si="21"/>
        <v>43.622040816326539</v>
      </c>
      <c r="M278" s="25" t="str">
        <f t="shared" si="22"/>
        <v>HOLD</v>
      </c>
    </row>
    <row r="279" spans="2:13">
      <c r="B279" s="3">
        <v>42459</v>
      </c>
      <c r="C279" s="5">
        <v>46.58</v>
      </c>
      <c r="D279" s="5">
        <v>46.63</v>
      </c>
      <c r="E279" s="5">
        <v>46.73</v>
      </c>
      <c r="F279" s="5">
        <v>46.33</v>
      </c>
      <c r="G279" s="18" t="s">
        <v>259</v>
      </c>
      <c r="H279" s="2">
        <v>2.2000000000000001E-3</v>
      </c>
      <c r="I279" s="16">
        <f t="shared" si="23"/>
        <v>2.1514629948365194E-3</v>
      </c>
      <c r="J279" s="16">
        <f t="shared" si="24"/>
        <v>1.0021514629948365</v>
      </c>
      <c r="K279" s="16">
        <f t="shared" si="20"/>
        <v>45.097368421052636</v>
      </c>
      <c r="L279" s="16">
        <f t="shared" si="21"/>
        <v>43.723673469387762</v>
      </c>
      <c r="M279" s="25" t="str">
        <f t="shared" si="22"/>
        <v>HOLD</v>
      </c>
    </row>
    <row r="280" spans="2:13">
      <c r="B280" s="3">
        <v>42460</v>
      </c>
      <c r="C280" s="5">
        <v>46.39</v>
      </c>
      <c r="D280" s="5">
        <v>46.55</v>
      </c>
      <c r="E280" s="5">
        <v>46.88</v>
      </c>
      <c r="F280" s="5">
        <v>46.32</v>
      </c>
      <c r="G280" s="18" t="s">
        <v>1231</v>
      </c>
      <c r="H280" s="2">
        <v>-4.1000000000000003E-3</v>
      </c>
      <c r="I280" s="16">
        <f t="shared" si="23"/>
        <v>-4.079003864319402E-3</v>
      </c>
      <c r="J280" s="16">
        <f t="shared" si="24"/>
        <v>0.99592099613568064</v>
      </c>
      <c r="K280" s="16">
        <f t="shared" si="20"/>
        <v>45.24526315789474</v>
      </c>
      <c r="L280" s="16">
        <f t="shared" si="21"/>
        <v>43.818775510204077</v>
      </c>
      <c r="M280" s="25" t="str">
        <f t="shared" si="22"/>
        <v>HOLD</v>
      </c>
    </row>
    <row r="281" spans="2:13">
      <c r="B281" s="3">
        <v>42461</v>
      </c>
      <c r="C281" s="5">
        <v>46.83</v>
      </c>
      <c r="D281" s="5">
        <v>46.14</v>
      </c>
      <c r="E281" s="5">
        <v>46.87</v>
      </c>
      <c r="F281" s="5">
        <v>46.11</v>
      </c>
      <c r="G281" s="18" t="s">
        <v>438</v>
      </c>
      <c r="H281" s="2">
        <v>9.4999999999999998E-3</v>
      </c>
      <c r="I281" s="16">
        <f t="shared" si="23"/>
        <v>9.4848027592152988E-3</v>
      </c>
      <c r="J281" s="16">
        <f t="shared" si="24"/>
        <v>1.0094848027592154</v>
      </c>
      <c r="K281" s="16">
        <f t="shared" si="20"/>
        <v>45.373157894736849</v>
      </c>
      <c r="L281" s="16">
        <f t="shared" si="21"/>
        <v>43.921020408163258</v>
      </c>
      <c r="M281" s="25" t="str">
        <f t="shared" si="22"/>
        <v>HOLD</v>
      </c>
    </row>
    <row r="282" spans="2:13">
      <c r="B282" s="3">
        <v>42464</v>
      </c>
      <c r="C282" s="5">
        <v>46.89</v>
      </c>
      <c r="D282" s="5">
        <v>46.84</v>
      </c>
      <c r="E282" s="5">
        <v>46.93</v>
      </c>
      <c r="F282" s="5">
        <v>46.5</v>
      </c>
      <c r="G282" s="18" t="s">
        <v>799</v>
      </c>
      <c r="H282" s="2">
        <v>1.2999999999999999E-3</v>
      </c>
      <c r="I282" s="16">
        <f t="shared" si="23"/>
        <v>1.2812299807815988E-3</v>
      </c>
      <c r="J282" s="16">
        <f t="shared" si="24"/>
        <v>1.0012812299807816</v>
      </c>
      <c r="K282" s="16">
        <f t="shared" si="20"/>
        <v>45.516315789473694</v>
      </c>
      <c r="L282" s="16">
        <f t="shared" si="21"/>
        <v>44.032040816326521</v>
      </c>
      <c r="M282" s="25" t="str">
        <f t="shared" si="22"/>
        <v>HOLD</v>
      </c>
    </row>
    <row r="283" spans="2:13">
      <c r="B283" s="3">
        <v>42465</v>
      </c>
      <c r="C283" s="5">
        <v>46.53</v>
      </c>
      <c r="D283" s="5">
        <v>46.62</v>
      </c>
      <c r="E283" s="5">
        <v>46.81</v>
      </c>
      <c r="F283" s="5">
        <v>46.44</v>
      </c>
      <c r="G283" s="18" t="s">
        <v>1108</v>
      </c>
      <c r="H283" s="2">
        <v>-7.7000000000000002E-3</v>
      </c>
      <c r="I283" s="16">
        <f t="shared" si="23"/>
        <v>-7.6775431861804098E-3</v>
      </c>
      <c r="J283" s="16">
        <f t="shared" si="24"/>
        <v>0.99232245681381959</v>
      </c>
      <c r="K283" s="16">
        <f t="shared" ref="K283:K346" si="25">AVERAGE(C264:C282)</f>
        <v>45.667894736842108</v>
      </c>
      <c r="L283" s="16">
        <f t="shared" si="21"/>
        <v>44.130612244897954</v>
      </c>
      <c r="M283" s="25" t="str">
        <f t="shared" si="22"/>
        <v>HOLD</v>
      </c>
    </row>
    <row r="284" spans="2:13">
      <c r="B284" s="3">
        <v>42466</v>
      </c>
      <c r="C284" s="5">
        <v>46.71</v>
      </c>
      <c r="D284" s="5">
        <v>46.57</v>
      </c>
      <c r="E284" s="5">
        <v>46.73</v>
      </c>
      <c r="F284" s="5">
        <v>46.38</v>
      </c>
      <c r="G284" s="18" t="s">
        <v>512</v>
      </c>
      <c r="H284" s="2">
        <v>3.8999999999999998E-3</v>
      </c>
      <c r="I284" s="16">
        <f t="shared" si="23"/>
        <v>3.8684719535783305E-3</v>
      </c>
      <c r="J284" s="16">
        <f t="shared" si="24"/>
        <v>1.0038684719535784</v>
      </c>
      <c r="K284" s="16">
        <f t="shared" si="25"/>
        <v>45.784210526315789</v>
      </c>
      <c r="L284" s="16">
        <f t="shared" si="21"/>
        <v>44.219795918367346</v>
      </c>
      <c r="M284" s="25" t="str">
        <f t="shared" si="22"/>
        <v>HOLD</v>
      </c>
    </row>
    <row r="285" spans="2:13">
      <c r="B285" s="3">
        <v>42467</v>
      </c>
      <c r="C285" s="5">
        <v>46.36</v>
      </c>
      <c r="D285" s="5">
        <v>46.5</v>
      </c>
      <c r="E285" s="5">
        <v>46.58</v>
      </c>
      <c r="F285" s="5">
        <v>46.16</v>
      </c>
      <c r="G285" s="18" t="s">
        <v>788</v>
      </c>
      <c r="H285" s="2">
        <v>-7.4999999999999997E-3</v>
      </c>
      <c r="I285" s="16">
        <f t="shared" si="23"/>
        <v>-7.4930421751231305E-3</v>
      </c>
      <c r="J285" s="16">
        <f t="shared" si="24"/>
        <v>0.99250695782487686</v>
      </c>
      <c r="K285" s="16">
        <f t="shared" si="25"/>
        <v>45.88421052631579</v>
      </c>
      <c r="L285" s="16">
        <f t="shared" si="21"/>
        <v>44.314285714285717</v>
      </c>
      <c r="M285" s="25" t="str">
        <f t="shared" si="22"/>
        <v>HOLD</v>
      </c>
    </row>
    <row r="286" spans="2:13">
      <c r="B286" s="3">
        <v>42468</v>
      </c>
      <c r="C286" s="5">
        <v>46.87</v>
      </c>
      <c r="D286" s="5">
        <v>46.44</v>
      </c>
      <c r="E286" s="5">
        <v>46.98</v>
      </c>
      <c r="F286" s="5">
        <v>46.44</v>
      </c>
      <c r="G286" s="18" t="s">
        <v>134</v>
      </c>
      <c r="H286" s="2">
        <v>1.0999999999999999E-2</v>
      </c>
      <c r="I286" s="16">
        <f t="shared" si="23"/>
        <v>1.1000862812769586E-2</v>
      </c>
      <c r="J286" s="16">
        <f t="shared" si="24"/>
        <v>1.0110008628127696</v>
      </c>
      <c r="K286" s="16">
        <f t="shared" si="25"/>
        <v>45.943684210526321</v>
      </c>
      <c r="L286" s="16">
        <f t="shared" si="21"/>
        <v>44.401428571428575</v>
      </c>
      <c r="M286" s="25" t="str">
        <f t="shared" si="22"/>
        <v>HOLD</v>
      </c>
    </row>
    <row r="287" spans="2:13">
      <c r="B287" s="3">
        <v>42471</v>
      </c>
      <c r="C287" s="5">
        <v>46.44</v>
      </c>
      <c r="D287" s="5">
        <v>46.9</v>
      </c>
      <c r="E287" s="5">
        <v>47.13</v>
      </c>
      <c r="F287" s="5">
        <v>46.41</v>
      </c>
      <c r="G287" s="18" t="s">
        <v>444</v>
      </c>
      <c r="H287" s="2">
        <v>-9.1999999999999998E-3</v>
      </c>
      <c r="I287" s="16">
        <f t="shared" si="23"/>
        <v>-9.1743119266054982E-3</v>
      </c>
      <c r="J287" s="16">
        <f t="shared" si="24"/>
        <v>0.99082568807339455</v>
      </c>
      <c r="K287" s="16">
        <f t="shared" si="25"/>
        <v>46.031578947368423</v>
      </c>
      <c r="L287" s="16">
        <f t="shared" si="21"/>
        <v>44.489183673469384</v>
      </c>
      <c r="M287" s="25" t="str">
        <f t="shared" si="22"/>
        <v>HOLD</v>
      </c>
    </row>
    <row r="288" spans="2:13">
      <c r="B288" s="3">
        <v>42472</v>
      </c>
      <c r="C288" s="5">
        <v>46.65</v>
      </c>
      <c r="D288" s="5">
        <v>46.41</v>
      </c>
      <c r="E288" s="5">
        <v>46.76</v>
      </c>
      <c r="F288" s="5">
        <v>46.35</v>
      </c>
      <c r="G288" s="18" t="s">
        <v>474</v>
      </c>
      <c r="H288" s="2">
        <v>4.4999999999999997E-3</v>
      </c>
      <c r="I288" s="16">
        <f t="shared" si="23"/>
        <v>4.5219638242894244E-3</v>
      </c>
      <c r="J288" s="16">
        <f t="shared" si="24"/>
        <v>1.0045219638242895</v>
      </c>
      <c r="K288" s="16">
        <f t="shared" si="25"/>
        <v>46.092105263157897</v>
      </c>
      <c r="L288" s="16">
        <f t="shared" si="21"/>
        <v>44.561020408163259</v>
      </c>
      <c r="M288" s="25" t="str">
        <f t="shared" si="22"/>
        <v>HOLD</v>
      </c>
    </row>
    <row r="289" spans="2:13">
      <c r="B289" s="3">
        <v>42473</v>
      </c>
      <c r="C289" s="5">
        <v>46.04</v>
      </c>
      <c r="D289" s="5">
        <v>46.77</v>
      </c>
      <c r="E289" s="5">
        <v>46.78</v>
      </c>
      <c r="F289" s="5">
        <v>45.82</v>
      </c>
      <c r="G289" s="18" t="s">
        <v>712</v>
      </c>
      <c r="H289" s="2">
        <v>-1.3100000000000001E-2</v>
      </c>
      <c r="I289" s="16">
        <f t="shared" si="23"/>
        <v>-1.3076098606645218E-2</v>
      </c>
      <c r="J289" s="16">
        <f t="shared" si="24"/>
        <v>0.98692390139335473</v>
      </c>
      <c r="K289" s="16">
        <f t="shared" si="25"/>
        <v>46.166315789473686</v>
      </c>
      <c r="L289" s="16">
        <f t="shared" si="21"/>
        <v>44.635510204081633</v>
      </c>
      <c r="M289" s="25" t="str">
        <f t="shared" si="22"/>
        <v>HOLD</v>
      </c>
    </row>
    <row r="290" spans="2:13">
      <c r="B290" s="3">
        <v>42474</v>
      </c>
      <c r="C290" s="5">
        <v>45.83</v>
      </c>
      <c r="D290" s="5">
        <v>46.06</v>
      </c>
      <c r="E290" s="5">
        <v>46.22</v>
      </c>
      <c r="F290" s="5">
        <v>45.74</v>
      </c>
      <c r="G290" s="18" t="s">
        <v>240</v>
      </c>
      <c r="H290" s="2">
        <v>-4.5999999999999999E-3</v>
      </c>
      <c r="I290" s="16">
        <f t="shared" si="23"/>
        <v>-4.5612510860121823E-3</v>
      </c>
      <c r="J290" s="16">
        <f t="shared" si="24"/>
        <v>0.99543874891398787</v>
      </c>
      <c r="K290" s="16">
        <f t="shared" si="25"/>
        <v>46.218421052631577</v>
      </c>
      <c r="L290" s="16">
        <f t="shared" si="21"/>
        <v>44.708979591836737</v>
      </c>
      <c r="M290" s="25" t="str">
        <f t="shared" si="22"/>
        <v>HOLD</v>
      </c>
    </row>
    <row r="291" spans="2:13">
      <c r="B291" s="3">
        <v>42475</v>
      </c>
      <c r="C291" s="5">
        <v>46.1</v>
      </c>
      <c r="D291" s="5">
        <v>45.82</v>
      </c>
      <c r="E291" s="5">
        <v>46.16</v>
      </c>
      <c r="F291" s="5">
        <v>45.68</v>
      </c>
      <c r="G291" s="18" t="s">
        <v>1205</v>
      </c>
      <c r="H291" s="2">
        <v>5.8999999999999999E-3</v>
      </c>
      <c r="I291" s="16">
        <f t="shared" si="23"/>
        <v>5.8913375518220195E-3</v>
      </c>
      <c r="J291" s="16">
        <f t="shared" si="24"/>
        <v>1.0058913375518219</v>
      </c>
      <c r="K291" s="16">
        <f t="shared" si="25"/>
        <v>46.221578947368421</v>
      </c>
      <c r="L291" s="16">
        <f t="shared" si="21"/>
        <v>44.772448979591836</v>
      </c>
      <c r="M291" s="25" t="str">
        <f t="shared" si="22"/>
        <v>HOLD</v>
      </c>
    </row>
    <row r="292" spans="2:13">
      <c r="B292" s="3">
        <v>42478</v>
      </c>
      <c r="C292" s="5">
        <v>46.22</v>
      </c>
      <c r="D292" s="5">
        <v>46.13</v>
      </c>
      <c r="E292" s="5">
        <v>46.28</v>
      </c>
      <c r="F292" s="5">
        <v>45.82</v>
      </c>
      <c r="G292" s="18" t="s">
        <v>190</v>
      </c>
      <c r="H292" s="2">
        <v>2.5999999999999999E-3</v>
      </c>
      <c r="I292" s="16">
        <f t="shared" si="23"/>
        <v>2.6030368763556929E-3</v>
      </c>
      <c r="J292" s="16">
        <f t="shared" si="24"/>
        <v>1.0026030368763557</v>
      </c>
      <c r="K292" s="16">
        <f t="shared" si="25"/>
        <v>46.247894736842099</v>
      </c>
      <c r="L292" s="16">
        <f t="shared" si="21"/>
        <v>44.845306122448974</v>
      </c>
      <c r="M292" s="25" t="str">
        <f t="shared" si="22"/>
        <v>HOLD</v>
      </c>
    </row>
    <row r="293" spans="2:13">
      <c r="B293" s="3">
        <v>42479</v>
      </c>
      <c r="C293" s="5">
        <v>46.6</v>
      </c>
      <c r="D293" s="5">
        <v>46.31</v>
      </c>
      <c r="E293" s="5">
        <v>46.62</v>
      </c>
      <c r="F293" s="5">
        <v>46.15</v>
      </c>
      <c r="G293" s="18" t="s">
        <v>436</v>
      </c>
      <c r="H293" s="2">
        <v>8.2000000000000007E-3</v>
      </c>
      <c r="I293" s="16">
        <f t="shared" si="23"/>
        <v>8.2215491129381778E-3</v>
      </c>
      <c r="J293" s="16">
        <f t="shared" si="24"/>
        <v>1.0082215491129383</v>
      </c>
      <c r="K293" s="16">
        <f t="shared" si="25"/>
        <v>46.27684210526315</v>
      </c>
      <c r="L293" s="16">
        <f t="shared" si="21"/>
        <v>44.92244897959182</v>
      </c>
      <c r="M293" s="25" t="str">
        <f t="shared" si="22"/>
        <v>HOLD</v>
      </c>
    </row>
    <row r="294" spans="2:13">
      <c r="B294" s="3">
        <v>42480</v>
      </c>
      <c r="C294" s="5">
        <v>44.37</v>
      </c>
      <c r="D294" s="5">
        <v>45.34</v>
      </c>
      <c r="E294" s="5">
        <v>45.38</v>
      </c>
      <c r="F294" s="5">
        <v>44.06</v>
      </c>
      <c r="G294" s="18" t="s">
        <v>1230</v>
      </c>
      <c r="H294" s="2">
        <v>-4.7899999999999998E-2</v>
      </c>
      <c r="I294" s="16">
        <f t="shared" si="23"/>
        <v>-4.7854077253218968E-2</v>
      </c>
      <c r="J294" s="16">
        <f t="shared" si="24"/>
        <v>0.952145922746781</v>
      </c>
      <c r="K294" s="16">
        <f t="shared" si="25"/>
        <v>46.334736842105258</v>
      </c>
      <c r="L294" s="16">
        <f t="shared" si="21"/>
        <v>45.003061224489791</v>
      </c>
      <c r="M294" s="25" t="str">
        <f t="shared" si="22"/>
        <v>HOLD</v>
      </c>
    </row>
    <row r="295" spans="2:13">
      <c r="B295" s="3">
        <v>42481</v>
      </c>
      <c r="C295" s="5">
        <v>43.66</v>
      </c>
      <c r="D295" s="5">
        <v>44.26</v>
      </c>
      <c r="E295" s="5">
        <v>44.28</v>
      </c>
      <c r="F295" s="5">
        <v>42.87</v>
      </c>
      <c r="G295" s="18" t="s">
        <v>1229</v>
      </c>
      <c r="H295" s="2">
        <v>-1.6E-2</v>
      </c>
      <c r="I295" s="16">
        <f t="shared" si="23"/>
        <v>-1.600180302005862E-2</v>
      </c>
      <c r="J295" s="16">
        <f t="shared" si="24"/>
        <v>0.9839981969799414</v>
      </c>
      <c r="K295" s="16">
        <f t="shared" si="25"/>
        <v>46.277368421052628</v>
      </c>
      <c r="L295" s="16">
        <f t="shared" si="21"/>
        <v>45.024897959183662</v>
      </c>
      <c r="M295" s="25" t="str">
        <f t="shared" si="22"/>
        <v>HOLD</v>
      </c>
    </row>
    <row r="296" spans="2:13">
      <c r="B296" s="3">
        <v>42482</v>
      </c>
      <c r="C296" s="5">
        <v>44.54</v>
      </c>
      <c r="D296" s="5">
        <v>43.79</v>
      </c>
      <c r="E296" s="5">
        <v>44.66</v>
      </c>
      <c r="F296" s="5">
        <v>43.79</v>
      </c>
      <c r="G296" s="18" t="s">
        <v>1228</v>
      </c>
      <c r="H296" s="2">
        <v>2.0199999999999999E-2</v>
      </c>
      <c r="I296" s="16">
        <f t="shared" si="23"/>
        <v>2.015574896930835E-2</v>
      </c>
      <c r="J296" s="16">
        <f t="shared" si="24"/>
        <v>1.0201557489693083</v>
      </c>
      <c r="K296" s="16">
        <f t="shared" si="25"/>
        <v>46.176315789473684</v>
      </c>
      <c r="L296" s="16">
        <f t="shared" si="21"/>
        <v>45.047551020408143</v>
      </c>
      <c r="M296" s="25" t="str">
        <f t="shared" si="22"/>
        <v>HOLD</v>
      </c>
    </row>
    <row r="297" spans="2:13">
      <c r="B297" s="3">
        <v>42485</v>
      </c>
      <c r="C297" s="5">
        <v>44.71</v>
      </c>
      <c r="D297" s="5">
        <v>44.5</v>
      </c>
      <c r="E297" s="5">
        <v>44.72</v>
      </c>
      <c r="F297" s="5">
        <v>44.38</v>
      </c>
      <c r="G297" s="18" t="s">
        <v>372</v>
      </c>
      <c r="H297" s="2">
        <v>3.8E-3</v>
      </c>
      <c r="I297" s="16">
        <f t="shared" si="23"/>
        <v>3.8167938931298094E-3</v>
      </c>
      <c r="J297" s="16">
        <f t="shared" si="24"/>
        <v>1.0038167938931297</v>
      </c>
      <c r="K297" s="16">
        <f t="shared" si="25"/>
        <v>46.109999999999992</v>
      </c>
      <c r="L297" s="16">
        <f t="shared" si="21"/>
        <v>45.09102040816326</v>
      </c>
      <c r="M297" s="25" t="str">
        <f t="shared" si="22"/>
        <v>HOLD</v>
      </c>
    </row>
    <row r="298" spans="2:13">
      <c r="B298" s="3">
        <v>42486</v>
      </c>
      <c r="C298" s="5">
        <v>44.53</v>
      </c>
      <c r="D298" s="5">
        <v>44.92</v>
      </c>
      <c r="E298" s="5">
        <v>44.96</v>
      </c>
      <c r="F298" s="5">
        <v>44.43</v>
      </c>
      <c r="G298" s="18" t="s">
        <v>664</v>
      </c>
      <c r="H298" s="2">
        <v>-4.0000000000000001E-3</v>
      </c>
      <c r="I298" s="16">
        <f t="shared" si="23"/>
        <v>-4.0259449787519502E-3</v>
      </c>
      <c r="J298" s="16">
        <f t="shared" si="24"/>
        <v>0.99597405502124803</v>
      </c>
      <c r="K298" s="16">
        <f t="shared" si="25"/>
        <v>46.016842105263159</v>
      </c>
      <c r="L298" s="16">
        <f t="shared" si="21"/>
        <v>45.123673469387747</v>
      </c>
      <c r="M298" s="25" t="str">
        <f t="shared" si="22"/>
        <v>HOLD</v>
      </c>
    </row>
    <row r="299" spans="2:13">
      <c r="B299" s="3">
        <v>42487</v>
      </c>
      <c r="C299" s="5">
        <v>44.68</v>
      </c>
      <c r="D299" s="5">
        <v>44.64</v>
      </c>
      <c r="E299" s="5">
        <v>44.86</v>
      </c>
      <c r="F299" s="5">
        <v>44.25</v>
      </c>
      <c r="G299" s="18" t="s">
        <v>1015</v>
      </c>
      <c r="H299" s="2">
        <v>3.3999999999999998E-3</v>
      </c>
      <c r="I299" s="16">
        <f t="shared" si="23"/>
        <v>3.3685156074556161E-3</v>
      </c>
      <c r="J299" s="16">
        <f t="shared" si="24"/>
        <v>1.0033685156074557</v>
      </c>
      <c r="K299" s="16">
        <f t="shared" si="25"/>
        <v>45.908947368421053</v>
      </c>
      <c r="L299" s="16">
        <f t="shared" si="21"/>
        <v>45.147551020408152</v>
      </c>
      <c r="M299" s="25" t="str">
        <f t="shared" si="22"/>
        <v>HOLD</v>
      </c>
    </row>
    <row r="300" spans="2:13">
      <c r="B300" s="3">
        <v>42488</v>
      </c>
      <c r="C300" s="5">
        <v>44.63</v>
      </c>
      <c r="D300" s="5">
        <v>44.5</v>
      </c>
      <c r="E300" s="5">
        <v>44.9</v>
      </c>
      <c r="F300" s="5">
        <v>44.46</v>
      </c>
      <c r="G300" s="18" t="s">
        <v>234</v>
      </c>
      <c r="H300" s="2">
        <v>-1.1000000000000001E-3</v>
      </c>
      <c r="I300" s="16">
        <f t="shared" si="23"/>
        <v>-1.1190689346463106E-3</v>
      </c>
      <c r="J300" s="16">
        <f t="shared" si="24"/>
        <v>0.99888093106535369</v>
      </c>
      <c r="K300" s="16">
        <f t="shared" si="25"/>
        <v>45.81894736842105</v>
      </c>
      <c r="L300" s="16">
        <f t="shared" si="21"/>
        <v>45.171836734693869</v>
      </c>
      <c r="M300" s="25" t="str">
        <f t="shared" si="22"/>
        <v>HOLD</v>
      </c>
    </row>
    <row r="301" spans="2:13">
      <c r="B301" s="3">
        <v>42489</v>
      </c>
      <c r="C301" s="5">
        <v>44.8</v>
      </c>
      <c r="D301" s="5">
        <v>44.53</v>
      </c>
      <c r="E301" s="5">
        <v>44.86</v>
      </c>
      <c r="F301" s="5">
        <v>44.5</v>
      </c>
      <c r="G301" s="18" t="s">
        <v>1227</v>
      </c>
      <c r="H301" s="2">
        <v>3.8E-3</v>
      </c>
      <c r="I301" s="16">
        <f t="shared" si="23"/>
        <v>3.8090970199416221E-3</v>
      </c>
      <c r="J301" s="16">
        <f t="shared" si="24"/>
        <v>1.0038090970199416</v>
      </c>
      <c r="K301" s="16">
        <f t="shared" si="25"/>
        <v>45.70315789473684</v>
      </c>
      <c r="L301" s="16">
        <f t="shared" si="21"/>
        <v>45.192653061224483</v>
      </c>
      <c r="M301" s="25" t="str">
        <f t="shared" si="22"/>
        <v>HOLD</v>
      </c>
    </row>
    <row r="302" spans="2:13">
      <c r="B302" s="3">
        <v>42492</v>
      </c>
      <c r="C302" s="5">
        <v>44.98</v>
      </c>
      <c r="D302" s="5">
        <v>44.57</v>
      </c>
      <c r="E302" s="5">
        <v>45.19</v>
      </c>
      <c r="F302" s="5">
        <v>44.57</v>
      </c>
      <c r="G302" s="18" t="s">
        <v>382</v>
      </c>
      <c r="H302" s="2">
        <v>4.0000000000000001E-3</v>
      </c>
      <c r="I302" s="16">
        <f t="shared" si="23"/>
        <v>4.0178571428571364E-3</v>
      </c>
      <c r="J302" s="16">
        <f t="shared" si="24"/>
        <v>1.0040178571428571</v>
      </c>
      <c r="K302" s="16">
        <f t="shared" si="25"/>
        <v>45.593157894736834</v>
      </c>
      <c r="L302" s="16">
        <f t="shared" si="21"/>
        <v>45.21367346938775</v>
      </c>
      <c r="M302" s="25" t="str">
        <f t="shared" si="22"/>
        <v>HOLD</v>
      </c>
    </row>
    <row r="303" spans="2:13">
      <c r="B303" s="3">
        <v>42493</v>
      </c>
      <c r="C303" s="5">
        <v>44.84</v>
      </c>
      <c r="D303" s="5">
        <v>44.87</v>
      </c>
      <c r="E303" s="5">
        <v>45.06</v>
      </c>
      <c r="F303" s="5">
        <v>44.65</v>
      </c>
      <c r="G303" s="18" t="s">
        <v>473</v>
      </c>
      <c r="H303" s="2">
        <v>-3.0999999999999999E-3</v>
      </c>
      <c r="I303" s="16">
        <f t="shared" si="23"/>
        <v>-3.1124944419740658E-3</v>
      </c>
      <c r="J303" s="16">
        <f t="shared" si="24"/>
        <v>0.99688750555802597</v>
      </c>
      <c r="K303" s="16">
        <f t="shared" si="25"/>
        <v>45.511578947368413</v>
      </c>
      <c r="L303" s="16">
        <f t="shared" si="21"/>
        <v>45.23489795918367</v>
      </c>
      <c r="M303" s="25" t="str">
        <f t="shared" si="22"/>
        <v>HOLD</v>
      </c>
    </row>
    <row r="304" spans="2:13">
      <c r="B304" s="3">
        <v>42494</v>
      </c>
      <c r="C304" s="5">
        <v>44.98</v>
      </c>
      <c r="D304" s="5">
        <v>44.72</v>
      </c>
      <c r="E304" s="5">
        <v>45.11</v>
      </c>
      <c r="F304" s="5">
        <v>44.51</v>
      </c>
      <c r="G304" s="18" t="s">
        <v>899</v>
      </c>
      <c r="H304" s="2">
        <v>3.0999999999999999E-3</v>
      </c>
      <c r="I304" s="16">
        <f t="shared" si="23"/>
        <v>3.1222123104369635E-3</v>
      </c>
      <c r="J304" s="16">
        <f t="shared" si="24"/>
        <v>1.0031222123104369</v>
      </c>
      <c r="K304" s="16">
        <f t="shared" si="25"/>
        <v>45.413157894736834</v>
      </c>
      <c r="L304" s="16">
        <f t="shared" si="21"/>
        <v>45.258367346938769</v>
      </c>
      <c r="M304" s="25" t="str">
        <f t="shared" si="22"/>
        <v>HOLD</v>
      </c>
    </row>
    <row r="305" spans="2:13">
      <c r="B305" s="3">
        <v>42495</v>
      </c>
      <c r="C305" s="5">
        <v>45.06</v>
      </c>
      <c r="D305" s="5">
        <v>44.93</v>
      </c>
      <c r="E305" s="5">
        <v>45.49</v>
      </c>
      <c r="F305" s="5">
        <v>44.87</v>
      </c>
      <c r="G305" s="18" t="s">
        <v>1226</v>
      </c>
      <c r="H305" s="2">
        <v>1.8E-3</v>
      </c>
      <c r="I305" s="16">
        <f t="shared" si="23"/>
        <v>1.778568252556812E-3</v>
      </c>
      <c r="J305" s="16">
        <f t="shared" si="24"/>
        <v>1.0017785682525568</v>
      </c>
      <c r="K305" s="16">
        <f t="shared" si="25"/>
        <v>45.340526315789468</v>
      </c>
      <c r="L305" s="16">
        <f t="shared" si="21"/>
        <v>45.280204081632654</v>
      </c>
      <c r="M305" s="25" t="str">
        <f t="shared" si="22"/>
        <v>HOLD</v>
      </c>
    </row>
    <row r="306" spans="2:13">
      <c r="B306" s="3">
        <v>42496</v>
      </c>
      <c r="C306" s="5">
        <v>45.32</v>
      </c>
      <c r="D306" s="5">
        <v>45.06</v>
      </c>
      <c r="E306" s="5">
        <v>45.41</v>
      </c>
      <c r="F306" s="5">
        <v>44.91</v>
      </c>
      <c r="G306" s="18" t="s">
        <v>271</v>
      </c>
      <c r="H306" s="2">
        <v>5.7999999999999996E-3</v>
      </c>
      <c r="I306" s="16">
        <f t="shared" si="23"/>
        <v>5.7700843320017308E-3</v>
      </c>
      <c r="J306" s="16">
        <f t="shared" si="24"/>
        <v>1.0057700843320017</v>
      </c>
      <c r="K306" s="16">
        <f t="shared" si="25"/>
        <v>45.245263157894726</v>
      </c>
      <c r="L306" s="16">
        <f t="shared" si="21"/>
        <v>45.298571428571421</v>
      </c>
      <c r="M306" s="25" t="str">
        <f t="shared" si="22"/>
        <v>SELL</v>
      </c>
    </row>
    <row r="307" spans="2:13">
      <c r="B307" s="3">
        <v>42499</v>
      </c>
      <c r="C307" s="5">
        <v>45.24</v>
      </c>
      <c r="D307" s="5">
        <v>45.32</v>
      </c>
      <c r="E307" s="5">
        <v>45.5</v>
      </c>
      <c r="F307" s="5">
        <v>45.17</v>
      </c>
      <c r="G307" s="18" t="s">
        <v>1225</v>
      </c>
      <c r="H307" s="2">
        <v>-1.8E-3</v>
      </c>
      <c r="I307" s="16">
        <f t="shared" si="23"/>
        <v>-1.7652250661959023E-3</v>
      </c>
      <c r="J307" s="16">
        <f t="shared" si="24"/>
        <v>0.99823477493380408</v>
      </c>
      <c r="K307" s="16">
        <f t="shared" si="25"/>
        <v>45.186315789473689</v>
      </c>
      <c r="L307" s="16">
        <f t="shared" si="21"/>
        <v>45.343061224489794</v>
      </c>
      <c r="M307" s="25" t="str">
        <f t="shared" si="22"/>
        <v>HOLD</v>
      </c>
    </row>
    <row r="308" spans="2:13">
      <c r="B308" s="3">
        <v>42500</v>
      </c>
      <c r="C308" s="5">
        <v>45.75</v>
      </c>
      <c r="D308" s="5">
        <v>45.44</v>
      </c>
      <c r="E308" s="5">
        <v>45.84</v>
      </c>
      <c r="F308" s="5">
        <v>45.42</v>
      </c>
      <c r="G308" s="18" t="s">
        <v>1224</v>
      </c>
      <c r="H308" s="2">
        <v>1.1299999999999999E-2</v>
      </c>
      <c r="I308" s="16">
        <f t="shared" si="23"/>
        <v>1.1273209549071574E-2</v>
      </c>
      <c r="J308" s="16">
        <f t="shared" si="24"/>
        <v>1.0112732095490715</v>
      </c>
      <c r="K308" s="16">
        <f t="shared" si="25"/>
        <v>45.112105263157893</v>
      </c>
      <c r="L308" s="16">
        <f t="shared" si="21"/>
        <v>45.386122448979584</v>
      </c>
      <c r="M308" s="25" t="str">
        <f t="shared" si="22"/>
        <v>HOLD</v>
      </c>
    </row>
    <row r="309" spans="2:13">
      <c r="B309" s="3">
        <v>42501</v>
      </c>
      <c r="C309" s="5">
        <v>45.46</v>
      </c>
      <c r="D309" s="5">
        <v>45.73</v>
      </c>
      <c r="E309" s="5">
        <v>45.88</v>
      </c>
      <c r="F309" s="5">
        <v>45.45</v>
      </c>
      <c r="G309" s="18" t="s">
        <v>687</v>
      </c>
      <c r="H309" s="2">
        <v>-6.3E-3</v>
      </c>
      <c r="I309" s="16">
        <f t="shared" si="23"/>
        <v>-6.3387978142076321E-3</v>
      </c>
      <c r="J309" s="16">
        <f t="shared" si="24"/>
        <v>0.99366120218579235</v>
      </c>
      <c r="K309" s="16">
        <f t="shared" si="25"/>
        <v>45.096842105263157</v>
      </c>
      <c r="L309" s="16">
        <f t="shared" si="21"/>
        <v>45.428163265306125</v>
      </c>
      <c r="M309" s="25" t="str">
        <f t="shared" si="22"/>
        <v>HOLD</v>
      </c>
    </row>
    <row r="310" spans="2:13">
      <c r="B310" s="3">
        <v>42502</v>
      </c>
      <c r="C310" s="5">
        <v>45.83</v>
      </c>
      <c r="D310" s="5">
        <v>45.55</v>
      </c>
      <c r="E310" s="5">
        <v>45.9</v>
      </c>
      <c r="F310" s="5">
        <v>45.48</v>
      </c>
      <c r="G310" s="18" t="s">
        <v>1143</v>
      </c>
      <c r="H310" s="2">
        <v>8.0999999999999996E-3</v>
      </c>
      <c r="I310" s="16">
        <f t="shared" si="23"/>
        <v>8.1390233172018798E-3</v>
      </c>
      <c r="J310" s="16">
        <f t="shared" si="24"/>
        <v>1.0081390233172018</v>
      </c>
      <c r="K310" s="16">
        <f t="shared" si="25"/>
        <v>45.07736842105264</v>
      </c>
      <c r="L310" s="16">
        <f t="shared" si="21"/>
        <v>45.462653061224479</v>
      </c>
      <c r="M310" s="25" t="str">
        <f t="shared" si="22"/>
        <v>HOLD</v>
      </c>
    </row>
    <row r="311" spans="2:13">
      <c r="B311" s="3">
        <v>42503</v>
      </c>
      <c r="C311" s="5">
        <v>45.35</v>
      </c>
      <c r="D311" s="5">
        <v>45.75</v>
      </c>
      <c r="E311" s="5">
        <v>45.83</v>
      </c>
      <c r="F311" s="5">
        <v>45.23</v>
      </c>
      <c r="G311" s="18" t="s">
        <v>238</v>
      </c>
      <c r="H311" s="2">
        <v>-1.0500000000000001E-2</v>
      </c>
      <c r="I311" s="16">
        <f t="shared" si="23"/>
        <v>-1.0473488981016733E-2</v>
      </c>
      <c r="J311" s="16">
        <f t="shared" si="24"/>
        <v>0.98952651101898326</v>
      </c>
      <c r="K311" s="16">
        <f t="shared" si="25"/>
        <v>45.063157894736854</v>
      </c>
      <c r="L311" s="16">
        <f t="shared" si="21"/>
        <v>45.500816326530604</v>
      </c>
      <c r="M311" s="25" t="str">
        <f t="shared" si="22"/>
        <v>HOLD</v>
      </c>
    </row>
    <row r="312" spans="2:13">
      <c r="B312" s="3">
        <v>42506</v>
      </c>
      <c r="C312" s="5">
        <v>45.62</v>
      </c>
      <c r="D312" s="5">
        <v>45.16</v>
      </c>
      <c r="E312" s="5">
        <v>45.73</v>
      </c>
      <c r="F312" s="5">
        <v>45.14</v>
      </c>
      <c r="G312" s="18" t="s">
        <v>342</v>
      </c>
      <c r="H312" s="2">
        <v>6.0000000000000001E-3</v>
      </c>
      <c r="I312" s="16">
        <f t="shared" si="23"/>
        <v>5.953693495038501E-3</v>
      </c>
      <c r="J312" s="16">
        <f t="shared" si="24"/>
        <v>1.0059536934950386</v>
      </c>
      <c r="K312" s="16">
        <f t="shared" si="25"/>
        <v>45.017368421052645</v>
      </c>
      <c r="L312" s="16">
        <f t="shared" si="21"/>
        <v>45.526122448979585</v>
      </c>
      <c r="M312" s="25" t="str">
        <f t="shared" si="22"/>
        <v>HOLD</v>
      </c>
    </row>
    <row r="313" spans="2:13">
      <c r="B313" s="3">
        <v>42507</v>
      </c>
      <c r="C313" s="5">
        <v>44.75</v>
      </c>
      <c r="D313" s="5">
        <v>45.45</v>
      </c>
      <c r="E313" s="5">
        <v>45.56</v>
      </c>
      <c r="F313" s="5">
        <v>44.71</v>
      </c>
      <c r="G313" s="18" t="s">
        <v>1223</v>
      </c>
      <c r="H313" s="2">
        <v>-1.9099999999999999E-2</v>
      </c>
      <c r="I313" s="16">
        <f t="shared" si="23"/>
        <v>-1.907058307759749E-2</v>
      </c>
      <c r="J313" s="16">
        <f t="shared" si="24"/>
        <v>0.98092941692240254</v>
      </c>
      <c r="K313" s="16">
        <f t="shared" si="25"/>
        <v>44.965789473684218</v>
      </c>
      <c r="L313" s="16">
        <f t="shared" ref="L313:L376" si="26">AVERAGE(C264:C312)</f>
        <v>45.558979591836732</v>
      </c>
      <c r="M313" s="25" t="str">
        <f t="shared" ref="M313:M376" si="27">IF(AND(K313&gt;L313,K312&lt;=L312),"BUY",IF(AND(K313&lt;L313,K312&gt;=L312),"SELL","HOLD"))</f>
        <v>HOLD</v>
      </c>
    </row>
    <row r="314" spans="2:13">
      <c r="B314" s="3">
        <v>42508</v>
      </c>
      <c r="C314" s="5">
        <v>44.48</v>
      </c>
      <c r="D314" s="5">
        <v>44.56</v>
      </c>
      <c r="E314" s="5">
        <v>44.83</v>
      </c>
      <c r="F314" s="5">
        <v>44.23</v>
      </c>
      <c r="G314" s="18" t="s">
        <v>437</v>
      </c>
      <c r="H314" s="2">
        <v>-6.0000000000000001E-3</v>
      </c>
      <c r="I314" s="16">
        <f t="shared" si="23"/>
        <v>-6.0335195530726955E-3</v>
      </c>
      <c r="J314" s="16">
        <f t="shared" si="24"/>
        <v>0.99396648044692726</v>
      </c>
      <c r="K314" s="16">
        <f t="shared" si="25"/>
        <v>44.985789473684214</v>
      </c>
      <c r="L314" s="16">
        <f t="shared" si="26"/>
        <v>45.567755102040799</v>
      </c>
      <c r="M314" s="25" t="str">
        <f t="shared" si="27"/>
        <v>HOLD</v>
      </c>
    </row>
    <row r="315" spans="2:13">
      <c r="B315" s="3">
        <v>42509</v>
      </c>
      <c r="C315" s="5">
        <v>44.32</v>
      </c>
      <c r="D315" s="5">
        <v>44.25</v>
      </c>
      <c r="E315" s="5">
        <v>44.39</v>
      </c>
      <c r="F315" s="5">
        <v>44.04</v>
      </c>
      <c r="G315" s="18" t="s">
        <v>483</v>
      </c>
      <c r="H315" s="2">
        <v>-3.5999999999999999E-3</v>
      </c>
      <c r="I315" s="16">
        <f t="shared" si="23"/>
        <v>-3.5971223021581968E-3</v>
      </c>
      <c r="J315" s="16">
        <f t="shared" si="24"/>
        <v>0.99640287769784175</v>
      </c>
      <c r="K315" s="16">
        <f t="shared" si="25"/>
        <v>45.028947368421065</v>
      </c>
      <c r="L315" s="16">
        <f t="shared" si="26"/>
        <v>45.561020408163259</v>
      </c>
      <c r="M315" s="25" t="str">
        <f t="shared" si="27"/>
        <v>HOLD</v>
      </c>
    </row>
    <row r="316" spans="2:13">
      <c r="B316" s="3">
        <v>42510</v>
      </c>
      <c r="C316" s="5">
        <v>43.95</v>
      </c>
      <c r="D316" s="5">
        <v>44.51</v>
      </c>
      <c r="E316" s="5">
        <v>44.54</v>
      </c>
      <c r="F316" s="5">
        <v>43.94</v>
      </c>
      <c r="G316" s="18" t="s">
        <v>131</v>
      </c>
      <c r="H316" s="2">
        <v>-8.3000000000000001E-3</v>
      </c>
      <c r="I316" s="16">
        <f t="shared" si="23"/>
        <v>-8.3483754512634796E-3</v>
      </c>
      <c r="J316" s="16">
        <f t="shared" si="24"/>
        <v>0.99165162454873657</v>
      </c>
      <c r="K316" s="16">
        <f t="shared" si="25"/>
        <v>45.017368421052645</v>
      </c>
      <c r="L316" s="16">
        <f t="shared" si="26"/>
        <v>45.542448979591832</v>
      </c>
      <c r="M316" s="25" t="str">
        <f t="shared" si="27"/>
        <v>HOLD</v>
      </c>
    </row>
    <row r="317" spans="2:13">
      <c r="B317" s="3">
        <v>42513</v>
      </c>
      <c r="C317" s="5">
        <v>43.97</v>
      </c>
      <c r="D317" s="5">
        <v>44.07</v>
      </c>
      <c r="E317" s="5">
        <v>44.16</v>
      </c>
      <c r="F317" s="5">
        <v>43.94</v>
      </c>
      <c r="G317" s="18" t="s">
        <v>102</v>
      </c>
      <c r="H317" s="2">
        <v>5.0000000000000001E-4</v>
      </c>
      <c r="I317" s="16">
        <f t="shared" si="23"/>
        <v>4.5506257110343619E-4</v>
      </c>
      <c r="J317" s="16">
        <f t="shared" si="24"/>
        <v>1.0004550625711035</v>
      </c>
      <c r="K317" s="16">
        <f t="shared" si="25"/>
        <v>44.977368421052638</v>
      </c>
      <c r="L317" s="16">
        <f t="shared" si="26"/>
        <v>45.516938775510191</v>
      </c>
      <c r="M317" s="25" t="str">
        <f t="shared" si="27"/>
        <v>HOLD</v>
      </c>
    </row>
    <row r="318" spans="2:13">
      <c r="B318" s="3">
        <v>42514</v>
      </c>
      <c r="C318" s="5">
        <v>44.37</v>
      </c>
      <c r="D318" s="5">
        <v>44.1</v>
      </c>
      <c r="E318" s="5">
        <v>44.42</v>
      </c>
      <c r="F318" s="5">
        <v>44</v>
      </c>
      <c r="G318" s="18" t="s">
        <v>1222</v>
      </c>
      <c r="H318" s="2">
        <v>9.1000000000000004E-3</v>
      </c>
      <c r="I318" s="16">
        <f t="shared" si="23"/>
        <v>9.0971116670456806E-3</v>
      </c>
      <c r="J318" s="16">
        <f t="shared" si="24"/>
        <v>1.0090971116670457</v>
      </c>
      <c r="K318" s="16">
        <f t="shared" si="25"/>
        <v>44.947894736842116</v>
      </c>
      <c r="L318" s="16">
        <f t="shared" si="26"/>
        <v>45.489999999999988</v>
      </c>
      <c r="M318" s="25" t="str">
        <f t="shared" si="27"/>
        <v>HOLD</v>
      </c>
    </row>
    <row r="319" spans="2:13">
      <c r="B319" s="3">
        <v>42515</v>
      </c>
      <c r="C319" s="5">
        <v>44.38</v>
      </c>
      <c r="D319" s="5">
        <v>44.51</v>
      </c>
      <c r="E319" s="5">
        <v>44.63</v>
      </c>
      <c r="F319" s="5">
        <v>44.25</v>
      </c>
      <c r="G319" s="18" t="s">
        <v>680</v>
      </c>
      <c r="H319" s="2">
        <v>2.0000000000000001E-4</v>
      </c>
      <c r="I319" s="16">
        <f t="shared" si="23"/>
        <v>2.253775073248843E-4</v>
      </c>
      <c r="J319" s="16">
        <f t="shared" si="24"/>
        <v>1.0002253775073249</v>
      </c>
      <c r="K319" s="16">
        <f t="shared" si="25"/>
        <v>44.931578947368422</v>
      </c>
      <c r="L319" s="16">
        <f t="shared" si="26"/>
        <v>45.472244897959165</v>
      </c>
      <c r="M319" s="25" t="str">
        <f t="shared" si="27"/>
        <v>HOLD</v>
      </c>
    </row>
    <row r="320" spans="2:13">
      <c r="B320" s="3">
        <v>42516</v>
      </c>
      <c r="C320" s="5">
        <v>44.69</v>
      </c>
      <c r="D320" s="5">
        <v>44.53</v>
      </c>
      <c r="E320" s="5">
        <v>44.77</v>
      </c>
      <c r="F320" s="5">
        <v>44.44</v>
      </c>
      <c r="G320" s="18" t="s">
        <v>1221</v>
      </c>
      <c r="H320" s="2">
        <v>7.0000000000000001E-3</v>
      </c>
      <c r="I320" s="16">
        <f t="shared" si="23"/>
        <v>6.985128436232428E-3</v>
      </c>
      <c r="J320" s="16">
        <f t="shared" si="24"/>
        <v>1.0069851284362323</v>
      </c>
      <c r="K320" s="16">
        <f t="shared" si="25"/>
        <v>44.918421052631587</v>
      </c>
      <c r="L320" s="16">
        <f t="shared" si="26"/>
        <v>45.458571428571418</v>
      </c>
      <c r="M320" s="25" t="str">
        <f t="shared" si="27"/>
        <v>HOLD</v>
      </c>
    </row>
    <row r="321" spans="2:13">
      <c r="B321" s="3">
        <v>42517</v>
      </c>
      <c r="C321" s="5">
        <v>44.78</v>
      </c>
      <c r="D321" s="5">
        <v>44.71</v>
      </c>
      <c r="E321" s="5">
        <v>44.96</v>
      </c>
      <c r="F321" s="5">
        <v>44.65</v>
      </c>
      <c r="G321" s="18" t="s">
        <v>1220</v>
      </c>
      <c r="H321" s="2">
        <v>2E-3</v>
      </c>
      <c r="I321" s="16">
        <f t="shared" si="23"/>
        <v>2.013873349742748E-3</v>
      </c>
      <c r="J321" s="16">
        <f t="shared" si="24"/>
        <v>1.0020138733497428</v>
      </c>
      <c r="K321" s="16">
        <f t="shared" si="25"/>
        <v>44.912631578947376</v>
      </c>
      <c r="L321" s="16">
        <f t="shared" si="26"/>
        <v>45.436530612244887</v>
      </c>
      <c r="M321" s="25" t="str">
        <f t="shared" si="27"/>
        <v>HOLD</v>
      </c>
    </row>
    <row r="322" spans="2:13">
      <c r="B322" s="3">
        <v>42521</v>
      </c>
      <c r="C322" s="5">
        <v>44.6</v>
      </c>
      <c r="D322" s="5">
        <v>44.98</v>
      </c>
      <c r="E322" s="5">
        <v>44.98</v>
      </c>
      <c r="F322" s="5">
        <v>44.26</v>
      </c>
      <c r="G322" s="18" t="s">
        <v>706</v>
      </c>
      <c r="H322" s="2">
        <v>-4.0000000000000001E-3</v>
      </c>
      <c r="I322" s="16">
        <f t="shared" si="23"/>
        <v>-4.0196516301920435E-3</v>
      </c>
      <c r="J322" s="16">
        <f t="shared" si="24"/>
        <v>0.99598034836980798</v>
      </c>
      <c r="K322" s="16">
        <f t="shared" si="25"/>
        <v>44.9021052631579</v>
      </c>
      <c r="L322" s="16">
        <f t="shared" si="26"/>
        <v>45.419795918367349</v>
      </c>
      <c r="M322" s="25" t="str">
        <f t="shared" si="27"/>
        <v>HOLD</v>
      </c>
    </row>
    <row r="323" spans="2:13">
      <c r="B323" s="3">
        <v>42522</v>
      </c>
      <c r="C323" s="5">
        <v>44.7</v>
      </c>
      <c r="D323" s="5">
        <v>44.6</v>
      </c>
      <c r="E323" s="5">
        <v>44.77</v>
      </c>
      <c r="F323" s="5">
        <v>44.49</v>
      </c>
      <c r="G323" s="18" t="s">
        <v>517</v>
      </c>
      <c r="H323" s="2">
        <v>2.2000000000000001E-3</v>
      </c>
      <c r="I323" s="16">
        <f t="shared" si="23"/>
        <v>2.2421524663677446E-3</v>
      </c>
      <c r="J323" s="16">
        <f t="shared" si="24"/>
        <v>1.0022421524663678</v>
      </c>
      <c r="K323" s="16">
        <f t="shared" si="25"/>
        <v>44.889473684210536</v>
      </c>
      <c r="L323" s="16">
        <f t="shared" si="26"/>
        <v>45.397959183673457</v>
      </c>
      <c r="M323" s="25" t="str">
        <f t="shared" si="27"/>
        <v>HOLD</v>
      </c>
    </row>
    <row r="324" spans="2:13">
      <c r="B324" s="3">
        <v>42523</v>
      </c>
      <c r="C324" s="5">
        <v>44.72</v>
      </c>
      <c r="D324" s="5">
        <v>44.7</v>
      </c>
      <c r="E324" s="5">
        <v>44.72</v>
      </c>
      <c r="F324" s="5">
        <v>44.5</v>
      </c>
      <c r="G324" s="18" t="s">
        <v>1219</v>
      </c>
      <c r="H324" s="2">
        <v>4.0000000000000002E-4</v>
      </c>
      <c r="I324" s="16">
        <f t="shared" si="23"/>
        <v>4.474272930647879E-4</v>
      </c>
      <c r="J324" s="16">
        <f t="shared" si="24"/>
        <v>1.0004474272930648</v>
      </c>
      <c r="K324" s="16">
        <f t="shared" si="25"/>
        <v>44.874736842105278</v>
      </c>
      <c r="L324" s="16">
        <f t="shared" si="26"/>
        <v>45.38163265306121</v>
      </c>
      <c r="M324" s="25" t="str">
        <f t="shared" si="27"/>
        <v>HOLD</v>
      </c>
    </row>
    <row r="325" spans="2:13">
      <c r="B325" s="3">
        <v>42524</v>
      </c>
      <c r="C325" s="5">
        <v>45.04</v>
      </c>
      <c r="D325" s="5">
        <v>44.75</v>
      </c>
      <c r="E325" s="5">
        <v>45.05</v>
      </c>
      <c r="F325" s="5">
        <v>44.68</v>
      </c>
      <c r="G325" s="18" t="s">
        <v>57</v>
      </c>
      <c r="H325" s="2">
        <v>7.1999999999999998E-3</v>
      </c>
      <c r="I325" s="16">
        <f t="shared" si="23"/>
        <v>7.1556350626118129E-3</v>
      </c>
      <c r="J325" s="16">
        <f t="shared" si="24"/>
        <v>1.0071556350626119</v>
      </c>
      <c r="K325" s="16">
        <f t="shared" si="25"/>
        <v>44.856842105263162</v>
      </c>
      <c r="L325" s="16">
        <f t="shared" si="26"/>
        <v>45.366530612244887</v>
      </c>
      <c r="M325" s="25" t="str">
        <f t="shared" si="27"/>
        <v>HOLD</v>
      </c>
    </row>
    <row r="326" spans="2:13">
      <c r="B326" s="3">
        <v>42527</v>
      </c>
      <c r="C326" s="5">
        <v>45.37</v>
      </c>
      <c r="D326" s="5">
        <v>45.09</v>
      </c>
      <c r="E326" s="5">
        <v>45.48</v>
      </c>
      <c r="F326" s="5">
        <v>45.08</v>
      </c>
      <c r="G326" s="18" t="s">
        <v>1149</v>
      </c>
      <c r="H326" s="2">
        <v>7.3000000000000001E-3</v>
      </c>
      <c r="I326" s="16">
        <f t="shared" si="23"/>
        <v>7.3268206039075997E-3</v>
      </c>
      <c r="J326" s="16">
        <f t="shared" si="24"/>
        <v>1.0073268206039077</v>
      </c>
      <c r="K326" s="16">
        <f t="shared" si="25"/>
        <v>44.842105263157897</v>
      </c>
      <c r="L326" s="16">
        <f t="shared" si="26"/>
        <v>45.355510204081618</v>
      </c>
      <c r="M326" s="25" t="str">
        <f t="shared" si="27"/>
        <v>HOLD</v>
      </c>
    </row>
    <row r="327" spans="2:13">
      <c r="B327" s="3">
        <v>42528</v>
      </c>
      <c r="C327" s="5">
        <v>45.32</v>
      </c>
      <c r="D327" s="5">
        <v>45.35</v>
      </c>
      <c r="E327" s="5">
        <v>45.48</v>
      </c>
      <c r="F327" s="5">
        <v>45.2</v>
      </c>
      <c r="G327" s="18" t="s">
        <v>197</v>
      </c>
      <c r="H327" s="2">
        <v>-1.1000000000000001E-3</v>
      </c>
      <c r="I327" s="16">
        <f t="shared" si="23"/>
        <v>-1.1020498126514692E-3</v>
      </c>
      <c r="J327" s="16">
        <f t="shared" si="24"/>
        <v>0.9988979501873485</v>
      </c>
      <c r="K327" s="16">
        <f t="shared" si="25"/>
        <v>44.848947368421058</v>
      </c>
      <c r="L327" s="16">
        <f t="shared" si="26"/>
        <v>45.346734693877529</v>
      </c>
      <c r="M327" s="25" t="str">
        <f t="shared" si="27"/>
        <v>HOLD</v>
      </c>
    </row>
    <row r="328" spans="2:13">
      <c r="B328" s="3">
        <v>42529</v>
      </c>
      <c r="C328" s="5">
        <v>45.55</v>
      </c>
      <c r="D328" s="5">
        <v>45.24</v>
      </c>
      <c r="E328" s="5">
        <v>45.66</v>
      </c>
      <c r="F328" s="5">
        <v>45.19</v>
      </c>
      <c r="G328" s="18" t="s">
        <v>1044</v>
      </c>
      <c r="H328" s="2">
        <v>5.1000000000000004E-3</v>
      </c>
      <c r="I328" s="16">
        <f t="shared" si="23"/>
        <v>5.0750220653132585E-3</v>
      </c>
      <c r="J328" s="16">
        <f t="shared" si="24"/>
        <v>1.0050750220653133</v>
      </c>
      <c r="K328" s="16">
        <f t="shared" si="25"/>
        <v>44.826315789473689</v>
      </c>
      <c r="L328" s="16">
        <f t="shared" si="26"/>
        <v>45.323061224489784</v>
      </c>
      <c r="M328" s="25" t="str">
        <f t="shared" si="27"/>
        <v>HOLD</v>
      </c>
    </row>
    <row r="329" spans="2:13">
      <c r="B329" s="3">
        <v>42530</v>
      </c>
      <c r="C329" s="5">
        <v>45.76</v>
      </c>
      <c r="D329" s="5">
        <v>45.33</v>
      </c>
      <c r="E329" s="5">
        <v>45.8</v>
      </c>
      <c r="F329" s="5">
        <v>45.31</v>
      </c>
      <c r="G329" s="18" t="s">
        <v>353</v>
      </c>
      <c r="H329" s="2">
        <v>4.5999999999999999E-3</v>
      </c>
      <c r="I329" s="16">
        <f t="shared" ref="I329:I392" si="28">(C329-C328)/C328</f>
        <v>4.6103183315038612E-3</v>
      </c>
      <c r="J329" s="16">
        <f t="shared" ref="J329:J392" si="29">C329/C328</f>
        <v>1.0046103183315038</v>
      </c>
      <c r="K329" s="16">
        <f t="shared" si="25"/>
        <v>44.831052631578949</v>
      </c>
      <c r="L329" s="16">
        <f t="shared" si="26"/>
        <v>45.302040816326524</v>
      </c>
      <c r="M329" s="25" t="str">
        <f t="shared" si="27"/>
        <v>HOLD</v>
      </c>
    </row>
    <row r="330" spans="2:13">
      <c r="B330" s="3">
        <v>42531</v>
      </c>
      <c r="C330" s="5">
        <v>45.99</v>
      </c>
      <c r="D330" s="5">
        <v>45.62</v>
      </c>
      <c r="E330" s="5">
        <v>46.01</v>
      </c>
      <c r="F330" s="5">
        <v>45.56</v>
      </c>
      <c r="G330" s="18" t="s">
        <v>323</v>
      </c>
      <c r="H330" s="2">
        <v>5.0000000000000001E-3</v>
      </c>
      <c r="I330" s="16">
        <f t="shared" si="28"/>
        <v>5.0262237762238636E-3</v>
      </c>
      <c r="J330" s="16">
        <f t="shared" si="29"/>
        <v>1.005026223776224</v>
      </c>
      <c r="K330" s="16">
        <f t="shared" si="25"/>
        <v>44.827368421052633</v>
      </c>
      <c r="L330" s="16">
        <f t="shared" si="26"/>
        <v>45.289183673469388</v>
      </c>
      <c r="M330" s="25" t="str">
        <f t="shared" si="27"/>
        <v>HOLD</v>
      </c>
    </row>
    <row r="331" spans="2:13">
      <c r="B331" s="3">
        <v>42534</v>
      </c>
      <c r="C331" s="5">
        <v>45.12</v>
      </c>
      <c r="D331" s="5">
        <v>45.48</v>
      </c>
      <c r="E331" s="5">
        <v>45.67</v>
      </c>
      <c r="F331" s="5">
        <v>45.09</v>
      </c>
      <c r="G331" s="18" t="s">
        <v>698</v>
      </c>
      <c r="H331" s="2">
        <v>-1.89E-2</v>
      </c>
      <c r="I331" s="16">
        <f t="shared" si="28"/>
        <v>-1.8917155903457373E-2</v>
      </c>
      <c r="J331" s="16">
        <f t="shared" si="29"/>
        <v>0.98108284409654267</v>
      </c>
      <c r="K331" s="16">
        <f t="shared" si="25"/>
        <v>44.861052631578957</v>
      </c>
      <c r="L331" s="16">
        <f t="shared" si="26"/>
        <v>45.272040816326523</v>
      </c>
      <c r="M331" s="25" t="str">
        <f t="shared" si="27"/>
        <v>HOLD</v>
      </c>
    </row>
    <row r="332" spans="2:13">
      <c r="B332" s="3">
        <v>42535</v>
      </c>
      <c r="C332" s="5">
        <v>45.04</v>
      </c>
      <c r="D332" s="5">
        <v>44.85</v>
      </c>
      <c r="E332" s="5">
        <v>45.13</v>
      </c>
      <c r="F332" s="5">
        <v>44.44</v>
      </c>
      <c r="G332" s="18" t="s">
        <v>1186</v>
      </c>
      <c r="H332" s="2">
        <v>-1.8E-3</v>
      </c>
      <c r="I332" s="16">
        <f t="shared" si="28"/>
        <v>-1.7730496453900331E-3</v>
      </c>
      <c r="J332" s="16">
        <f t="shared" si="29"/>
        <v>0.99822695035460995</v>
      </c>
      <c r="K332" s="16">
        <f t="shared" si="25"/>
        <v>44.834736842105258</v>
      </c>
      <c r="L332" s="16">
        <f t="shared" si="26"/>
        <v>45.235918367346926</v>
      </c>
      <c r="M332" s="25" t="str">
        <f t="shared" si="27"/>
        <v>HOLD</v>
      </c>
    </row>
    <row r="333" spans="2:13">
      <c r="B333" s="3">
        <v>42536</v>
      </c>
      <c r="C333" s="5">
        <v>45.01</v>
      </c>
      <c r="D333" s="5">
        <v>45.12</v>
      </c>
      <c r="E333" s="5">
        <v>45.34</v>
      </c>
      <c r="F333" s="5">
        <v>44.88</v>
      </c>
      <c r="G333" s="18" t="s">
        <v>1146</v>
      </c>
      <c r="H333" s="2">
        <v>-6.9999999999999999E-4</v>
      </c>
      <c r="I333" s="16">
        <f t="shared" si="28"/>
        <v>-6.6607460035526507E-4</v>
      </c>
      <c r="J333" s="16">
        <f t="shared" si="29"/>
        <v>0.99933392539964472</v>
      </c>
      <c r="K333" s="16">
        <f t="shared" si="25"/>
        <v>44.85</v>
      </c>
      <c r="L333" s="16">
        <f t="shared" si="26"/>
        <v>45.205510204081619</v>
      </c>
      <c r="M333" s="25" t="str">
        <f t="shared" si="27"/>
        <v>HOLD</v>
      </c>
    </row>
    <row r="334" spans="2:13">
      <c r="B334" s="3">
        <v>42537</v>
      </c>
      <c r="C334" s="5">
        <v>45.31</v>
      </c>
      <c r="D334" s="5">
        <v>44.87</v>
      </c>
      <c r="E334" s="5">
        <v>45.34</v>
      </c>
      <c r="F334" s="5">
        <v>44.72</v>
      </c>
      <c r="G334" s="18" t="s">
        <v>536</v>
      </c>
      <c r="H334" s="2">
        <v>6.7000000000000002E-3</v>
      </c>
      <c r="I334" s="16">
        <f t="shared" si="28"/>
        <v>6.6651855143302439E-3</v>
      </c>
      <c r="J334" s="16">
        <f t="shared" si="29"/>
        <v>1.0066651855143303</v>
      </c>
      <c r="K334" s="16">
        <f t="shared" si="25"/>
        <v>44.877894736842102</v>
      </c>
      <c r="L334" s="16">
        <f t="shared" si="26"/>
        <v>45.170816326530598</v>
      </c>
      <c r="M334" s="25" t="str">
        <f t="shared" si="27"/>
        <v>HOLD</v>
      </c>
    </row>
    <row r="335" spans="2:13">
      <c r="B335" s="3">
        <v>42538</v>
      </c>
      <c r="C335" s="5">
        <v>44.79</v>
      </c>
      <c r="D335" s="5">
        <v>45.17</v>
      </c>
      <c r="E335" s="5">
        <v>45.22</v>
      </c>
      <c r="F335" s="5">
        <v>44.38</v>
      </c>
      <c r="G335" s="18" t="s">
        <v>1218</v>
      </c>
      <c r="H335" s="2">
        <v>-1.15E-2</v>
      </c>
      <c r="I335" s="16">
        <f t="shared" si="28"/>
        <v>-1.1476495254910684E-2</v>
      </c>
      <c r="J335" s="16">
        <f t="shared" si="29"/>
        <v>0.98852350474508932</v>
      </c>
      <c r="K335" s="16">
        <f t="shared" si="25"/>
        <v>44.929999999999993</v>
      </c>
      <c r="L335" s="16">
        <f t="shared" si="26"/>
        <v>45.149387755102033</v>
      </c>
      <c r="M335" s="25" t="str">
        <f t="shared" si="27"/>
        <v>HOLD</v>
      </c>
    </row>
    <row r="336" spans="2:13">
      <c r="B336" s="3">
        <v>42541</v>
      </c>
      <c r="C336" s="5">
        <v>44.98</v>
      </c>
      <c r="D336" s="5">
        <v>45.09</v>
      </c>
      <c r="E336" s="5">
        <v>45.31</v>
      </c>
      <c r="F336" s="5">
        <v>44.96</v>
      </c>
      <c r="G336" s="18" t="s">
        <v>407</v>
      </c>
      <c r="H336" s="2">
        <v>4.1999999999999997E-3</v>
      </c>
      <c r="I336" s="16">
        <f t="shared" si="28"/>
        <v>4.2420183076579089E-3</v>
      </c>
      <c r="J336" s="16">
        <f t="shared" si="29"/>
        <v>1.0042420183076579</v>
      </c>
      <c r="K336" s="16">
        <f t="shared" si="25"/>
        <v>44.974210526315787</v>
      </c>
      <c r="L336" s="16">
        <f t="shared" si="26"/>
        <v>45.106938775510187</v>
      </c>
      <c r="M336" s="25" t="str">
        <f t="shared" si="27"/>
        <v>HOLD</v>
      </c>
    </row>
    <row r="337" spans="2:13">
      <c r="B337" s="3">
        <v>42542</v>
      </c>
      <c r="C337" s="5">
        <v>45.13</v>
      </c>
      <c r="D337" s="5">
        <v>45.16</v>
      </c>
      <c r="E337" s="5">
        <v>45.28</v>
      </c>
      <c r="F337" s="5">
        <v>45</v>
      </c>
      <c r="G337" s="18" t="s">
        <v>1044</v>
      </c>
      <c r="H337" s="2">
        <v>3.3E-3</v>
      </c>
      <c r="I337" s="16">
        <f t="shared" si="28"/>
        <v>3.3348154735439238E-3</v>
      </c>
      <c r="J337" s="16">
        <f t="shared" si="29"/>
        <v>1.003334815473544</v>
      </c>
      <c r="K337" s="16">
        <f t="shared" si="25"/>
        <v>45.027368421052628</v>
      </c>
      <c r="L337" s="16">
        <f t="shared" si="26"/>
        <v>45.077142857142853</v>
      </c>
      <c r="M337" s="25" t="str">
        <f t="shared" si="27"/>
        <v>HOLD</v>
      </c>
    </row>
    <row r="338" spans="2:13">
      <c r="B338" s="3">
        <v>42543</v>
      </c>
      <c r="C338" s="5">
        <v>44.86</v>
      </c>
      <c r="D338" s="5">
        <v>45.25</v>
      </c>
      <c r="E338" s="5">
        <v>45.33</v>
      </c>
      <c r="F338" s="5">
        <v>44.81</v>
      </c>
      <c r="G338" s="18" t="s">
        <v>1217</v>
      </c>
      <c r="H338" s="2">
        <v>-6.0000000000000001E-3</v>
      </c>
      <c r="I338" s="16">
        <f t="shared" si="28"/>
        <v>-5.9827165964990714E-3</v>
      </c>
      <c r="J338" s="16">
        <f t="shared" si="29"/>
        <v>0.99401728340350093</v>
      </c>
      <c r="K338" s="16">
        <f t="shared" si="25"/>
        <v>45.067368421052628</v>
      </c>
      <c r="L338" s="16">
        <f t="shared" si="26"/>
        <v>45.046122448979588</v>
      </c>
      <c r="M338" s="25" t="str">
        <f t="shared" si="27"/>
        <v>BUY</v>
      </c>
    </row>
    <row r="339" spans="2:13">
      <c r="B339" s="3">
        <v>42544</v>
      </c>
      <c r="C339" s="5">
        <v>45.08</v>
      </c>
      <c r="D339" s="5">
        <v>45.03</v>
      </c>
      <c r="E339" s="5">
        <v>45.17</v>
      </c>
      <c r="F339" s="5">
        <v>44.84</v>
      </c>
      <c r="G339" s="18" t="s">
        <v>1115</v>
      </c>
      <c r="H339" s="2">
        <v>4.8999999999999998E-3</v>
      </c>
      <c r="I339" s="16">
        <f t="shared" si="28"/>
        <v>4.9041462327240049E-3</v>
      </c>
      <c r="J339" s="16">
        <f t="shared" si="29"/>
        <v>1.0049041462327239</v>
      </c>
      <c r="K339" s="16">
        <f t="shared" si="25"/>
        <v>45.092631578947369</v>
      </c>
      <c r="L339" s="16">
        <f t="shared" si="26"/>
        <v>45.02204081632653</v>
      </c>
      <c r="M339" s="25" t="str">
        <f t="shared" si="27"/>
        <v>HOLD</v>
      </c>
    </row>
    <row r="340" spans="2:13">
      <c r="B340" s="3">
        <v>42545</v>
      </c>
      <c r="C340" s="5">
        <v>43.93</v>
      </c>
      <c r="D340" s="5">
        <v>44.2</v>
      </c>
      <c r="E340" s="5">
        <v>44.56</v>
      </c>
      <c r="F340" s="5">
        <v>43.82</v>
      </c>
      <c r="G340" s="18" t="s">
        <v>1216</v>
      </c>
      <c r="H340" s="2">
        <v>-2.5499999999999998E-2</v>
      </c>
      <c r="I340" s="16">
        <f t="shared" si="28"/>
        <v>-2.5510204081632622E-2</v>
      </c>
      <c r="J340" s="16">
        <f t="shared" si="29"/>
        <v>0.97448979591836737</v>
      </c>
      <c r="K340" s="16">
        <f t="shared" si="25"/>
        <v>45.113157894736844</v>
      </c>
      <c r="L340" s="16">
        <f t="shared" si="26"/>
        <v>45.006734693877547</v>
      </c>
      <c r="M340" s="25" t="str">
        <f t="shared" si="27"/>
        <v>HOLD</v>
      </c>
    </row>
    <row r="341" spans="2:13">
      <c r="B341" s="3">
        <v>42548</v>
      </c>
      <c r="C341" s="5">
        <v>43.78</v>
      </c>
      <c r="D341" s="5">
        <v>43.67</v>
      </c>
      <c r="E341" s="5">
        <v>43.88</v>
      </c>
      <c r="F341" s="5">
        <v>43.31</v>
      </c>
      <c r="G341" s="18" t="s">
        <v>650</v>
      </c>
      <c r="H341" s="2">
        <v>-3.3999999999999998E-3</v>
      </c>
      <c r="I341" s="16">
        <f t="shared" si="28"/>
        <v>-3.4145231049396443E-3</v>
      </c>
      <c r="J341" s="16">
        <f t="shared" si="29"/>
        <v>0.99658547689506038</v>
      </c>
      <c r="K341" s="16">
        <f t="shared" si="25"/>
        <v>45.068421052631578</v>
      </c>
      <c r="L341" s="16">
        <f t="shared" si="26"/>
        <v>44.962448979591834</v>
      </c>
      <c r="M341" s="25" t="str">
        <f t="shared" si="27"/>
        <v>HOLD</v>
      </c>
    </row>
    <row r="342" spans="2:13">
      <c r="B342" s="3">
        <v>42549</v>
      </c>
      <c r="C342" s="5">
        <v>44.18</v>
      </c>
      <c r="D342" s="5">
        <v>44.06</v>
      </c>
      <c r="E342" s="5">
        <v>44.19</v>
      </c>
      <c r="F342" s="5">
        <v>43.67</v>
      </c>
      <c r="G342" s="18" t="s">
        <v>1215</v>
      </c>
      <c r="H342" s="2">
        <v>9.1000000000000004E-3</v>
      </c>
      <c r="I342" s="16">
        <f t="shared" si="28"/>
        <v>9.136592051164882E-3</v>
      </c>
      <c r="J342" s="16">
        <f t="shared" si="29"/>
        <v>1.0091365920511648</v>
      </c>
      <c r="K342" s="16">
        <f t="shared" si="25"/>
        <v>45.025263157894734</v>
      </c>
      <c r="L342" s="16">
        <f t="shared" si="26"/>
        <v>44.912653061224489</v>
      </c>
      <c r="M342" s="25" t="str">
        <f t="shared" si="27"/>
        <v>HOLD</v>
      </c>
    </row>
    <row r="343" spans="2:13">
      <c r="B343" s="3">
        <v>42550</v>
      </c>
      <c r="C343" s="5">
        <v>44.44</v>
      </c>
      <c r="D343" s="5">
        <v>44.39</v>
      </c>
      <c r="E343" s="5">
        <v>44.71</v>
      </c>
      <c r="F343" s="5">
        <v>44.24</v>
      </c>
      <c r="G343" s="18" t="s">
        <v>210</v>
      </c>
      <c r="H343" s="2">
        <v>5.8999999999999999E-3</v>
      </c>
      <c r="I343" s="16">
        <f t="shared" si="28"/>
        <v>5.8850158442733816E-3</v>
      </c>
      <c r="J343" s="16">
        <f t="shared" si="29"/>
        <v>1.0058850158442734</v>
      </c>
      <c r="K343" s="16">
        <f t="shared" si="25"/>
        <v>44.997894736842099</v>
      </c>
      <c r="L343" s="16">
        <f t="shared" si="26"/>
        <v>44.863265306122443</v>
      </c>
      <c r="M343" s="25" t="str">
        <f t="shared" si="27"/>
        <v>HOLD</v>
      </c>
    </row>
    <row r="344" spans="2:13">
      <c r="B344" s="3">
        <v>42551</v>
      </c>
      <c r="C344" s="5">
        <v>45.33</v>
      </c>
      <c r="D344" s="5">
        <v>44.52</v>
      </c>
      <c r="E344" s="5">
        <v>45.33</v>
      </c>
      <c r="F344" s="5">
        <v>44.49</v>
      </c>
      <c r="G344" s="18" t="s">
        <v>709</v>
      </c>
      <c r="H344" s="2">
        <v>0.02</v>
      </c>
      <c r="I344" s="16">
        <f t="shared" si="28"/>
        <v>2.0027002700270042E-2</v>
      </c>
      <c r="J344" s="16">
        <f t="shared" si="29"/>
        <v>1.02002700270027</v>
      </c>
      <c r="K344" s="16">
        <f t="shared" si="25"/>
        <v>44.983157894736834</v>
      </c>
      <c r="L344" s="16">
        <f t="shared" si="26"/>
        <v>44.864693877551019</v>
      </c>
      <c r="M344" s="25" t="str">
        <f t="shared" si="27"/>
        <v>HOLD</v>
      </c>
    </row>
    <row r="345" spans="2:13">
      <c r="B345" s="3">
        <v>42552</v>
      </c>
      <c r="C345" s="5">
        <v>45.12</v>
      </c>
      <c r="D345" s="5">
        <v>45.32</v>
      </c>
      <c r="E345" s="5">
        <v>45.41</v>
      </c>
      <c r="F345" s="5">
        <v>45.07</v>
      </c>
      <c r="G345" s="18" t="s">
        <v>525</v>
      </c>
      <c r="H345" s="2">
        <v>-4.5999999999999999E-3</v>
      </c>
      <c r="I345" s="16">
        <f t="shared" si="28"/>
        <v>-4.6326935804103433E-3</v>
      </c>
      <c r="J345" s="16">
        <f t="shared" si="29"/>
        <v>0.9953673064195897</v>
      </c>
      <c r="K345" s="16">
        <f t="shared" si="25"/>
        <v>44.998421052631585</v>
      </c>
      <c r="L345" s="16">
        <f t="shared" si="26"/>
        <v>44.898775510204082</v>
      </c>
      <c r="M345" s="25" t="str">
        <f t="shared" si="27"/>
        <v>HOLD</v>
      </c>
    </row>
    <row r="346" spans="2:13">
      <c r="B346" s="3">
        <v>42556</v>
      </c>
      <c r="C346" s="5">
        <v>45.43</v>
      </c>
      <c r="D346" s="5">
        <v>45.16</v>
      </c>
      <c r="E346" s="5">
        <v>45.67</v>
      </c>
      <c r="F346" s="5">
        <v>45.15</v>
      </c>
      <c r="G346" s="18" t="s">
        <v>119</v>
      </c>
      <c r="H346" s="2">
        <v>6.8999999999999999E-3</v>
      </c>
      <c r="I346" s="16">
        <f t="shared" si="28"/>
        <v>6.8705673758865755E-3</v>
      </c>
      <c r="J346" s="16">
        <f t="shared" si="29"/>
        <v>1.0068705673758866</v>
      </c>
      <c r="K346" s="16">
        <f t="shared" si="25"/>
        <v>44.985263157894735</v>
      </c>
      <c r="L346" s="16">
        <f t="shared" si="26"/>
        <v>44.910612244897955</v>
      </c>
      <c r="M346" s="25" t="str">
        <f t="shared" si="27"/>
        <v>HOLD</v>
      </c>
    </row>
    <row r="347" spans="2:13">
      <c r="B347" s="3">
        <v>42557</v>
      </c>
      <c r="C347" s="5">
        <v>45.27</v>
      </c>
      <c r="D347" s="5">
        <v>45.5</v>
      </c>
      <c r="E347" s="5">
        <v>45.55</v>
      </c>
      <c r="F347" s="5">
        <v>44.91</v>
      </c>
      <c r="G347" s="18" t="s">
        <v>1214</v>
      </c>
      <c r="H347" s="2">
        <v>-3.5000000000000001E-3</v>
      </c>
      <c r="I347" s="16">
        <f t="shared" si="28"/>
        <v>-3.5219018269864975E-3</v>
      </c>
      <c r="J347" s="16">
        <f t="shared" si="29"/>
        <v>0.99647809817301347</v>
      </c>
      <c r="K347" s="16">
        <f t="shared" ref="K347:K410" si="30">AVERAGE(C328:C346)</f>
        <v>44.991052631578953</v>
      </c>
      <c r="L347" s="16">
        <f t="shared" si="26"/>
        <v>44.925306122448966</v>
      </c>
      <c r="M347" s="25" t="str">
        <f t="shared" si="27"/>
        <v>HOLD</v>
      </c>
    </row>
    <row r="348" spans="2:13">
      <c r="B348" s="3">
        <v>42558</v>
      </c>
      <c r="C348" s="5">
        <v>45.09</v>
      </c>
      <c r="D348" s="5">
        <v>45.42</v>
      </c>
      <c r="E348" s="5">
        <v>45.52</v>
      </c>
      <c r="F348" s="5">
        <v>44.97</v>
      </c>
      <c r="G348" s="18" t="s">
        <v>428</v>
      </c>
      <c r="H348" s="2">
        <v>-4.0000000000000001E-3</v>
      </c>
      <c r="I348" s="16">
        <f t="shared" si="28"/>
        <v>-3.976143141153075E-3</v>
      </c>
      <c r="J348" s="16">
        <f t="shared" si="29"/>
        <v>0.99602385685884698</v>
      </c>
      <c r="K348" s="16">
        <f t="shared" si="30"/>
        <v>44.976315789473674</v>
      </c>
      <c r="L348" s="16">
        <f t="shared" si="26"/>
        <v>44.940408163265296</v>
      </c>
      <c r="M348" s="25" t="str">
        <f t="shared" si="27"/>
        <v>HOLD</v>
      </c>
    </row>
    <row r="349" spans="2:13">
      <c r="B349" s="3">
        <v>42559</v>
      </c>
      <c r="C349" s="5">
        <v>45.38</v>
      </c>
      <c r="D349" s="5">
        <v>45.3</v>
      </c>
      <c r="E349" s="5">
        <v>45.52</v>
      </c>
      <c r="F349" s="5">
        <v>45.07</v>
      </c>
      <c r="G349" s="18" t="s">
        <v>153</v>
      </c>
      <c r="H349" s="2">
        <v>6.4000000000000003E-3</v>
      </c>
      <c r="I349" s="16">
        <f t="shared" si="28"/>
        <v>6.4315812818806634E-3</v>
      </c>
      <c r="J349" s="16">
        <f t="shared" si="29"/>
        <v>1.0064315812818807</v>
      </c>
      <c r="K349" s="16">
        <f t="shared" si="30"/>
        <v>44.941052631578941</v>
      </c>
      <c r="L349" s="16">
        <f t="shared" si="26"/>
        <v>44.948775510204065</v>
      </c>
      <c r="M349" s="25" t="str">
        <f t="shared" si="27"/>
        <v>SELL</v>
      </c>
    </row>
    <row r="350" spans="2:13">
      <c r="B350" s="3">
        <v>42562</v>
      </c>
      <c r="C350" s="5">
        <v>45.57</v>
      </c>
      <c r="D350" s="5">
        <v>45.35</v>
      </c>
      <c r="E350" s="5">
        <v>45.77</v>
      </c>
      <c r="F350" s="5">
        <v>45.11</v>
      </c>
      <c r="G350" s="18" t="s">
        <v>385</v>
      </c>
      <c r="H350" s="2">
        <v>4.1999999999999997E-3</v>
      </c>
      <c r="I350" s="16">
        <f t="shared" si="28"/>
        <v>4.1868664609959827E-3</v>
      </c>
      <c r="J350" s="16">
        <f t="shared" si="29"/>
        <v>1.0041868664609961</v>
      </c>
      <c r="K350" s="16">
        <f t="shared" si="30"/>
        <v>44.908947368421046</v>
      </c>
      <c r="L350" s="16">
        <f t="shared" si="26"/>
        <v>44.964081632653055</v>
      </c>
      <c r="M350" s="25" t="str">
        <f t="shared" si="27"/>
        <v>HOLD</v>
      </c>
    </row>
    <row r="351" spans="2:13">
      <c r="B351" s="3">
        <v>42563</v>
      </c>
      <c r="C351" s="5">
        <v>45.58</v>
      </c>
      <c r="D351" s="5">
        <v>45.64</v>
      </c>
      <c r="E351" s="5">
        <v>45.71</v>
      </c>
      <c r="F351" s="5">
        <v>45.18</v>
      </c>
      <c r="G351" s="18" t="s">
        <v>1213</v>
      </c>
      <c r="H351" s="2">
        <v>2.0000000000000001E-4</v>
      </c>
      <c r="I351" s="16">
        <f t="shared" si="28"/>
        <v>2.1944261575593615E-4</v>
      </c>
      <c r="J351" s="16">
        <f t="shared" si="29"/>
        <v>1.000219442615756</v>
      </c>
      <c r="K351" s="16">
        <f t="shared" si="30"/>
        <v>44.932631578947372</v>
      </c>
      <c r="L351" s="16">
        <f t="shared" si="26"/>
        <v>44.979795918367351</v>
      </c>
      <c r="M351" s="25" t="str">
        <f t="shared" si="27"/>
        <v>HOLD</v>
      </c>
    </row>
    <row r="352" spans="2:13">
      <c r="B352" s="3">
        <v>42564</v>
      </c>
      <c r="C352" s="5">
        <v>45.74</v>
      </c>
      <c r="D352" s="5">
        <v>45.61</v>
      </c>
      <c r="E352" s="5">
        <v>45.76</v>
      </c>
      <c r="F352" s="5">
        <v>45.43</v>
      </c>
      <c r="G352" s="18" t="s">
        <v>1212</v>
      </c>
      <c r="H352" s="2">
        <v>3.5000000000000001E-3</v>
      </c>
      <c r="I352" s="16">
        <f t="shared" si="28"/>
        <v>3.5103115401492694E-3</v>
      </c>
      <c r="J352" s="16">
        <f t="shared" si="29"/>
        <v>1.0035103115401494</v>
      </c>
      <c r="K352" s="16">
        <f t="shared" si="30"/>
        <v>44.961052631578951</v>
      </c>
      <c r="L352" s="16">
        <f t="shared" si="26"/>
        <v>44.992040816326536</v>
      </c>
      <c r="M352" s="25" t="str">
        <f t="shared" si="27"/>
        <v>HOLD</v>
      </c>
    </row>
    <row r="353" spans="2:13">
      <c r="B353" s="3">
        <v>42565</v>
      </c>
      <c r="C353" s="5">
        <v>45.69</v>
      </c>
      <c r="D353" s="5">
        <v>45.73</v>
      </c>
      <c r="E353" s="5">
        <v>45.94</v>
      </c>
      <c r="F353" s="5">
        <v>45.58</v>
      </c>
      <c r="G353" s="18" t="s">
        <v>964</v>
      </c>
      <c r="H353" s="2">
        <v>-1.1000000000000001E-3</v>
      </c>
      <c r="I353" s="16">
        <f t="shared" si="28"/>
        <v>-1.0931351114998745E-3</v>
      </c>
      <c r="J353" s="16">
        <f t="shared" si="29"/>
        <v>0.99890686488850011</v>
      </c>
      <c r="K353" s="16">
        <f t="shared" si="30"/>
        <v>44.999473684210528</v>
      </c>
      <c r="L353" s="16">
        <f t="shared" si="26"/>
        <v>45.010408163265303</v>
      </c>
      <c r="M353" s="25" t="str">
        <f t="shared" si="27"/>
        <v>HOLD</v>
      </c>
    </row>
    <row r="354" spans="2:13">
      <c r="B354" s="3">
        <v>42566</v>
      </c>
      <c r="C354" s="5">
        <v>45.63</v>
      </c>
      <c r="D354" s="5">
        <v>45.88</v>
      </c>
      <c r="E354" s="5">
        <v>45.9</v>
      </c>
      <c r="F354" s="5">
        <v>45.44</v>
      </c>
      <c r="G354" s="18" t="s">
        <v>1200</v>
      </c>
      <c r="H354" s="2">
        <v>-1.2999999999999999E-3</v>
      </c>
      <c r="I354" s="16">
        <f t="shared" si="28"/>
        <v>-1.3131976362441491E-3</v>
      </c>
      <c r="J354" s="16">
        <f t="shared" si="29"/>
        <v>0.99868680236375584</v>
      </c>
      <c r="K354" s="16">
        <f t="shared" si="30"/>
        <v>45.019473684210531</v>
      </c>
      <c r="L354" s="16">
        <f t="shared" si="26"/>
        <v>45.024897959183669</v>
      </c>
      <c r="M354" s="25" t="str">
        <f t="shared" si="27"/>
        <v>HOLD</v>
      </c>
    </row>
    <row r="355" spans="2:13">
      <c r="B355" s="3">
        <v>42569</v>
      </c>
      <c r="C355" s="5">
        <v>45.63</v>
      </c>
      <c r="D355" s="5">
        <v>45.69</v>
      </c>
      <c r="E355" s="5">
        <v>45.7</v>
      </c>
      <c r="F355" s="5">
        <v>45.48</v>
      </c>
      <c r="G355" s="18" t="s">
        <v>350</v>
      </c>
      <c r="H355" s="2">
        <v>0</v>
      </c>
      <c r="I355" s="16">
        <f t="shared" si="28"/>
        <v>0</v>
      </c>
      <c r="J355" s="16">
        <f t="shared" si="29"/>
        <v>1</v>
      </c>
      <c r="K355" s="16">
        <f t="shared" si="30"/>
        <v>45.063684210526326</v>
      </c>
      <c r="L355" s="16">
        <f t="shared" si="26"/>
        <v>45.036530612244896</v>
      </c>
      <c r="M355" s="25" t="str">
        <f t="shared" si="27"/>
        <v>BUY</v>
      </c>
    </row>
    <row r="356" spans="2:13">
      <c r="B356" s="3">
        <v>42570</v>
      </c>
      <c r="C356" s="5">
        <v>45.63</v>
      </c>
      <c r="D356" s="5">
        <v>45.46</v>
      </c>
      <c r="E356" s="5">
        <v>45.71</v>
      </c>
      <c r="F356" s="5">
        <v>45.43</v>
      </c>
      <c r="G356" s="18" t="s">
        <v>1145</v>
      </c>
      <c r="H356" s="2">
        <v>0</v>
      </c>
      <c r="I356" s="16">
        <f t="shared" si="28"/>
        <v>0</v>
      </c>
      <c r="J356" s="16">
        <f t="shared" si="29"/>
        <v>1</v>
      </c>
      <c r="K356" s="16">
        <f t="shared" si="30"/>
        <v>45.097894736842115</v>
      </c>
      <c r="L356" s="16">
        <f t="shared" si="26"/>
        <v>45.042857142857144</v>
      </c>
      <c r="M356" s="25" t="str">
        <f t="shared" si="27"/>
        <v>HOLD</v>
      </c>
    </row>
    <row r="357" spans="2:13">
      <c r="B357" s="3">
        <v>42571</v>
      </c>
      <c r="C357" s="5">
        <v>45.51</v>
      </c>
      <c r="D357" s="5">
        <v>45.75</v>
      </c>
      <c r="E357" s="5">
        <v>45.77</v>
      </c>
      <c r="F357" s="5">
        <v>45.39</v>
      </c>
      <c r="G357" s="18" t="s">
        <v>347</v>
      </c>
      <c r="H357" s="2">
        <v>-2.5999999999999999E-3</v>
      </c>
      <c r="I357" s="16">
        <f t="shared" si="28"/>
        <v>-2.629848783695037E-3</v>
      </c>
      <c r="J357" s="16">
        <f t="shared" si="29"/>
        <v>0.99737015121630501</v>
      </c>
      <c r="K357" s="16">
        <f t="shared" si="30"/>
        <v>45.124210526315792</v>
      </c>
      <c r="L357" s="16">
        <f t="shared" si="26"/>
        <v>45.050816326530608</v>
      </c>
      <c r="M357" s="25" t="str">
        <f t="shared" si="27"/>
        <v>HOLD</v>
      </c>
    </row>
    <row r="358" spans="2:13">
      <c r="B358" s="3">
        <v>42572</v>
      </c>
      <c r="C358" s="5">
        <v>45.45</v>
      </c>
      <c r="D358" s="5">
        <v>45.34</v>
      </c>
      <c r="E358" s="5">
        <v>45.51</v>
      </c>
      <c r="F358" s="5">
        <v>45.26</v>
      </c>
      <c r="G358" s="18" t="s">
        <v>396</v>
      </c>
      <c r="H358" s="2">
        <v>-1.2999999999999999E-3</v>
      </c>
      <c r="I358" s="16">
        <f t="shared" si="28"/>
        <v>-1.3183915622938952E-3</v>
      </c>
      <c r="J358" s="16">
        <f t="shared" si="29"/>
        <v>0.99868160843770615</v>
      </c>
      <c r="K358" s="16">
        <f t="shared" si="30"/>
        <v>45.158421052631581</v>
      </c>
      <c r="L358" s="16">
        <f t="shared" si="26"/>
        <v>45.04591836734695</v>
      </c>
      <c r="M358" s="25" t="str">
        <f t="shared" si="27"/>
        <v>HOLD</v>
      </c>
    </row>
    <row r="359" spans="2:13">
      <c r="B359" s="3">
        <v>42573</v>
      </c>
      <c r="C359" s="5">
        <v>45.83</v>
      </c>
      <c r="D359" s="5">
        <v>45.5</v>
      </c>
      <c r="E359" s="5">
        <v>45.84</v>
      </c>
      <c r="F359" s="5">
        <v>45.46</v>
      </c>
      <c r="G359" s="18" t="s">
        <v>676</v>
      </c>
      <c r="H359" s="2">
        <v>8.3999999999999995E-3</v>
      </c>
      <c r="I359" s="16">
        <f t="shared" si="28"/>
        <v>8.3608360836082609E-3</v>
      </c>
      <c r="J359" s="16">
        <f t="shared" si="29"/>
        <v>1.0083608360836083</v>
      </c>
      <c r="K359" s="16">
        <f t="shared" si="30"/>
        <v>45.177894736842106</v>
      </c>
      <c r="L359" s="16">
        <f t="shared" si="26"/>
        <v>45.04571428571429</v>
      </c>
      <c r="M359" s="25" t="str">
        <f t="shared" si="27"/>
        <v>HOLD</v>
      </c>
    </row>
    <row r="360" spans="2:13">
      <c r="B360" s="3">
        <v>42576</v>
      </c>
      <c r="C360" s="5">
        <v>45.57</v>
      </c>
      <c r="D360" s="5">
        <v>45.81</v>
      </c>
      <c r="E360" s="5">
        <v>45.83</v>
      </c>
      <c r="F360" s="5">
        <v>45.47</v>
      </c>
      <c r="G360" s="18" t="s">
        <v>395</v>
      </c>
      <c r="H360" s="2">
        <v>-5.7000000000000002E-3</v>
      </c>
      <c r="I360" s="16">
        <f t="shared" si="28"/>
        <v>-5.6731398647173912E-3</v>
      </c>
      <c r="J360" s="16">
        <f t="shared" si="29"/>
        <v>0.9943268601352826</v>
      </c>
      <c r="K360" s="16">
        <f t="shared" si="30"/>
        <v>45.277894736842107</v>
      </c>
      <c r="L360" s="16">
        <f t="shared" si="26"/>
        <v>45.04571428571429</v>
      </c>
      <c r="M360" s="25" t="str">
        <f t="shared" si="27"/>
        <v>HOLD</v>
      </c>
    </row>
    <row r="361" spans="2:13">
      <c r="B361" s="3">
        <v>42577</v>
      </c>
      <c r="C361" s="5">
        <v>44.88</v>
      </c>
      <c r="D361" s="5">
        <v>45.53</v>
      </c>
      <c r="E361" s="5">
        <v>45.65</v>
      </c>
      <c r="F361" s="5">
        <v>44.83</v>
      </c>
      <c r="G361" s="18" t="s">
        <v>857</v>
      </c>
      <c r="H361" s="2">
        <v>-1.5100000000000001E-2</v>
      </c>
      <c r="I361" s="16">
        <f t="shared" si="28"/>
        <v>-1.5141540487162557E-2</v>
      </c>
      <c r="J361" s="16">
        <f t="shared" si="29"/>
        <v>0.98485845951283746</v>
      </c>
      <c r="K361" s="16">
        <f t="shared" si="30"/>
        <v>45.372105263157898</v>
      </c>
      <c r="L361" s="16">
        <f t="shared" si="26"/>
        <v>45.050204081632664</v>
      </c>
      <c r="M361" s="25" t="str">
        <f t="shared" si="27"/>
        <v>HOLD</v>
      </c>
    </row>
    <row r="362" spans="2:13">
      <c r="B362" s="3">
        <v>42578</v>
      </c>
      <c r="C362" s="5">
        <v>43.4</v>
      </c>
      <c r="D362" s="5">
        <v>43.9</v>
      </c>
      <c r="E362" s="5">
        <v>44.06</v>
      </c>
      <c r="F362" s="5">
        <v>43.1</v>
      </c>
      <c r="G362" s="18" t="s">
        <v>1211</v>
      </c>
      <c r="H362" s="2">
        <v>-3.3000000000000002E-2</v>
      </c>
      <c r="I362" s="16">
        <f t="shared" si="28"/>
        <v>-3.2976827094474241E-2</v>
      </c>
      <c r="J362" s="16">
        <f t="shared" si="29"/>
        <v>0.96702317290552575</v>
      </c>
      <c r="K362" s="16">
        <f t="shared" si="30"/>
        <v>45.40894736842106</v>
      </c>
      <c r="L362" s="16">
        <f t="shared" si="26"/>
        <v>45.035102040816334</v>
      </c>
      <c r="M362" s="25" t="str">
        <f t="shared" si="27"/>
        <v>HOLD</v>
      </c>
    </row>
    <row r="363" spans="2:13">
      <c r="B363" s="3">
        <v>42579</v>
      </c>
      <c r="C363" s="5">
        <v>43.65</v>
      </c>
      <c r="D363" s="5">
        <v>43.27</v>
      </c>
      <c r="E363" s="5">
        <v>43.69</v>
      </c>
      <c r="F363" s="5">
        <v>43.22</v>
      </c>
      <c r="G363" s="18" t="s">
        <v>725</v>
      </c>
      <c r="H363" s="2">
        <v>5.7999999999999996E-3</v>
      </c>
      <c r="I363" s="16">
        <f t="shared" si="28"/>
        <v>5.7603686635944703E-3</v>
      </c>
      <c r="J363" s="16">
        <f t="shared" si="29"/>
        <v>1.0057603686635945</v>
      </c>
      <c r="K363" s="16">
        <f t="shared" si="30"/>
        <v>45.354210526315796</v>
      </c>
      <c r="L363" s="16">
        <f t="shared" si="26"/>
        <v>45.007551020408179</v>
      </c>
      <c r="M363" s="25" t="str">
        <f t="shared" si="27"/>
        <v>HOLD</v>
      </c>
    </row>
    <row r="364" spans="2:13">
      <c r="B364" s="3">
        <v>42580</v>
      </c>
      <c r="C364" s="5">
        <v>43.63</v>
      </c>
      <c r="D364" s="5">
        <v>43.72</v>
      </c>
      <c r="E364" s="5">
        <v>43.75</v>
      </c>
      <c r="F364" s="5">
        <v>43.48</v>
      </c>
      <c r="G364" s="18" t="s">
        <v>32</v>
      </c>
      <c r="H364" s="2">
        <v>-5.0000000000000001E-4</v>
      </c>
      <c r="I364" s="16">
        <f t="shared" si="28"/>
        <v>-4.5819014891170727E-4</v>
      </c>
      <c r="J364" s="16">
        <f t="shared" si="29"/>
        <v>0.99954180985108831</v>
      </c>
      <c r="K364" s="16">
        <f t="shared" si="30"/>
        <v>45.265789473684215</v>
      </c>
      <c r="L364" s="16">
        <f t="shared" si="26"/>
        <v>44.990612244897967</v>
      </c>
      <c r="M364" s="25" t="str">
        <f t="shared" si="27"/>
        <v>HOLD</v>
      </c>
    </row>
    <row r="365" spans="2:13">
      <c r="B365" s="3">
        <v>42583</v>
      </c>
      <c r="C365" s="5">
        <v>43.45</v>
      </c>
      <c r="D365" s="5">
        <v>43.69</v>
      </c>
      <c r="E365" s="5">
        <v>43.83</v>
      </c>
      <c r="F365" s="5">
        <v>43.43</v>
      </c>
      <c r="G365" s="18" t="s">
        <v>184</v>
      </c>
      <c r="H365" s="2">
        <v>-4.1000000000000003E-3</v>
      </c>
      <c r="I365" s="16">
        <f t="shared" si="28"/>
        <v>-4.1256016502406534E-3</v>
      </c>
      <c r="J365" s="16">
        <f t="shared" si="29"/>
        <v>0.99587439834975933</v>
      </c>
      <c r="K365" s="16">
        <f t="shared" si="30"/>
        <v>45.187368421052632</v>
      </c>
      <c r="L365" s="16">
        <f t="shared" si="26"/>
        <v>44.976530612244908</v>
      </c>
      <c r="M365" s="25" t="str">
        <f t="shared" si="27"/>
        <v>HOLD</v>
      </c>
    </row>
    <row r="366" spans="2:13">
      <c r="B366" s="3">
        <v>42584</v>
      </c>
      <c r="C366" s="5">
        <v>43.53</v>
      </c>
      <c r="D366" s="5">
        <v>43.35</v>
      </c>
      <c r="E366" s="5">
        <v>43.58</v>
      </c>
      <c r="F366" s="5">
        <v>43.31</v>
      </c>
      <c r="G366" s="18" t="s">
        <v>463</v>
      </c>
      <c r="H366" s="2">
        <v>1.8E-3</v>
      </c>
      <c r="I366" s="16">
        <f t="shared" si="28"/>
        <v>1.8411967779055993E-3</v>
      </c>
      <c r="J366" s="16">
        <f t="shared" si="29"/>
        <v>1.0018411967779055</v>
      </c>
      <c r="K366" s="16">
        <f t="shared" si="30"/>
        <v>45.083157894736843</v>
      </c>
      <c r="L366" s="16">
        <f t="shared" si="26"/>
        <v>44.96632653061225</v>
      </c>
      <c r="M366" s="25" t="str">
        <f t="shared" si="27"/>
        <v>HOLD</v>
      </c>
    </row>
    <row r="367" spans="2:13">
      <c r="B367" s="3">
        <v>42585</v>
      </c>
      <c r="C367" s="5">
        <v>43.64</v>
      </c>
      <c r="D367" s="5">
        <v>43.66</v>
      </c>
      <c r="E367" s="5">
        <v>43.7</v>
      </c>
      <c r="F367" s="5">
        <v>43.37</v>
      </c>
      <c r="G367" s="18" t="s">
        <v>713</v>
      </c>
      <c r="H367" s="2">
        <v>2.5000000000000001E-3</v>
      </c>
      <c r="I367" s="16">
        <f t="shared" si="28"/>
        <v>2.5269928784746021E-3</v>
      </c>
      <c r="J367" s="16">
        <f t="shared" si="29"/>
        <v>1.0025269928784746</v>
      </c>
      <c r="K367" s="16">
        <f t="shared" si="30"/>
        <v>44.991578947368424</v>
      </c>
      <c r="L367" s="16">
        <f t="shared" si="26"/>
        <v>44.957346938775515</v>
      </c>
      <c r="M367" s="25" t="str">
        <f t="shared" si="27"/>
        <v>HOLD</v>
      </c>
    </row>
    <row r="368" spans="2:13">
      <c r="B368" s="3">
        <v>42586</v>
      </c>
      <c r="C368" s="5">
        <v>43.51</v>
      </c>
      <c r="D368" s="5">
        <v>43.56</v>
      </c>
      <c r="E368" s="5">
        <v>43.8</v>
      </c>
      <c r="F368" s="5">
        <v>43.4</v>
      </c>
      <c r="G368" s="18" t="s">
        <v>160</v>
      </c>
      <c r="H368" s="2">
        <v>-3.0000000000000001E-3</v>
      </c>
      <c r="I368" s="16">
        <f t="shared" si="28"/>
        <v>-2.9789184234647699E-3</v>
      </c>
      <c r="J368" s="16">
        <f t="shared" si="29"/>
        <v>0.99702108157653524</v>
      </c>
      <c r="K368" s="16">
        <f t="shared" si="30"/>
        <v>44.915263157894735</v>
      </c>
      <c r="L368" s="16">
        <f t="shared" si="26"/>
        <v>44.942448979591845</v>
      </c>
      <c r="M368" s="25" t="str">
        <f t="shared" si="27"/>
        <v>SELL</v>
      </c>
    </row>
    <row r="369" spans="2:13">
      <c r="B369" s="3">
        <v>42587</v>
      </c>
      <c r="C369" s="5">
        <v>43.48</v>
      </c>
      <c r="D369" s="5">
        <v>43.65</v>
      </c>
      <c r="E369" s="5">
        <v>43.75</v>
      </c>
      <c r="F369" s="5">
        <v>43.41</v>
      </c>
      <c r="G369" s="18" t="s">
        <v>44</v>
      </c>
      <c r="H369" s="2">
        <v>-6.9999999999999999E-4</v>
      </c>
      <c r="I369" s="16">
        <f t="shared" si="28"/>
        <v>-6.8949666743280027E-4</v>
      </c>
      <c r="J369" s="16">
        <f t="shared" si="29"/>
        <v>0.99931050333256721</v>
      </c>
      <c r="K369" s="16">
        <f t="shared" si="30"/>
        <v>44.816842105263156</v>
      </c>
      <c r="L369" s="16">
        <f t="shared" si="26"/>
        <v>44.924693877551036</v>
      </c>
      <c r="M369" s="25" t="str">
        <f t="shared" si="27"/>
        <v>HOLD</v>
      </c>
    </row>
    <row r="370" spans="2:13">
      <c r="B370" s="3">
        <v>42590</v>
      </c>
      <c r="C370" s="5">
        <v>43.44</v>
      </c>
      <c r="D370" s="5">
        <v>43.43</v>
      </c>
      <c r="E370" s="5">
        <v>43.52</v>
      </c>
      <c r="F370" s="5">
        <v>43.22</v>
      </c>
      <c r="G370" s="18" t="s">
        <v>690</v>
      </c>
      <c r="H370" s="2">
        <v>-8.9999999999999998E-4</v>
      </c>
      <c r="I370" s="16">
        <f t="shared" si="28"/>
        <v>-9.199632014719216E-4</v>
      </c>
      <c r="J370" s="16">
        <f t="shared" si="29"/>
        <v>0.99908003679852808</v>
      </c>
      <c r="K370" s="16">
        <f t="shared" si="30"/>
        <v>44.706842105263156</v>
      </c>
      <c r="L370" s="16">
        <f t="shared" si="26"/>
        <v>44.900000000000006</v>
      </c>
      <c r="M370" s="25" t="str">
        <f t="shared" si="27"/>
        <v>HOLD</v>
      </c>
    </row>
    <row r="371" spans="2:13">
      <c r="B371" s="3">
        <v>42591</v>
      </c>
      <c r="C371" s="5">
        <v>43.47</v>
      </c>
      <c r="D371" s="5">
        <v>43.5</v>
      </c>
      <c r="E371" s="5">
        <v>43.64</v>
      </c>
      <c r="F371" s="5">
        <v>43.38</v>
      </c>
      <c r="G371" s="18" t="s">
        <v>1159</v>
      </c>
      <c r="H371" s="2">
        <v>6.9999999999999999E-4</v>
      </c>
      <c r="I371" s="16">
        <f t="shared" si="28"/>
        <v>6.9060773480665604E-4</v>
      </c>
      <c r="J371" s="16">
        <f t="shared" si="29"/>
        <v>1.0006906077348066</v>
      </c>
      <c r="K371" s="16">
        <f t="shared" si="30"/>
        <v>44.594210526315784</v>
      </c>
      <c r="L371" s="16">
        <f t="shared" si="26"/>
        <v>44.872653061224504</v>
      </c>
      <c r="M371" s="25" t="str">
        <f t="shared" si="27"/>
        <v>HOLD</v>
      </c>
    </row>
    <row r="372" spans="2:13">
      <c r="B372" s="3">
        <v>42592</v>
      </c>
      <c r="C372" s="5">
        <v>43.61</v>
      </c>
      <c r="D372" s="5">
        <v>43.64</v>
      </c>
      <c r="E372" s="5">
        <v>43.69</v>
      </c>
      <c r="F372" s="5">
        <v>43.5</v>
      </c>
      <c r="G372" s="18" t="s">
        <v>1083</v>
      </c>
      <c r="H372" s="2">
        <v>3.2000000000000002E-3</v>
      </c>
      <c r="I372" s="16">
        <f t="shared" si="28"/>
        <v>3.2206119162641032E-3</v>
      </c>
      <c r="J372" s="16">
        <f t="shared" si="29"/>
        <v>1.0032206119162641</v>
      </c>
      <c r="K372" s="16">
        <f t="shared" si="30"/>
        <v>44.474736842105266</v>
      </c>
      <c r="L372" s="16">
        <f t="shared" si="26"/>
        <v>44.849591836734703</v>
      </c>
      <c r="M372" s="25" t="str">
        <f t="shared" si="27"/>
        <v>HOLD</v>
      </c>
    </row>
    <row r="373" spans="2:13">
      <c r="B373" s="3">
        <v>42593</v>
      </c>
      <c r="C373" s="5">
        <v>43.75</v>
      </c>
      <c r="D373" s="5">
        <v>43.72</v>
      </c>
      <c r="E373" s="5">
        <v>43.87</v>
      </c>
      <c r="F373" s="5">
        <v>43.62</v>
      </c>
      <c r="G373" s="18" t="s">
        <v>1186</v>
      </c>
      <c r="H373" s="2">
        <v>3.2000000000000002E-3</v>
      </c>
      <c r="I373" s="16">
        <f t="shared" si="28"/>
        <v>3.2102728731942345E-3</v>
      </c>
      <c r="J373" s="16">
        <f t="shared" si="29"/>
        <v>1.0032102728731942</v>
      </c>
      <c r="K373" s="16">
        <f t="shared" si="30"/>
        <v>44.365263157894731</v>
      </c>
      <c r="L373" s="16">
        <f t="shared" si="26"/>
        <v>44.82734693877552</v>
      </c>
      <c r="M373" s="25" t="str">
        <f t="shared" si="27"/>
        <v>HOLD</v>
      </c>
    </row>
    <row r="374" spans="2:13">
      <c r="B374" s="3">
        <v>42594</v>
      </c>
      <c r="C374" s="5">
        <v>44.03</v>
      </c>
      <c r="D374" s="5">
        <v>43.91</v>
      </c>
      <c r="E374" s="5">
        <v>44.19</v>
      </c>
      <c r="F374" s="5">
        <v>43.79</v>
      </c>
      <c r="G374" s="18" t="s">
        <v>234</v>
      </c>
      <c r="H374" s="2">
        <v>6.4000000000000003E-3</v>
      </c>
      <c r="I374" s="16">
        <f t="shared" si="28"/>
        <v>6.4000000000000263E-3</v>
      </c>
      <c r="J374" s="16">
        <f t="shared" si="29"/>
        <v>1.0064</v>
      </c>
      <c r="K374" s="16">
        <f t="shared" si="30"/>
        <v>44.266315789473687</v>
      </c>
      <c r="L374" s="16">
        <f t="shared" si="26"/>
        <v>44.807551020408177</v>
      </c>
      <c r="M374" s="25" t="str">
        <f t="shared" si="27"/>
        <v>HOLD</v>
      </c>
    </row>
    <row r="375" spans="2:13">
      <c r="B375" s="3">
        <v>42597</v>
      </c>
      <c r="C375" s="5">
        <v>44.24</v>
      </c>
      <c r="D375" s="5">
        <v>44.1</v>
      </c>
      <c r="E375" s="5">
        <v>44.33</v>
      </c>
      <c r="F375" s="5">
        <v>44.01</v>
      </c>
      <c r="G375" s="18" t="s">
        <v>1161</v>
      </c>
      <c r="H375" s="2">
        <v>4.7999999999999996E-3</v>
      </c>
      <c r="I375" s="16">
        <f t="shared" si="28"/>
        <v>4.7694753577106714E-3</v>
      </c>
      <c r="J375" s="16">
        <f t="shared" si="29"/>
        <v>1.0047694753577108</v>
      </c>
      <c r="K375" s="16">
        <f t="shared" si="30"/>
        <v>44.182105263157894</v>
      </c>
      <c r="L375" s="16">
        <f t="shared" si="26"/>
        <v>44.78693877551023</v>
      </c>
      <c r="M375" s="25" t="str">
        <f t="shared" si="27"/>
        <v>HOLD</v>
      </c>
    </row>
    <row r="376" spans="2:13">
      <c r="B376" s="3">
        <v>42598</v>
      </c>
      <c r="C376" s="5">
        <v>43.83</v>
      </c>
      <c r="D376" s="5">
        <v>44.25</v>
      </c>
      <c r="E376" s="5">
        <v>44.25</v>
      </c>
      <c r="F376" s="5">
        <v>43.83</v>
      </c>
      <c r="G376" s="18" t="s">
        <v>703</v>
      </c>
      <c r="H376" s="2">
        <v>-9.2999999999999992E-3</v>
      </c>
      <c r="I376" s="16">
        <f t="shared" si="28"/>
        <v>-9.2676311030742246E-3</v>
      </c>
      <c r="J376" s="16">
        <f t="shared" si="29"/>
        <v>0.99073236889692573</v>
      </c>
      <c r="K376" s="16">
        <f t="shared" si="30"/>
        <v>44.108947368421056</v>
      </c>
      <c r="L376" s="16">
        <f t="shared" si="26"/>
        <v>44.763877551020421</v>
      </c>
      <c r="M376" s="25" t="str">
        <f t="shared" si="27"/>
        <v>HOLD</v>
      </c>
    </row>
    <row r="377" spans="2:13">
      <c r="B377" s="3">
        <v>42599</v>
      </c>
      <c r="C377" s="5">
        <v>44.06</v>
      </c>
      <c r="D377" s="5">
        <v>44.01</v>
      </c>
      <c r="E377" s="5">
        <v>44.07</v>
      </c>
      <c r="F377" s="5">
        <v>43.78</v>
      </c>
      <c r="G377" s="18" t="s">
        <v>1210</v>
      </c>
      <c r="H377" s="2">
        <v>5.1999999999999998E-3</v>
      </c>
      <c r="I377" s="16">
        <f t="shared" si="28"/>
        <v>5.247547342003285E-3</v>
      </c>
      <c r="J377" s="16">
        <f t="shared" si="29"/>
        <v>1.0052475473420033</v>
      </c>
      <c r="K377" s="16">
        <f t="shared" si="30"/>
        <v>44.020526315789482</v>
      </c>
      <c r="L377" s="16">
        <f t="shared" ref="L377:L440" si="31">AVERAGE(C328:C376)</f>
        <v>44.733469387755122</v>
      </c>
      <c r="M377" s="25" t="str">
        <f t="shared" ref="M377:M440" si="32">IF(AND(K377&gt;L377,K376&lt;=L376),"BUY",IF(AND(K377&lt;L377,K376&gt;=L376),"SELL","HOLD"))</f>
        <v>HOLD</v>
      </c>
    </row>
    <row r="378" spans="2:13">
      <c r="B378" s="3">
        <v>42600</v>
      </c>
      <c r="C378" s="5">
        <v>44.1</v>
      </c>
      <c r="D378" s="5">
        <v>44.01</v>
      </c>
      <c r="E378" s="5">
        <v>44.26</v>
      </c>
      <c r="F378" s="5">
        <v>44</v>
      </c>
      <c r="G378" s="18" t="s">
        <v>1209</v>
      </c>
      <c r="H378" s="2">
        <v>8.9999999999999998E-4</v>
      </c>
      <c r="I378" s="16">
        <f t="shared" si="28"/>
        <v>9.0785292782567285E-4</v>
      </c>
      <c r="J378" s="16">
        <f t="shared" si="29"/>
        <v>1.0009078529278257</v>
      </c>
      <c r="K378" s="16">
        <f t="shared" si="30"/>
        <v>43.94736842105263</v>
      </c>
      <c r="L378" s="16">
        <f t="shared" si="31"/>
        <v>44.703061224489801</v>
      </c>
      <c r="M378" s="25" t="str">
        <f t="shared" si="32"/>
        <v>HOLD</v>
      </c>
    </row>
    <row r="379" spans="2:13">
      <c r="B379" s="3">
        <v>42601</v>
      </c>
      <c r="C379" s="5">
        <v>43.92</v>
      </c>
      <c r="D379" s="5">
        <v>44.05</v>
      </c>
      <c r="E379" s="5">
        <v>44.06</v>
      </c>
      <c r="F379" s="5">
        <v>43.74</v>
      </c>
      <c r="G379" s="18" t="s">
        <v>1208</v>
      </c>
      <c r="H379" s="2">
        <v>-4.1000000000000003E-3</v>
      </c>
      <c r="I379" s="16">
        <f t="shared" si="28"/>
        <v>-4.0816326530612179E-3</v>
      </c>
      <c r="J379" s="16">
        <f t="shared" si="29"/>
        <v>0.99591836734693873</v>
      </c>
      <c r="K379" s="16">
        <f t="shared" si="30"/>
        <v>43.85631578947369</v>
      </c>
      <c r="L379" s="16">
        <f t="shared" si="31"/>
        <v>44.669183673469398</v>
      </c>
      <c r="M379" s="25" t="str">
        <f t="shared" si="32"/>
        <v>HOLD</v>
      </c>
    </row>
    <row r="380" spans="2:13">
      <c r="B380" s="3">
        <v>42604</v>
      </c>
      <c r="C380" s="5">
        <v>43.74</v>
      </c>
      <c r="D380" s="5">
        <v>43.94</v>
      </c>
      <c r="E380" s="5">
        <v>43.95</v>
      </c>
      <c r="F380" s="5">
        <v>43.73</v>
      </c>
      <c r="G380" s="18" t="s">
        <v>970</v>
      </c>
      <c r="H380" s="2">
        <v>-4.1000000000000003E-3</v>
      </c>
      <c r="I380" s="16">
        <f t="shared" si="28"/>
        <v>-4.0983606557376982E-3</v>
      </c>
      <c r="J380" s="16">
        <f t="shared" si="29"/>
        <v>0.99590163934426235</v>
      </c>
      <c r="K380" s="16">
        <f t="shared" si="30"/>
        <v>43.769473684210517</v>
      </c>
      <c r="L380" s="16">
        <f t="shared" si="31"/>
        <v>44.626938775510219</v>
      </c>
      <c r="M380" s="25" t="str">
        <f t="shared" si="32"/>
        <v>HOLD</v>
      </c>
    </row>
    <row r="381" spans="2:13">
      <c r="B381" s="3">
        <v>42605</v>
      </c>
      <c r="C381" s="5">
        <v>43.85</v>
      </c>
      <c r="D381" s="5">
        <v>43.85</v>
      </c>
      <c r="E381" s="5">
        <v>43.98</v>
      </c>
      <c r="F381" s="5">
        <v>43.74</v>
      </c>
      <c r="G381" s="18" t="s">
        <v>1085</v>
      </c>
      <c r="H381" s="2">
        <v>2.5000000000000001E-3</v>
      </c>
      <c r="I381" s="16">
        <f t="shared" si="28"/>
        <v>2.5148605395518843E-3</v>
      </c>
      <c r="J381" s="16">
        <f t="shared" si="29"/>
        <v>1.002514860539552</v>
      </c>
      <c r="K381" s="16">
        <f t="shared" si="30"/>
        <v>43.709473684210529</v>
      </c>
      <c r="L381" s="16">
        <f t="shared" si="31"/>
        <v>44.598775510204092</v>
      </c>
      <c r="M381" s="25" t="str">
        <f t="shared" si="32"/>
        <v>HOLD</v>
      </c>
    </row>
    <row r="382" spans="2:13">
      <c r="B382" s="3">
        <v>42606</v>
      </c>
      <c r="C382" s="5">
        <v>43.85</v>
      </c>
      <c r="D382" s="5">
        <v>43.82</v>
      </c>
      <c r="E382" s="5">
        <v>43.94</v>
      </c>
      <c r="F382" s="5">
        <v>43.66</v>
      </c>
      <c r="G382" s="18" t="s">
        <v>583</v>
      </c>
      <c r="H382" s="2">
        <v>0</v>
      </c>
      <c r="I382" s="16">
        <f t="shared" si="28"/>
        <v>0</v>
      </c>
      <c r="J382" s="16">
        <f t="shared" si="29"/>
        <v>1</v>
      </c>
      <c r="K382" s="16">
        <f t="shared" si="30"/>
        <v>43.733157894736848</v>
      </c>
      <c r="L382" s="16">
        <f t="shared" si="31"/>
        <v>44.574489795918367</v>
      </c>
      <c r="M382" s="25" t="str">
        <f t="shared" si="32"/>
        <v>HOLD</v>
      </c>
    </row>
    <row r="383" spans="2:13">
      <c r="B383" s="3">
        <v>42607</v>
      </c>
      <c r="C383" s="5">
        <v>43.67</v>
      </c>
      <c r="D383" s="5">
        <v>43.85</v>
      </c>
      <c r="E383" s="5">
        <v>43.94</v>
      </c>
      <c r="F383" s="5">
        <v>43.63</v>
      </c>
      <c r="G383" s="18" t="s">
        <v>937</v>
      </c>
      <c r="H383" s="2">
        <v>-4.1000000000000003E-3</v>
      </c>
      <c r="I383" s="16">
        <f t="shared" si="28"/>
        <v>-4.1049030786773025E-3</v>
      </c>
      <c r="J383" s="16">
        <f t="shared" si="29"/>
        <v>0.99589509692132272</v>
      </c>
      <c r="K383" s="16">
        <f t="shared" si="30"/>
        <v>43.743684210526318</v>
      </c>
      <c r="L383" s="16">
        <f t="shared" si="31"/>
        <v>44.550816326530608</v>
      </c>
      <c r="M383" s="25" t="str">
        <f t="shared" si="32"/>
        <v>HOLD</v>
      </c>
    </row>
    <row r="384" spans="2:13">
      <c r="B384" s="3">
        <v>42608</v>
      </c>
      <c r="C384" s="5">
        <v>43.32</v>
      </c>
      <c r="D384" s="5">
        <v>43.72</v>
      </c>
      <c r="E384" s="5">
        <v>43.92</v>
      </c>
      <c r="F384" s="5">
        <v>43.31</v>
      </c>
      <c r="G384" s="18" t="s">
        <v>491</v>
      </c>
      <c r="H384" s="2">
        <v>-8.0000000000000002E-3</v>
      </c>
      <c r="I384" s="16">
        <f t="shared" si="28"/>
        <v>-8.0146553698191292E-3</v>
      </c>
      <c r="J384" s="16">
        <f t="shared" si="29"/>
        <v>0.99198534463018084</v>
      </c>
      <c r="K384" s="16">
        <f t="shared" si="30"/>
        <v>43.745789473684205</v>
      </c>
      <c r="L384" s="16">
        <f t="shared" si="31"/>
        <v>44.517346938775518</v>
      </c>
      <c r="M384" s="25" t="str">
        <f t="shared" si="32"/>
        <v>HOLD</v>
      </c>
    </row>
    <row r="385" spans="2:13">
      <c r="B385" s="3">
        <v>42611</v>
      </c>
      <c r="C385" s="5">
        <v>43.54</v>
      </c>
      <c r="D385" s="5">
        <v>43.34</v>
      </c>
      <c r="E385" s="5">
        <v>43.61</v>
      </c>
      <c r="F385" s="5">
        <v>43.33</v>
      </c>
      <c r="G385" s="18" t="s">
        <v>917</v>
      </c>
      <c r="H385" s="2">
        <v>5.1000000000000004E-3</v>
      </c>
      <c r="I385" s="16">
        <f t="shared" si="28"/>
        <v>5.0784856879039445E-3</v>
      </c>
      <c r="J385" s="16">
        <f t="shared" si="29"/>
        <v>1.005078485687904</v>
      </c>
      <c r="K385" s="16">
        <f t="shared" si="30"/>
        <v>43.738947368421059</v>
      </c>
      <c r="L385" s="16">
        <f t="shared" si="31"/>
        <v>44.487346938775524</v>
      </c>
      <c r="M385" s="25" t="str">
        <f t="shared" si="32"/>
        <v>HOLD</v>
      </c>
    </row>
    <row r="386" spans="2:13">
      <c r="B386" s="3">
        <v>42612</v>
      </c>
      <c r="C386" s="5">
        <v>43.24</v>
      </c>
      <c r="D386" s="5">
        <v>43.46</v>
      </c>
      <c r="E386" s="5">
        <v>43.53</v>
      </c>
      <c r="F386" s="5">
        <v>43.12</v>
      </c>
      <c r="G386" s="18" t="s">
        <v>356</v>
      </c>
      <c r="H386" s="2">
        <v>-6.8999999999999999E-3</v>
      </c>
      <c r="I386" s="16">
        <f t="shared" si="28"/>
        <v>-6.890215893431262E-3</v>
      </c>
      <c r="J386" s="16">
        <f t="shared" si="29"/>
        <v>0.99310978410656869</v>
      </c>
      <c r="K386" s="16">
        <f t="shared" si="30"/>
        <v>43.739473684210523</v>
      </c>
      <c r="L386" s="16">
        <f t="shared" si="31"/>
        <v>44.457959183673481</v>
      </c>
      <c r="M386" s="25" t="str">
        <f t="shared" si="32"/>
        <v>HOLD</v>
      </c>
    </row>
    <row r="387" spans="2:13">
      <c r="B387" s="3">
        <v>42613</v>
      </c>
      <c r="C387" s="5">
        <v>43.43</v>
      </c>
      <c r="D387" s="5">
        <v>43.43</v>
      </c>
      <c r="E387" s="5">
        <v>43.46</v>
      </c>
      <c r="F387" s="5">
        <v>43.08</v>
      </c>
      <c r="G387" s="18" t="s">
        <v>1136</v>
      </c>
      <c r="H387" s="2">
        <v>4.4000000000000003E-3</v>
      </c>
      <c r="I387" s="16">
        <f t="shared" si="28"/>
        <v>4.3940795559666446E-3</v>
      </c>
      <c r="J387" s="16">
        <f t="shared" si="29"/>
        <v>1.0043940795559667</v>
      </c>
      <c r="K387" s="16">
        <f t="shared" si="30"/>
        <v>43.718421052631577</v>
      </c>
      <c r="L387" s="16">
        <f t="shared" si="31"/>
        <v>44.419387755102044</v>
      </c>
      <c r="M387" s="25" t="str">
        <f t="shared" si="32"/>
        <v>HOLD</v>
      </c>
    </row>
    <row r="388" spans="2:13">
      <c r="B388" s="3">
        <v>42614</v>
      </c>
      <c r="C388" s="5">
        <v>43.35</v>
      </c>
      <c r="D388" s="5">
        <v>43.21</v>
      </c>
      <c r="E388" s="5">
        <v>43.41</v>
      </c>
      <c r="F388" s="5">
        <v>43.2</v>
      </c>
      <c r="G388" s="18" t="s">
        <v>511</v>
      </c>
      <c r="H388" s="2">
        <v>-1.8E-3</v>
      </c>
      <c r="I388" s="16">
        <f t="shared" si="28"/>
        <v>-1.8420446695831981E-3</v>
      </c>
      <c r="J388" s="16">
        <f t="shared" si="29"/>
        <v>0.99815795533041685</v>
      </c>
      <c r="K388" s="16">
        <f t="shared" si="30"/>
        <v>43.714210526315789</v>
      </c>
      <c r="L388" s="16">
        <f t="shared" si="31"/>
        <v>44.390204081632653</v>
      </c>
      <c r="M388" s="25" t="str">
        <f t="shared" si="32"/>
        <v>HOLD</v>
      </c>
    </row>
    <row r="389" spans="2:13">
      <c r="B389" s="3">
        <v>42615</v>
      </c>
      <c r="C389" s="5">
        <v>43.66</v>
      </c>
      <c r="D389" s="5">
        <v>43.52</v>
      </c>
      <c r="E389" s="5">
        <v>43.83</v>
      </c>
      <c r="F389" s="5">
        <v>43.47</v>
      </c>
      <c r="G389" s="18" t="s">
        <v>154</v>
      </c>
      <c r="H389" s="2">
        <v>7.1999999999999998E-3</v>
      </c>
      <c r="I389" s="16">
        <f t="shared" si="28"/>
        <v>7.1510957324105E-3</v>
      </c>
      <c r="J389" s="16">
        <f t="shared" si="29"/>
        <v>1.0071510957324106</v>
      </c>
      <c r="K389" s="16">
        <f t="shared" si="30"/>
        <v>43.707368421052628</v>
      </c>
      <c r="L389" s="16">
        <f t="shared" si="31"/>
        <v>44.354897959183674</v>
      </c>
      <c r="M389" s="25" t="str">
        <f t="shared" si="32"/>
        <v>HOLD</v>
      </c>
    </row>
    <row r="390" spans="2:13">
      <c r="B390" s="3">
        <v>42619</v>
      </c>
      <c r="C390" s="5">
        <v>43.79</v>
      </c>
      <c r="D390" s="5">
        <v>43.74</v>
      </c>
      <c r="E390" s="5">
        <v>43.8</v>
      </c>
      <c r="F390" s="5">
        <v>43.4</v>
      </c>
      <c r="G390" s="18" t="s">
        <v>1207</v>
      </c>
      <c r="H390" s="2">
        <v>3.0000000000000001E-3</v>
      </c>
      <c r="I390" s="16">
        <f t="shared" si="28"/>
        <v>2.9775538250115109E-3</v>
      </c>
      <c r="J390" s="16">
        <f t="shared" si="29"/>
        <v>1.0029775538250114</v>
      </c>
      <c r="K390" s="16">
        <f t="shared" si="30"/>
        <v>43.718947368421048</v>
      </c>
      <c r="L390" s="16">
        <f t="shared" si="31"/>
        <v>44.349387755102029</v>
      </c>
      <c r="M390" s="25" t="str">
        <f t="shared" si="32"/>
        <v>HOLD</v>
      </c>
    </row>
    <row r="391" spans="2:13">
      <c r="B391" s="3">
        <v>42620</v>
      </c>
      <c r="C391" s="5">
        <v>43.64</v>
      </c>
      <c r="D391" s="5">
        <v>43.72</v>
      </c>
      <c r="E391" s="5">
        <v>43.8</v>
      </c>
      <c r="F391" s="5">
        <v>43.53</v>
      </c>
      <c r="G391" s="18" t="s">
        <v>179</v>
      </c>
      <c r="H391" s="2">
        <v>-3.3999999999999998E-3</v>
      </c>
      <c r="I391" s="16">
        <f t="shared" si="28"/>
        <v>-3.4254395980817215E-3</v>
      </c>
      <c r="J391" s="16">
        <f t="shared" si="29"/>
        <v>0.99657456040191827</v>
      </c>
      <c r="K391" s="16">
        <f t="shared" si="30"/>
        <v>43.735789473684214</v>
      </c>
      <c r="L391" s="16">
        <f t="shared" si="31"/>
        <v>44.349591836734689</v>
      </c>
      <c r="M391" s="25" t="str">
        <f t="shared" si="32"/>
        <v>HOLD</v>
      </c>
    </row>
    <row r="392" spans="2:13">
      <c r="B392" s="3">
        <v>42621</v>
      </c>
      <c r="C392" s="5">
        <v>43.63</v>
      </c>
      <c r="D392" s="5">
        <v>43.67</v>
      </c>
      <c r="E392" s="5">
        <v>43.73</v>
      </c>
      <c r="F392" s="5">
        <v>43.45</v>
      </c>
      <c r="G392" s="18" t="s">
        <v>362</v>
      </c>
      <c r="H392" s="2">
        <v>-2.0000000000000001E-4</v>
      </c>
      <c r="I392" s="16">
        <f t="shared" si="28"/>
        <v>-2.2914757103570144E-4</v>
      </c>
      <c r="J392" s="16">
        <f t="shared" si="29"/>
        <v>0.99977085242896435</v>
      </c>
      <c r="K392" s="16">
        <f t="shared" si="30"/>
        <v>43.737368421052629</v>
      </c>
      <c r="L392" s="16">
        <f t="shared" si="31"/>
        <v>44.33857142857142</v>
      </c>
      <c r="M392" s="25" t="str">
        <f t="shared" si="32"/>
        <v>HOLD</v>
      </c>
    </row>
    <row r="393" spans="2:13">
      <c r="B393" s="3">
        <v>42622</v>
      </c>
      <c r="C393" s="5">
        <v>42.27</v>
      </c>
      <c r="D393" s="5">
        <v>43.43</v>
      </c>
      <c r="E393" s="5">
        <v>43.43</v>
      </c>
      <c r="F393" s="5">
        <v>42.27</v>
      </c>
      <c r="G393" s="18" t="s">
        <v>1172</v>
      </c>
      <c r="H393" s="2">
        <v>-3.1199999999999999E-2</v>
      </c>
      <c r="I393" s="16">
        <f t="shared" ref="I393:I456" si="33">(C393-C392)/C392</f>
        <v>-3.1171212468484973E-2</v>
      </c>
      <c r="J393" s="16">
        <f t="shared" ref="J393:J456" si="34">C393/C392</f>
        <v>0.96882878753151502</v>
      </c>
      <c r="K393" s="16">
        <f t="shared" si="30"/>
        <v>43.731052631578947</v>
      </c>
      <c r="L393" s="16">
        <f t="shared" si="31"/>
        <v>44.322040816326535</v>
      </c>
      <c r="M393" s="25" t="str">
        <f t="shared" si="32"/>
        <v>HOLD</v>
      </c>
    </row>
    <row r="394" spans="2:13">
      <c r="B394" s="3">
        <v>42625</v>
      </c>
      <c r="C394" s="5">
        <v>43.19</v>
      </c>
      <c r="D394" s="5">
        <v>42.36</v>
      </c>
      <c r="E394" s="5">
        <v>43.23</v>
      </c>
      <c r="F394" s="5">
        <v>42.34</v>
      </c>
      <c r="G394" s="18" t="s">
        <v>538</v>
      </c>
      <c r="H394" s="2">
        <v>2.18E-2</v>
      </c>
      <c r="I394" s="16">
        <f t="shared" si="33"/>
        <v>2.1764845043766134E-2</v>
      </c>
      <c r="J394" s="16">
        <f t="shared" si="34"/>
        <v>1.0217648450437662</v>
      </c>
      <c r="K394" s="16">
        <f t="shared" si="30"/>
        <v>43.638421052631571</v>
      </c>
      <c r="L394" s="16">
        <f t="shared" si="31"/>
        <v>44.259591836734693</v>
      </c>
      <c r="M394" s="25" t="str">
        <f t="shared" si="32"/>
        <v>HOLD</v>
      </c>
    </row>
    <row r="395" spans="2:13">
      <c r="B395" s="3">
        <v>42626</v>
      </c>
      <c r="C395" s="5">
        <v>42.28</v>
      </c>
      <c r="D395" s="5">
        <v>42.77</v>
      </c>
      <c r="E395" s="5">
        <v>42.77</v>
      </c>
      <c r="F395" s="5">
        <v>42.21</v>
      </c>
      <c r="G395" s="18" t="s">
        <v>1206</v>
      </c>
      <c r="H395" s="2">
        <v>-2.1100000000000001E-2</v>
      </c>
      <c r="I395" s="16">
        <f t="shared" si="33"/>
        <v>-2.1069692058346762E-2</v>
      </c>
      <c r="J395" s="16">
        <f t="shared" si="34"/>
        <v>0.97893030794165325</v>
      </c>
      <c r="K395" s="16">
        <f t="shared" si="30"/>
        <v>43.583157894736836</v>
      </c>
      <c r="L395" s="16">
        <f t="shared" si="31"/>
        <v>44.220204081632652</v>
      </c>
      <c r="M395" s="25" t="str">
        <f t="shared" si="32"/>
        <v>HOLD</v>
      </c>
    </row>
    <row r="396" spans="2:13">
      <c r="B396" s="3">
        <v>42627</v>
      </c>
      <c r="C396" s="5">
        <v>42.11</v>
      </c>
      <c r="D396" s="5">
        <v>42.27</v>
      </c>
      <c r="E396" s="5">
        <v>42.41</v>
      </c>
      <c r="F396" s="5">
        <v>41.99</v>
      </c>
      <c r="G396" s="18" t="s">
        <v>937</v>
      </c>
      <c r="H396" s="2">
        <v>-4.0000000000000001E-3</v>
      </c>
      <c r="I396" s="16">
        <f t="shared" si="33"/>
        <v>-4.0208136234626702E-3</v>
      </c>
      <c r="J396" s="16">
        <f t="shared" si="34"/>
        <v>0.99597918637653737</v>
      </c>
      <c r="K396" s="16">
        <f t="shared" si="30"/>
        <v>43.501578947368422</v>
      </c>
      <c r="L396" s="16">
        <f t="shared" si="31"/>
        <v>44.155918367346942</v>
      </c>
      <c r="M396" s="25" t="str">
        <f t="shared" si="32"/>
        <v>HOLD</v>
      </c>
    </row>
    <row r="397" spans="2:13">
      <c r="B397" s="3">
        <v>42628</v>
      </c>
      <c r="C397" s="5">
        <v>42.36</v>
      </c>
      <c r="D397" s="5">
        <v>42.01</v>
      </c>
      <c r="E397" s="5">
        <v>42.39</v>
      </c>
      <c r="F397" s="5">
        <v>41.88</v>
      </c>
      <c r="G397" s="18" t="s">
        <v>496</v>
      </c>
      <c r="H397" s="2">
        <v>5.8999999999999999E-3</v>
      </c>
      <c r="I397" s="16">
        <f t="shared" si="33"/>
        <v>5.9368321063880316E-3</v>
      </c>
      <c r="J397" s="16">
        <f t="shared" si="34"/>
        <v>1.005936832106388</v>
      </c>
      <c r="K397" s="16">
        <f t="shared" si="30"/>
        <v>43.398947368421055</v>
      </c>
      <c r="L397" s="16">
        <f t="shared" si="31"/>
        <v>44.091428571428573</v>
      </c>
      <c r="M397" s="25" t="str">
        <f t="shared" si="32"/>
        <v>HOLD</v>
      </c>
    </row>
    <row r="398" spans="2:13">
      <c r="B398" s="3">
        <v>42629</v>
      </c>
      <c r="C398" s="5">
        <v>42.14</v>
      </c>
      <c r="D398" s="5">
        <v>42.17</v>
      </c>
      <c r="E398" s="5">
        <v>42.26</v>
      </c>
      <c r="F398" s="5">
        <v>41.97</v>
      </c>
      <c r="G398" s="18" t="s">
        <v>907</v>
      </c>
      <c r="H398" s="2">
        <v>-5.1999999999999998E-3</v>
      </c>
      <c r="I398" s="16">
        <f t="shared" si="33"/>
        <v>-5.193578847969756E-3</v>
      </c>
      <c r="J398" s="16">
        <f t="shared" si="34"/>
        <v>0.99480642115203022</v>
      </c>
      <c r="K398" s="16">
        <f t="shared" si="30"/>
        <v>43.30736842105263</v>
      </c>
      <c r="L398" s="16">
        <f t="shared" si="31"/>
        <v>44.035714285714285</v>
      </c>
      <c r="M398" s="25" t="str">
        <f t="shared" si="32"/>
        <v>HOLD</v>
      </c>
    </row>
    <row r="399" spans="2:13">
      <c r="B399" s="3">
        <v>42632</v>
      </c>
      <c r="C399" s="5">
        <v>42.1</v>
      </c>
      <c r="D399" s="5">
        <v>42.16</v>
      </c>
      <c r="E399" s="5">
        <v>42.37</v>
      </c>
      <c r="F399" s="5">
        <v>42.08</v>
      </c>
      <c r="G399" s="18" t="s">
        <v>98</v>
      </c>
      <c r="H399" s="2">
        <v>-8.9999999999999998E-4</v>
      </c>
      <c r="I399" s="16">
        <f t="shared" si="33"/>
        <v>-9.4921689606072964E-4</v>
      </c>
      <c r="J399" s="16">
        <f t="shared" si="34"/>
        <v>0.99905078310393924</v>
      </c>
      <c r="K399" s="16">
        <f t="shared" si="30"/>
        <v>43.213684210526317</v>
      </c>
      <c r="L399" s="16">
        <f t="shared" si="31"/>
        <v>43.969591836734686</v>
      </c>
      <c r="M399" s="25" t="str">
        <f t="shared" si="32"/>
        <v>HOLD</v>
      </c>
    </row>
    <row r="400" spans="2:13">
      <c r="B400" s="3">
        <v>42633</v>
      </c>
      <c r="C400" s="5">
        <v>42.34</v>
      </c>
      <c r="D400" s="5">
        <v>42.31</v>
      </c>
      <c r="E400" s="5">
        <v>42.53</v>
      </c>
      <c r="F400" s="5">
        <v>42.24</v>
      </c>
      <c r="G400" s="18" t="s">
        <v>1083</v>
      </c>
      <c r="H400" s="2">
        <v>5.7000000000000002E-3</v>
      </c>
      <c r="I400" s="16">
        <f t="shared" si="33"/>
        <v>5.7007125890736815E-3</v>
      </c>
      <c r="J400" s="16">
        <f t="shared" si="34"/>
        <v>1.0057007125890738</v>
      </c>
      <c r="K400" s="16">
        <f t="shared" si="30"/>
        <v>43.127368421052637</v>
      </c>
      <c r="L400" s="16">
        <f t="shared" si="31"/>
        <v>43.898775510204075</v>
      </c>
      <c r="M400" s="25" t="str">
        <f t="shared" si="32"/>
        <v>HOLD</v>
      </c>
    </row>
    <row r="401" spans="2:13">
      <c r="B401" s="3">
        <v>42634</v>
      </c>
      <c r="C401" s="5">
        <v>42.53</v>
      </c>
      <c r="D401" s="5">
        <v>42.28</v>
      </c>
      <c r="E401" s="5">
        <v>42.61</v>
      </c>
      <c r="F401" s="5">
        <v>42.1</v>
      </c>
      <c r="G401" s="18" t="s">
        <v>1205</v>
      </c>
      <c r="H401" s="2">
        <v>4.4999999999999997E-3</v>
      </c>
      <c r="I401" s="16">
        <f t="shared" si="33"/>
        <v>4.4874822862540796E-3</v>
      </c>
      <c r="J401" s="16">
        <f t="shared" si="34"/>
        <v>1.0044874822862542</v>
      </c>
      <c r="K401" s="16">
        <f t="shared" si="30"/>
        <v>43.047894736842117</v>
      </c>
      <c r="L401" s="16">
        <f t="shared" si="31"/>
        <v>43.832653061224484</v>
      </c>
      <c r="M401" s="25" t="str">
        <f t="shared" si="32"/>
        <v>HOLD</v>
      </c>
    </row>
    <row r="402" spans="2:13">
      <c r="B402" s="3">
        <v>42635</v>
      </c>
      <c r="C402" s="5">
        <v>42.96</v>
      </c>
      <c r="D402" s="5">
        <v>42.71</v>
      </c>
      <c r="E402" s="5">
        <v>43.01</v>
      </c>
      <c r="F402" s="5">
        <v>42.69</v>
      </c>
      <c r="G402" s="18" t="s">
        <v>788</v>
      </c>
      <c r="H402" s="2">
        <v>1.01E-2</v>
      </c>
      <c r="I402" s="16">
        <f t="shared" si="33"/>
        <v>1.0110510228074293E-2</v>
      </c>
      <c r="J402" s="16">
        <f t="shared" si="34"/>
        <v>1.0101105102280743</v>
      </c>
      <c r="K402" s="16">
        <f t="shared" si="30"/>
        <v>42.978421052631582</v>
      </c>
      <c r="L402" s="16">
        <f t="shared" si="31"/>
        <v>43.767142857142858</v>
      </c>
      <c r="M402" s="25" t="str">
        <f t="shared" si="32"/>
        <v>HOLD</v>
      </c>
    </row>
    <row r="403" spans="2:13">
      <c r="B403" s="3">
        <v>42636</v>
      </c>
      <c r="C403" s="5">
        <v>42.74</v>
      </c>
      <c r="D403" s="5">
        <v>42.81</v>
      </c>
      <c r="E403" s="5">
        <v>42.94</v>
      </c>
      <c r="F403" s="5">
        <v>42.65</v>
      </c>
      <c r="G403" s="18" t="s">
        <v>427</v>
      </c>
      <c r="H403" s="2">
        <v>-5.1000000000000004E-3</v>
      </c>
      <c r="I403" s="16">
        <f t="shared" si="33"/>
        <v>-5.121042830540011E-3</v>
      </c>
      <c r="J403" s="16">
        <f t="shared" si="34"/>
        <v>0.99487895716945995</v>
      </c>
      <c r="K403" s="16">
        <f t="shared" si="30"/>
        <v>42.941052631578948</v>
      </c>
      <c r="L403" s="16">
        <f t="shared" si="31"/>
        <v>43.711428571428577</v>
      </c>
      <c r="M403" s="25" t="str">
        <f t="shared" si="32"/>
        <v>HOLD</v>
      </c>
    </row>
    <row r="404" spans="2:13">
      <c r="B404" s="3">
        <v>42639</v>
      </c>
      <c r="C404" s="5">
        <v>42.05</v>
      </c>
      <c r="D404" s="5">
        <v>42.71</v>
      </c>
      <c r="E404" s="5">
        <v>42.72</v>
      </c>
      <c r="F404" s="5">
        <v>42.01</v>
      </c>
      <c r="G404" s="18" t="s">
        <v>1204</v>
      </c>
      <c r="H404" s="2">
        <v>-1.61E-2</v>
      </c>
      <c r="I404" s="16">
        <f t="shared" si="33"/>
        <v>-1.6144127281235487E-2</v>
      </c>
      <c r="J404" s="16">
        <f t="shared" si="34"/>
        <v>0.98385587271876451</v>
      </c>
      <c r="K404" s="16">
        <f t="shared" si="30"/>
        <v>42.910526315789475</v>
      </c>
      <c r="L404" s="16">
        <f t="shared" si="31"/>
        <v>43.652448979591831</v>
      </c>
      <c r="M404" s="25" t="str">
        <f t="shared" si="32"/>
        <v>HOLD</v>
      </c>
    </row>
    <row r="405" spans="2:13">
      <c r="B405" s="3">
        <v>42640</v>
      </c>
      <c r="C405" s="5">
        <v>42.59</v>
      </c>
      <c r="D405" s="5">
        <v>42.19</v>
      </c>
      <c r="E405" s="5">
        <v>42.63</v>
      </c>
      <c r="F405" s="5">
        <v>42</v>
      </c>
      <c r="G405" s="18" t="s">
        <v>710</v>
      </c>
      <c r="H405" s="2">
        <v>1.2800000000000001E-2</v>
      </c>
      <c r="I405" s="16">
        <f t="shared" si="33"/>
        <v>1.2841854934601814E-2</v>
      </c>
      <c r="J405" s="16">
        <f t="shared" si="34"/>
        <v>1.0128418549346019</v>
      </c>
      <c r="K405" s="16">
        <f t="shared" si="30"/>
        <v>42.832105263157899</v>
      </c>
      <c r="L405" s="16">
        <f t="shared" si="31"/>
        <v>43.579387755102026</v>
      </c>
      <c r="M405" s="25" t="str">
        <f t="shared" si="32"/>
        <v>HOLD</v>
      </c>
    </row>
    <row r="406" spans="2:13">
      <c r="B406" s="3">
        <v>42641</v>
      </c>
      <c r="C406" s="5">
        <v>42.15</v>
      </c>
      <c r="D406" s="5">
        <v>42.63</v>
      </c>
      <c r="E406" s="5">
        <v>42.76</v>
      </c>
      <c r="F406" s="5">
        <v>42.03</v>
      </c>
      <c r="G406" s="18" t="s">
        <v>1203</v>
      </c>
      <c r="H406" s="2">
        <v>-1.03E-2</v>
      </c>
      <c r="I406" s="16">
        <f t="shared" si="33"/>
        <v>-1.0331063629960197E-2</v>
      </c>
      <c r="J406" s="16">
        <f t="shared" si="34"/>
        <v>0.98966893637003983</v>
      </c>
      <c r="K406" s="16">
        <f t="shared" si="30"/>
        <v>42.79789473684211</v>
      </c>
      <c r="L406" s="16">
        <f t="shared" si="31"/>
        <v>43.517346938775511</v>
      </c>
      <c r="M406" s="25" t="str">
        <f t="shared" si="32"/>
        <v>HOLD</v>
      </c>
    </row>
    <row r="407" spans="2:13">
      <c r="B407" s="3">
        <v>42642</v>
      </c>
      <c r="C407" s="5">
        <v>42.03</v>
      </c>
      <c r="D407" s="5">
        <v>42.02</v>
      </c>
      <c r="E407" s="5">
        <v>42.39</v>
      </c>
      <c r="F407" s="5">
        <v>41.85</v>
      </c>
      <c r="G407" s="18" t="s">
        <v>300</v>
      </c>
      <c r="H407" s="2">
        <v>-2.8E-3</v>
      </c>
      <c r="I407" s="16">
        <f t="shared" si="33"/>
        <v>-2.846975088967911E-3</v>
      </c>
      <c r="J407" s="16">
        <f t="shared" si="34"/>
        <v>0.99715302491103208</v>
      </c>
      <c r="K407" s="16">
        <f t="shared" si="30"/>
        <v>42.730526315789476</v>
      </c>
      <c r="L407" s="16">
        <f t="shared" si="31"/>
        <v>43.448775510204079</v>
      </c>
      <c r="M407" s="25" t="str">
        <f t="shared" si="32"/>
        <v>HOLD</v>
      </c>
    </row>
    <row r="408" spans="2:13">
      <c r="B408" s="3">
        <v>42643</v>
      </c>
      <c r="C408" s="5">
        <v>42.32</v>
      </c>
      <c r="D408" s="5">
        <v>42.21</v>
      </c>
      <c r="E408" s="5">
        <v>42.5</v>
      </c>
      <c r="F408" s="5">
        <v>42.06</v>
      </c>
      <c r="G408" s="18" t="s">
        <v>241</v>
      </c>
      <c r="H408" s="2">
        <v>6.8999999999999999E-3</v>
      </c>
      <c r="I408" s="16">
        <f t="shared" si="33"/>
        <v>6.8998334522959587E-3</v>
      </c>
      <c r="J408" s="16">
        <f t="shared" si="34"/>
        <v>1.0068998334522961</v>
      </c>
      <c r="K408" s="16">
        <f t="shared" si="30"/>
        <v>42.661052631578947</v>
      </c>
      <c r="L408" s="16">
        <f t="shared" si="31"/>
        <v>43.378979591836739</v>
      </c>
      <c r="M408" s="25" t="str">
        <f t="shared" si="32"/>
        <v>HOLD</v>
      </c>
    </row>
    <row r="409" spans="2:13">
      <c r="B409" s="3">
        <v>42646</v>
      </c>
      <c r="C409" s="5">
        <v>42.03</v>
      </c>
      <c r="D409" s="5">
        <v>42.31</v>
      </c>
      <c r="E409" s="5">
        <v>42.31</v>
      </c>
      <c r="F409" s="5">
        <v>41.88</v>
      </c>
      <c r="G409" s="18" t="s">
        <v>361</v>
      </c>
      <c r="H409" s="2">
        <v>-6.8999999999999999E-3</v>
      </c>
      <c r="I409" s="16">
        <f t="shared" si="33"/>
        <v>-6.8525519848771062E-3</v>
      </c>
      <c r="J409" s="16">
        <f t="shared" si="34"/>
        <v>0.99314744801512289</v>
      </c>
      <c r="K409" s="16">
        <f t="shared" si="30"/>
        <v>42.590526315789475</v>
      </c>
      <c r="L409" s="16">
        <f t="shared" si="31"/>
        <v>43.307346938775517</v>
      </c>
      <c r="M409" s="25" t="str">
        <f t="shared" si="32"/>
        <v>HOLD</v>
      </c>
    </row>
    <row r="410" spans="2:13">
      <c r="B410" s="3">
        <v>42647</v>
      </c>
      <c r="C410" s="5">
        <v>41.84</v>
      </c>
      <c r="D410" s="5">
        <v>42.34</v>
      </c>
      <c r="E410" s="5">
        <v>42.34</v>
      </c>
      <c r="F410" s="5">
        <v>41.78</v>
      </c>
      <c r="G410" s="18" t="s">
        <v>217</v>
      </c>
      <c r="H410" s="2">
        <v>-4.4999999999999997E-3</v>
      </c>
      <c r="I410" s="16">
        <f t="shared" si="33"/>
        <v>-4.5205805377111045E-3</v>
      </c>
      <c r="J410" s="16">
        <f t="shared" si="34"/>
        <v>0.99547941946228891</v>
      </c>
      <c r="K410" s="16">
        <f t="shared" si="30"/>
        <v>42.497894736842099</v>
      </c>
      <c r="L410" s="16">
        <f t="shared" si="31"/>
        <v>43.235102040816329</v>
      </c>
      <c r="M410" s="25" t="str">
        <f t="shared" si="32"/>
        <v>HOLD</v>
      </c>
    </row>
    <row r="411" spans="2:13">
      <c r="B411" s="3">
        <v>42648</v>
      </c>
      <c r="C411" s="5">
        <v>41.81</v>
      </c>
      <c r="D411" s="5">
        <v>41.93</v>
      </c>
      <c r="E411" s="5">
        <v>42.07</v>
      </c>
      <c r="F411" s="5">
        <v>41.67</v>
      </c>
      <c r="G411" s="18" t="s">
        <v>1202</v>
      </c>
      <c r="H411" s="2">
        <v>-6.9999999999999999E-4</v>
      </c>
      <c r="I411" s="16">
        <f t="shared" si="33"/>
        <v>-7.1701720841302905E-4</v>
      </c>
      <c r="J411" s="16">
        <f t="shared" si="34"/>
        <v>0.999282982791587</v>
      </c>
      <c r="K411" s="16">
        <f t="shared" ref="K411:K474" si="35">AVERAGE(C392:C410)</f>
        <v>42.403157894736843</v>
      </c>
      <c r="L411" s="16">
        <f t="shared" si="31"/>
        <v>43.1730612244898</v>
      </c>
      <c r="M411" s="25" t="str">
        <f t="shared" si="32"/>
        <v>HOLD</v>
      </c>
    </row>
    <row r="412" spans="2:13">
      <c r="B412" s="3">
        <v>42649</v>
      </c>
      <c r="C412" s="5">
        <v>41.71</v>
      </c>
      <c r="D412" s="5">
        <v>41.68</v>
      </c>
      <c r="E412" s="5">
        <v>41.94</v>
      </c>
      <c r="F412" s="5">
        <v>41.58</v>
      </c>
      <c r="G412" s="18" t="s">
        <v>356</v>
      </c>
      <c r="H412" s="2">
        <v>-2.3999999999999998E-3</v>
      </c>
      <c r="I412" s="16">
        <f t="shared" si="33"/>
        <v>-2.3917723032767621E-3</v>
      </c>
      <c r="J412" s="16">
        <f t="shared" si="34"/>
        <v>0.99760822769672319</v>
      </c>
      <c r="K412" s="16">
        <f t="shared" si="35"/>
        <v>42.307368421052637</v>
      </c>
      <c r="L412" s="16">
        <f t="shared" si="31"/>
        <v>43.140612244897959</v>
      </c>
      <c r="M412" s="25" t="str">
        <f t="shared" si="32"/>
        <v>HOLD</v>
      </c>
    </row>
    <row r="413" spans="2:13">
      <c r="B413" s="3">
        <v>42650</v>
      </c>
      <c r="C413" s="5">
        <v>41.73</v>
      </c>
      <c r="D413" s="5">
        <v>41.83</v>
      </c>
      <c r="E413" s="5">
        <v>41.94</v>
      </c>
      <c r="F413" s="5">
        <v>41.56</v>
      </c>
      <c r="G413" s="18" t="s">
        <v>1178</v>
      </c>
      <c r="H413" s="2">
        <v>5.0000000000000001E-4</v>
      </c>
      <c r="I413" s="16">
        <f t="shared" si="33"/>
        <v>4.795013186285308E-4</v>
      </c>
      <c r="J413" s="16">
        <f t="shared" si="34"/>
        <v>1.0004795013186285</v>
      </c>
      <c r="K413" s="16">
        <f t="shared" si="35"/>
        <v>42.277894736842107</v>
      </c>
      <c r="L413" s="16">
        <f t="shared" si="31"/>
        <v>43.101020408163265</v>
      </c>
      <c r="M413" s="25" t="str">
        <f t="shared" si="32"/>
        <v>HOLD</v>
      </c>
    </row>
    <row r="414" spans="2:13">
      <c r="B414" s="3">
        <v>42653</v>
      </c>
      <c r="C414" s="5">
        <v>41.73</v>
      </c>
      <c r="D414" s="5">
        <v>41.92</v>
      </c>
      <c r="E414" s="5">
        <v>41.99</v>
      </c>
      <c r="F414" s="5">
        <v>41.6</v>
      </c>
      <c r="G414" s="18" t="s">
        <v>261</v>
      </c>
      <c r="H414" s="2">
        <v>0</v>
      </c>
      <c r="I414" s="16">
        <f t="shared" si="33"/>
        <v>0</v>
      </c>
      <c r="J414" s="16">
        <f t="shared" si="34"/>
        <v>1</v>
      </c>
      <c r="K414" s="16">
        <f t="shared" si="35"/>
        <v>42.201052631578953</v>
      </c>
      <c r="L414" s="16">
        <f t="shared" si="31"/>
        <v>43.062244897959175</v>
      </c>
      <c r="M414" s="25" t="str">
        <f t="shared" si="32"/>
        <v>HOLD</v>
      </c>
    </row>
    <row r="415" spans="2:13">
      <c r="B415" s="3">
        <v>42654</v>
      </c>
      <c r="C415" s="5">
        <v>41.54</v>
      </c>
      <c r="D415" s="5">
        <v>41.66</v>
      </c>
      <c r="E415" s="5">
        <v>41.7</v>
      </c>
      <c r="F415" s="5">
        <v>41.4</v>
      </c>
      <c r="G415" s="18" t="s">
        <v>210</v>
      </c>
      <c r="H415" s="2">
        <v>-4.5999999999999999E-3</v>
      </c>
      <c r="I415" s="16">
        <f t="shared" si="33"/>
        <v>-4.5530793194344058E-3</v>
      </c>
      <c r="J415" s="16">
        <f t="shared" si="34"/>
        <v>0.99544692068056562</v>
      </c>
      <c r="K415" s="16">
        <f t="shared" si="35"/>
        <v>42.172105263157903</v>
      </c>
      <c r="L415" s="16">
        <f t="shared" si="31"/>
        <v>43.027142857142849</v>
      </c>
      <c r="M415" s="25" t="str">
        <f t="shared" si="32"/>
        <v>HOLD</v>
      </c>
    </row>
    <row r="416" spans="2:13">
      <c r="B416" s="3">
        <v>42655</v>
      </c>
      <c r="C416" s="5">
        <v>41.78</v>
      </c>
      <c r="D416" s="5">
        <v>41.63</v>
      </c>
      <c r="E416" s="5">
        <v>41.84</v>
      </c>
      <c r="F416" s="5">
        <v>41.5</v>
      </c>
      <c r="G416" s="18" t="s">
        <v>429</v>
      </c>
      <c r="H416" s="2">
        <v>5.7999999999999996E-3</v>
      </c>
      <c r="I416" s="16">
        <f t="shared" si="33"/>
        <v>5.7775637939336058E-3</v>
      </c>
      <c r="J416" s="16">
        <f t="shared" si="34"/>
        <v>1.0057775637939337</v>
      </c>
      <c r="K416" s="16">
        <f t="shared" si="35"/>
        <v>42.142105263157895</v>
      </c>
      <c r="L416" s="16">
        <f t="shared" si="31"/>
        <v>42.986530612244891</v>
      </c>
      <c r="M416" s="25" t="str">
        <f t="shared" si="32"/>
        <v>HOLD</v>
      </c>
    </row>
    <row r="417" spans="2:13">
      <c r="B417" s="3">
        <v>42656</v>
      </c>
      <c r="C417" s="5">
        <v>41.76</v>
      </c>
      <c r="D417" s="5">
        <v>41.65</v>
      </c>
      <c r="E417" s="5">
        <v>41.89</v>
      </c>
      <c r="F417" s="5">
        <v>41.51</v>
      </c>
      <c r="G417" s="18" t="s">
        <v>1201</v>
      </c>
      <c r="H417" s="2">
        <v>-5.0000000000000001E-4</v>
      </c>
      <c r="I417" s="16">
        <f t="shared" si="33"/>
        <v>-4.7869794159892593E-4</v>
      </c>
      <c r="J417" s="16">
        <f t="shared" si="34"/>
        <v>0.99952130205840106</v>
      </c>
      <c r="K417" s="16">
        <f t="shared" si="35"/>
        <v>42.111578947368429</v>
      </c>
      <c r="L417" s="16">
        <f t="shared" si="31"/>
        <v>42.948571428571427</v>
      </c>
      <c r="M417" s="25" t="str">
        <f t="shared" si="32"/>
        <v>HOLD</v>
      </c>
    </row>
    <row r="418" spans="2:13">
      <c r="B418" s="3">
        <v>42657</v>
      </c>
      <c r="C418" s="5">
        <v>41.67</v>
      </c>
      <c r="D418" s="5">
        <v>41.85</v>
      </c>
      <c r="E418" s="5">
        <v>41.91</v>
      </c>
      <c r="F418" s="5">
        <v>41.62</v>
      </c>
      <c r="G418" s="18" t="s">
        <v>926</v>
      </c>
      <c r="H418" s="2">
        <v>-2.2000000000000001E-3</v>
      </c>
      <c r="I418" s="16">
        <f t="shared" si="33"/>
        <v>-2.1551724137930149E-3</v>
      </c>
      <c r="J418" s="16">
        <f t="shared" si="34"/>
        <v>0.99784482758620696</v>
      </c>
      <c r="K418" s="16">
        <f t="shared" si="35"/>
        <v>42.091578947368419</v>
      </c>
      <c r="L418" s="16">
        <f t="shared" si="31"/>
        <v>42.912857142857135</v>
      </c>
      <c r="M418" s="25" t="str">
        <f t="shared" si="32"/>
        <v>HOLD</v>
      </c>
    </row>
    <row r="419" spans="2:13">
      <c r="B419" s="3">
        <v>42660</v>
      </c>
      <c r="C419" s="5">
        <v>41.6</v>
      </c>
      <c r="D419" s="5">
        <v>41.73</v>
      </c>
      <c r="E419" s="5">
        <v>41.86</v>
      </c>
      <c r="F419" s="5">
        <v>41.57</v>
      </c>
      <c r="G419" s="18" t="s">
        <v>117</v>
      </c>
      <c r="H419" s="2">
        <v>-1.6999999999999999E-3</v>
      </c>
      <c r="I419" s="16">
        <f t="shared" si="33"/>
        <v>-1.6798656107511467E-3</v>
      </c>
      <c r="J419" s="16">
        <f t="shared" si="34"/>
        <v>0.99832013438924883</v>
      </c>
      <c r="K419" s="16">
        <f t="shared" si="35"/>
        <v>42.06894736842105</v>
      </c>
      <c r="L419" s="16">
        <f t="shared" si="31"/>
        <v>42.875918367346934</v>
      </c>
      <c r="M419" s="25" t="str">
        <f t="shared" si="32"/>
        <v>HOLD</v>
      </c>
    </row>
    <row r="420" spans="2:13">
      <c r="B420" s="3">
        <v>42661</v>
      </c>
      <c r="C420" s="5">
        <v>41.97</v>
      </c>
      <c r="D420" s="5">
        <v>41.81</v>
      </c>
      <c r="E420" s="5">
        <v>42</v>
      </c>
      <c r="F420" s="5">
        <v>41.73</v>
      </c>
      <c r="G420" s="18" t="s">
        <v>1186</v>
      </c>
      <c r="H420" s="2">
        <v>8.8999999999999999E-3</v>
      </c>
      <c r="I420" s="16">
        <f t="shared" si="33"/>
        <v>8.8942307692307081E-3</v>
      </c>
      <c r="J420" s="16">
        <f t="shared" si="34"/>
        <v>1.0088942307692308</v>
      </c>
      <c r="K420" s="16">
        <f t="shared" si="35"/>
        <v>42.03</v>
      </c>
      <c r="L420" s="16">
        <f t="shared" si="31"/>
        <v>42.838367346938753</v>
      </c>
      <c r="M420" s="25" t="str">
        <f t="shared" si="32"/>
        <v>HOLD</v>
      </c>
    </row>
    <row r="421" spans="2:13">
      <c r="B421" s="3">
        <v>42662</v>
      </c>
      <c r="C421" s="5">
        <v>42.05</v>
      </c>
      <c r="D421" s="5">
        <v>41.93</v>
      </c>
      <c r="E421" s="5">
        <v>42.12</v>
      </c>
      <c r="F421" s="5">
        <v>41.81</v>
      </c>
      <c r="G421" s="18" t="s">
        <v>257</v>
      </c>
      <c r="H421" s="2">
        <v>1.9E-3</v>
      </c>
      <c r="I421" s="16">
        <f t="shared" si="33"/>
        <v>1.906123421491501E-3</v>
      </c>
      <c r="J421" s="16">
        <f t="shared" si="34"/>
        <v>1.0019061234214914</v>
      </c>
      <c r="K421" s="16">
        <f t="shared" si="35"/>
        <v>42.000526315789472</v>
      </c>
      <c r="L421" s="16">
        <f t="shared" si="31"/>
        <v>42.807755102040808</v>
      </c>
      <c r="M421" s="25" t="str">
        <f t="shared" si="32"/>
        <v>HOLD</v>
      </c>
    </row>
    <row r="422" spans="2:13">
      <c r="B422" s="3">
        <v>42663</v>
      </c>
      <c r="C422" s="5">
        <v>41.93</v>
      </c>
      <c r="D422" s="5">
        <v>41.97</v>
      </c>
      <c r="E422" s="5">
        <v>42.11</v>
      </c>
      <c r="F422" s="5">
        <v>41.89</v>
      </c>
      <c r="G422" s="18" t="s">
        <v>1200</v>
      </c>
      <c r="H422" s="2">
        <v>-2.8999999999999998E-3</v>
      </c>
      <c r="I422" s="16">
        <f t="shared" si="33"/>
        <v>-2.8537455410225314E-3</v>
      </c>
      <c r="J422" s="16">
        <f t="shared" si="34"/>
        <v>0.99714625445897742</v>
      </c>
      <c r="K422" s="16">
        <f t="shared" si="35"/>
        <v>41.952631578947361</v>
      </c>
      <c r="L422" s="16">
        <f t="shared" si="31"/>
        <v>42.775918367346932</v>
      </c>
      <c r="M422" s="25" t="str">
        <f t="shared" si="32"/>
        <v>HOLD</v>
      </c>
    </row>
    <row r="423" spans="2:13">
      <c r="B423" s="3">
        <v>42664</v>
      </c>
      <c r="C423" s="5">
        <v>42.13</v>
      </c>
      <c r="D423" s="5">
        <v>41.85</v>
      </c>
      <c r="E423" s="5">
        <v>42.17</v>
      </c>
      <c r="F423" s="5">
        <v>41.68</v>
      </c>
      <c r="G423" s="18" t="s">
        <v>701</v>
      </c>
      <c r="H423" s="2">
        <v>4.7999999999999996E-3</v>
      </c>
      <c r="I423" s="16">
        <f t="shared" si="33"/>
        <v>4.7698545194372246E-3</v>
      </c>
      <c r="J423" s="16">
        <f t="shared" si="34"/>
        <v>1.0047698545194372</v>
      </c>
      <c r="K423" s="16">
        <f t="shared" si="35"/>
        <v>41.91</v>
      </c>
      <c r="L423" s="16">
        <f t="shared" si="31"/>
        <v>42.738775510204071</v>
      </c>
      <c r="M423" s="25" t="str">
        <f t="shared" si="32"/>
        <v>HOLD</v>
      </c>
    </row>
    <row r="424" spans="2:13">
      <c r="B424" s="3">
        <v>42667</v>
      </c>
      <c r="C424" s="5">
        <v>42.56</v>
      </c>
      <c r="D424" s="5">
        <v>42.32</v>
      </c>
      <c r="E424" s="5">
        <v>42.77</v>
      </c>
      <c r="F424" s="5">
        <v>42.25</v>
      </c>
      <c r="G424" s="18" t="s">
        <v>1199</v>
      </c>
      <c r="H424" s="2">
        <v>1.0200000000000001E-2</v>
      </c>
      <c r="I424" s="16">
        <f t="shared" si="33"/>
        <v>1.0206503679088529E-2</v>
      </c>
      <c r="J424" s="16">
        <f t="shared" si="34"/>
        <v>1.0102065036790886</v>
      </c>
      <c r="K424" s="16">
        <f t="shared" si="35"/>
        <v>41.914210526315784</v>
      </c>
      <c r="L424" s="16">
        <f t="shared" si="31"/>
        <v>42.699999999999996</v>
      </c>
      <c r="M424" s="25" t="str">
        <f t="shared" si="32"/>
        <v>HOLD</v>
      </c>
    </row>
    <row r="425" spans="2:13">
      <c r="B425" s="3">
        <v>42668</v>
      </c>
      <c r="C425" s="5">
        <v>42.54</v>
      </c>
      <c r="D425" s="5">
        <v>42.64</v>
      </c>
      <c r="E425" s="5">
        <v>42.88</v>
      </c>
      <c r="F425" s="5">
        <v>42.43</v>
      </c>
      <c r="G425" s="18" t="s">
        <v>1198</v>
      </c>
      <c r="H425" s="2">
        <v>-5.0000000000000001E-4</v>
      </c>
      <c r="I425" s="16">
        <f t="shared" si="33"/>
        <v>-4.6992481203014862E-4</v>
      </c>
      <c r="J425" s="16">
        <f t="shared" si="34"/>
        <v>0.99953007518796988</v>
      </c>
      <c r="K425" s="16">
        <f t="shared" si="35"/>
        <v>41.912631578947362</v>
      </c>
      <c r="L425" s="16">
        <f t="shared" si="31"/>
        <v>42.665714285714273</v>
      </c>
      <c r="M425" s="25" t="str">
        <f t="shared" si="32"/>
        <v>HOLD</v>
      </c>
    </row>
    <row r="426" spans="2:13">
      <c r="B426" s="3">
        <v>42669</v>
      </c>
      <c r="C426" s="5">
        <v>42.44</v>
      </c>
      <c r="D426" s="5">
        <v>43</v>
      </c>
      <c r="E426" s="5">
        <v>43.03</v>
      </c>
      <c r="F426" s="5">
        <v>42.41</v>
      </c>
      <c r="G426" s="18" t="s">
        <v>1197</v>
      </c>
      <c r="H426" s="2">
        <v>-2.3999999999999998E-3</v>
      </c>
      <c r="I426" s="16">
        <f t="shared" si="33"/>
        <v>-2.3507287259050642E-3</v>
      </c>
      <c r="J426" s="16">
        <f t="shared" si="34"/>
        <v>0.99764927127409497</v>
      </c>
      <c r="K426" s="16">
        <f t="shared" si="35"/>
        <v>41.933157894736844</v>
      </c>
      <c r="L426" s="16">
        <f t="shared" si="31"/>
        <v>42.639387755102042</v>
      </c>
      <c r="M426" s="25" t="str">
        <f t="shared" si="32"/>
        <v>HOLD</v>
      </c>
    </row>
    <row r="427" spans="2:13">
      <c r="B427" s="3">
        <v>42670</v>
      </c>
      <c r="C427" s="5">
        <v>42.12</v>
      </c>
      <c r="D427" s="5">
        <v>42.63</v>
      </c>
      <c r="E427" s="5">
        <v>42.65</v>
      </c>
      <c r="F427" s="5">
        <v>41.9</v>
      </c>
      <c r="G427" s="18" t="s">
        <v>1158</v>
      </c>
      <c r="H427" s="2">
        <v>-7.4999999999999997E-3</v>
      </c>
      <c r="I427" s="16">
        <f t="shared" si="33"/>
        <v>-7.5400565504241349E-3</v>
      </c>
      <c r="J427" s="16">
        <f t="shared" si="34"/>
        <v>0.99245994344957589</v>
      </c>
      <c r="K427" s="16">
        <f t="shared" si="35"/>
        <v>41.954736842105255</v>
      </c>
      <c r="L427" s="16">
        <f t="shared" si="31"/>
        <v>42.606326530612243</v>
      </c>
      <c r="M427" s="25" t="str">
        <f t="shared" si="32"/>
        <v>HOLD</v>
      </c>
    </row>
    <row r="428" spans="2:13">
      <c r="B428" s="3">
        <v>42671</v>
      </c>
      <c r="C428" s="5">
        <v>42.23</v>
      </c>
      <c r="D428" s="5">
        <v>42.26</v>
      </c>
      <c r="E428" s="5">
        <v>42.47</v>
      </c>
      <c r="F428" s="5">
        <v>42.1</v>
      </c>
      <c r="G428" s="18" t="s">
        <v>13</v>
      </c>
      <c r="H428" s="2">
        <v>2.5999999999999999E-3</v>
      </c>
      <c r="I428" s="16">
        <f t="shared" si="33"/>
        <v>2.6115859449192648E-3</v>
      </c>
      <c r="J428" s="16">
        <f t="shared" si="34"/>
        <v>1.0026115859449192</v>
      </c>
      <c r="K428" s="16">
        <f t="shared" si="35"/>
        <v>41.944210526315786</v>
      </c>
      <c r="L428" s="16">
        <f t="shared" si="31"/>
        <v>42.565918367346931</v>
      </c>
      <c r="M428" s="25" t="str">
        <f t="shared" si="32"/>
        <v>HOLD</v>
      </c>
    </row>
    <row r="429" spans="2:13">
      <c r="B429" s="3">
        <v>42674</v>
      </c>
      <c r="C429" s="5">
        <v>42.4</v>
      </c>
      <c r="D429" s="5">
        <v>42.12</v>
      </c>
      <c r="E429" s="5">
        <v>42.41</v>
      </c>
      <c r="F429" s="5">
        <v>42.12</v>
      </c>
      <c r="G429" s="18" t="s">
        <v>111</v>
      </c>
      <c r="H429" s="2">
        <v>4.0000000000000001E-3</v>
      </c>
      <c r="I429" s="16">
        <f t="shared" si="33"/>
        <v>4.025574236324928E-3</v>
      </c>
      <c r="J429" s="16">
        <f t="shared" si="34"/>
        <v>1.0040255742363249</v>
      </c>
      <c r="K429" s="16">
        <f t="shared" si="35"/>
        <v>41.954736842105262</v>
      </c>
      <c r="L429" s="16">
        <f t="shared" si="31"/>
        <v>42.531428571428563</v>
      </c>
      <c r="M429" s="25" t="str">
        <f t="shared" si="32"/>
        <v>HOLD</v>
      </c>
    </row>
    <row r="430" spans="2:13">
      <c r="B430" s="3">
        <v>42675</v>
      </c>
      <c r="C430" s="5">
        <v>42.12</v>
      </c>
      <c r="D430" s="5">
        <v>42.4</v>
      </c>
      <c r="E430" s="5">
        <v>42.42</v>
      </c>
      <c r="F430" s="5">
        <v>41.91</v>
      </c>
      <c r="G430" s="18" t="s">
        <v>429</v>
      </c>
      <c r="H430" s="2">
        <v>-6.6E-3</v>
      </c>
      <c r="I430" s="16">
        <f t="shared" si="33"/>
        <v>-6.6037735849056875E-3</v>
      </c>
      <c r="J430" s="16">
        <f t="shared" si="34"/>
        <v>0.99339622641509429</v>
      </c>
      <c r="K430" s="16">
        <f t="shared" si="35"/>
        <v>41.984210526315792</v>
      </c>
      <c r="L430" s="16">
        <f t="shared" si="31"/>
        <v>42.504081632653055</v>
      </c>
      <c r="M430" s="25" t="str">
        <f t="shared" si="32"/>
        <v>HOLD</v>
      </c>
    </row>
    <row r="431" spans="2:13">
      <c r="B431" s="3">
        <v>42676</v>
      </c>
      <c r="C431" s="5">
        <v>42.05</v>
      </c>
      <c r="D431" s="5">
        <v>42.1</v>
      </c>
      <c r="E431" s="5">
        <v>42.34</v>
      </c>
      <c r="F431" s="5">
        <v>42.01</v>
      </c>
      <c r="G431" s="18" t="s">
        <v>1196</v>
      </c>
      <c r="H431" s="2">
        <v>-1.6999999999999999E-3</v>
      </c>
      <c r="I431" s="16">
        <f t="shared" si="33"/>
        <v>-1.6619183285850022E-3</v>
      </c>
      <c r="J431" s="16">
        <f t="shared" si="34"/>
        <v>0.99833808167141502</v>
      </c>
      <c r="K431" s="16">
        <f t="shared" si="35"/>
        <v>42.000526315789479</v>
      </c>
      <c r="L431" s="16">
        <f t="shared" si="31"/>
        <v>42.46877551020409</v>
      </c>
      <c r="M431" s="25" t="str">
        <f t="shared" si="32"/>
        <v>HOLD</v>
      </c>
    </row>
    <row r="432" spans="2:13">
      <c r="B432" s="3">
        <v>42677</v>
      </c>
      <c r="C432" s="5">
        <v>42.03</v>
      </c>
      <c r="D432" s="5">
        <v>42.22</v>
      </c>
      <c r="E432" s="5">
        <v>42.22</v>
      </c>
      <c r="F432" s="5">
        <v>41.96</v>
      </c>
      <c r="G432" s="18" t="s">
        <v>288</v>
      </c>
      <c r="H432" s="2">
        <v>-5.0000000000000001E-4</v>
      </c>
      <c r="I432" s="16">
        <f t="shared" si="33"/>
        <v>-4.756242568370041E-4</v>
      </c>
      <c r="J432" s="16">
        <f t="shared" si="34"/>
        <v>0.999524375743163</v>
      </c>
      <c r="K432" s="16">
        <f t="shared" si="35"/>
        <v>42.018421052631581</v>
      </c>
      <c r="L432" s="16">
        <f t="shared" si="31"/>
        <v>42.432040816326534</v>
      </c>
      <c r="M432" s="25" t="str">
        <f t="shared" si="32"/>
        <v>HOLD</v>
      </c>
    </row>
    <row r="433" spans="2:13">
      <c r="B433" s="3">
        <v>42678</v>
      </c>
      <c r="C433" s="5">
        <v>41.69</v>
      </c>
      <c r="D433" s="5">
        <v>41.85</v>
      </c>
      <c r="E433" s="5">
        <v>42.04</v>
      </c>
      <c r="F433" s="5">
        <v>41.69</v>
      </c>
      <c r="G433" s="18" t="s">
        <v>389</v>
      </c>
      <c r="H433" s="2">
        <v>-8.0999999999999996E-3</v>
      </c>
      <c r="I433" s="16">
        <f t="shared" si="33"/>
        <v>-8.0894599095884707E-3</v>
      </c>
      <c r="J433" s="16">
        <f t="shared" si="34"/>
        <v>0.99191054009041157</v>
      </c>
      <c r="K433" s="16">
        <f t="shared" si="35"/>
        <v>42.034210526315789</v>
      </c>
      <c r="L433" s="16">
        <f t="shared" si="31"/>
        <v>42.398571428571422</v>
      </c>
      <c r="M433" s="25" t="str">
        <f t="shared" si="32"/>
        <v>HOLD</v>
      </c>
    </row>
    <row r="434" spans="2:13">
      <c r="B434" s="3">
        <v>42681</v>
      </c>
      <c r="C434" s="5">
        <v>42.46</v>
      </c>
      <c r="D434" s="5">
        <v>42.04</v>
      </c>
      <c r="E434" s="5">
        <v>42.5</v>
      </c>
      <c r="F434" s="5">
        <v>42.04</v>
      </c>
      <c r="G434" s="18" t="s">
        <v>1195</v>
      </c>
      <c r="H434" s="2">
        <v>1.8499999999999999E-2</v>
      </c>
      <c r="I434" s="16">
        <f t="shared" si="33"/>
        <v>1.8469656992084509E-2</v>
      </c>
      <c r="J434" s="16">
        <f t="shared" si="34"/>
        <v>1.0184696569920846</v>
      </c>
      <c r="K434" s="16">
        <f t="shared" si="35"/>
        <v>42.032105263157888</v>
      </c>
      <c r="L434" s="16">
        <f t="shared" si="31"/>
        <v>42.36530612244897</v>
      </c>
      <c r="M434" s="25" t="str">
        <f t="shared" si="32"/>
        <v>HOLD</v>
      </c>
    </row>
    <row r="435" spans="2:13">
      <c r="B435" s="3">
        <v>42682</v>
      </c>
      <c r="C435" s="5">
        <v>42.88</v>
      </c>
      <c r="D435" s="5">
        <v>42.37</v>
      </c>
      <c r="E435" s="5">
        <v>42.98</v>
      </c>
      <c r="F435" s="5">
        <v>42.37</v>
      </c>
      <c r="G435" s="18" t="s">
        <v>673</v>
      </c>
      <c r="H435" s="2">
        <v>9.9000000000000008E-3</v>
      </c>
      <c r="I435" s="16">
        <f t="shared" si="33"/>
        <v>9.8916627414037134E-3</v>
      </c>
      <c r="J435" s="16">
        <f t="shared" si="34"/>
        <v>1.0098916627414036</v>
      </c>
      <c r="K435" s="16">
        <f t="shared" si="35"/>
        <v>42.08052631578947</v>
      </c>
      <c r="L435" s="16">
        <f t="shared" si="31"/>
        <v>42.34326530612244</v>
      </c>
      <c r="M435" s="25" t="str">
        <f t="shared" si="32"/>
        <v>HOLD</v>
      </c>
    </row>
    <row r="436" spans="2:13">
      <c r="B436" s="3">
        <v>42683</v>
      </c>
      <c r="C436" s="5">
        <v>42.27</v>
      </c>
      <c r="D436" s="5">
        <v>41.76</v>
      </c>
      <c r="E436" s="5">
        <v>42.32</v>
      </c>
      <c r="F436" s="5">
        <v>41.7</v>
      </c>
      <c r="G436" s="18" t="s">
        <v>1194</v>
      </c>
      <c r="H436" s="2">
        <v>-1.4200000000000001E-2</v>
      </c>
      <c r="I436" s="16">
        <f t="shared" si="33"/>
        <v>-1.4225746268656702E-2</v>
      </c>
      <c r="J436" s="16">
        <f t="shared" si="34"/>
        <v>0.98577425373134331</v>
      </c>
      <c r="K436" s="16">
        <f t="shared" si="35"/>
        <v>42.138421052631578</v>
      </c>
      <c r="L436" s="16">
        <f t="shared" si="31"/>
        <v>42.335918367346942</v>
      </c>
      <c r="M436" s="25" t="str">
        <f t="shared" si="32"/>
        <v>HOLD</v>
      </c>
    </row>
    <row r="437" spans="2:13">
      <c r="B437" s="3">
        <v>42684</v>
      </c>
      <c r="C437" s="5">
        <v>40.94</v>
      </c>
      <c r="D437" s="5">
        <v>41.86</v>
      </c>
      <c r="E437" s="5">
        <v>42.26</v>
      </c>
      <c r="F437" s="5">
        <v>40.85</v>
      </c>
      <c r="G437" s="18" t="s">
        <v>1193</v>
      </c>
      <c r="H437" s="2">
        <v>-3.15E-2</v>
      </c>
      <c r="I437" s="16">
        <f t="shared" si="33"/>
        <v>-3.1464395552401353E-2</v>
      </c>
      <c r="J437" s="16">
        <f t="shared" si="34"/>
        <v>0.96853560444759867</v>
      </c>
      <c r="K437" s="16">
        <f t="shared" si="35"/>
        <v>42.165263157894735</v>
      </c>
      <c r="L437" s="16">
        <f t="shared" si="31"/>
        <v>42.312244897959189</v>
      </c>
      <c r="M437" s="25" t="str">
        <f t="shared" si="32"/>
        <v>HOLD</v>
      </c>
    </row>
    <row r="438" spans="2:13">
      <c r="B438" s="3">
        <v>42685</v>
      </c>
      <c r="C438" s="5">
        <v>41.03</v>
      </c>
      <c r="D438" s="5">
        <v>40.950000000000003</v>
      </c>
      <c r="E438" s="5">
        <v>41.13</v>
      </c>
      <c r="F438" s="5">
        <v>40.630000000000003</v>
      </c>
      <c r="G438" s="18" t="s">
        <v>22</v>
      </c>
      <c r="H438" s="2">
        <v>2.2000000000000001E-3</v>
      </c>
      <c r="I438" s="16">
        <f t="shared" si="33"/>
        <v>2.1983390327309092E-3</v>
      </c>
      <c r="J438" s="16">
        <f t="shared" si="34"/>
        <v>1.0021983390327309</v>
      </c>
      <c r="K438" s="16">
        <f t="shared" si="35"/>
        <v>42.126842105263151</v>
      </c>
      <c r="L438" s="16">
        <f t="shared" si="31"/>
        <v>42.263061224489796</v>
      </c>
      <c r="M438" s="25" t="str">
        <f t="shared" si="32"/>
        <v>HOLD</v>
      </c>
    </row>
    <row r="439" spans="2:13">
      <c r="B439" s="3">
        <v>42688</v>
      </c>
      <c r="C439" s="5">
        <v>41.17</v>
      </c>
      <c r="D439" s="5">
        <v>41.13</v>
      </c>
      <c r="E439" s="5">
        <v>41.42</v>
      </c>
      <c r="F439" s="5">
        <v>40.85</v>
      </c>
      <c r="G439" s="18" t="s">
        <v>1192</v>
      </c>
      <c r="H439" s="2">
        <v>3.3999999999999998E-3</v>
      </c>
      <c r="I439" s="16">
        <f t="shared" si="33"/>
        <v>3.4121374603948468E-3</v>
      </c>
      <c r="J439" s="16">
        <f t="shared" si="34"/>
        <v>1.0034121374603948</v>
      </c>
      <c r="K439" s="16">
        <f t="shared" si="35"/>
        <v>42.096842105263157</v>
      </c>
      <c r="L439" s="16">
        <f t="shared" si="31"/>
        <v>42.209387755102043</v>
      </c>
      <c r="M439" s="25" t="str">
        <f t="shared" si="32"/>
        <v>HOLD</v>
      </c>
    </row>
    <row r="440" spans="2:13">
      <c r="B440" s="3">
        <v>42689</v>
      </c>
      <c r="C440" s="5">
        <v>41.44</v>
      </c>
      <c r="D440" s="5">
        <v>41.18</v>
      </c>
      <c r="E440" s="5">
        <v>41.52</v>
      </c>
      <c r="F440" s="5">
        <v>41.17</v>
      </c>
      <c r="G440" s="18" t="s">
        <v>1191</v>
      </c>
      <c r="H440" s="2">
        <v>6.6E-3</v>
      </c>
      <c r="I440" s="16">
        <f t="shared" si="33"/>
        <v>6.5581734272527571E-3</v>
      </c>
      <c r="J440" s="16">
        <f t="shared" si="34"/>
        <v>1.0065581734272528</v>
      </c>
      <c r="K440" s="16">
        <f t="shared" si="35"/>
        <v>42.054736842105257</v>
      </c>
      <c r="L440" s="16">
        <f t="shared" si="31"/>
        <v>42.155918367346935</v>
      </c>
      <c r="M440" s="25" t="str">
        <f t="shared" si="32"/>
        <v>HOLD</v>
      </c>
    </row>
    <row r="441" spans="2:13">
      <c r="B441" s="3">
        <v>42690</v>
      </c>
      <c r="C441" s="5">
        <v>41.26</v>
      </c>
      <c r="D441" s="5">
        <v>41.4</v>
      </c>
      <c r="E441" s="5">
        <v>41.65</v>
      </c>
      <c r="F441" s="5">
        <v>41.16</v>
      </c>
      <c r="G441" s="18" t="s">
        <v>229</v>
      </c>
      <c r="H441" s="2">
        <v>-4.3E-3</v>
      </c>
      <c r="I441" s="16">
        <f t="shared" si="33"/>
        <v>-4.3436293436293367E-3</v>
      </c>
      <c r="J441" s="16">
        <f t="shared" si="34"/>
        <v>0.99565637065637069</v>
      </c>
      <c r="K441" s="16">
        <f t="shared" si="35"/>
        <v>42.022631578947362</v>
      </c>
      <c r="L441" s="16">
        <f t="shared" ref="L441:L504" si="36">AVERAGE(C392:C440)</f>
        <v>42.111020408163263</v>
      </c>
      <c r="M441" s="25" t="str">
        <f t="shared" ref="M441:M504" si="37">IF(AND(K441&gt;L441,K440&lt;=L440),"BUY",IF(AND(K441&lt;L441,K440&gt;=L440),"SELL","HOLD"))</f>
        <v>HOLD</v>
      </c>
    </row>
    <row r="442" spans="2:13">
      <c r="B442" s="3">
        <v>42691</v>
      </c>
      <c r="C442" s="5">
        <v>41.12</v>
      </c>
      <c r="D442" s="5">
        <v>41.28</v>
      </c>
      <c r="E442" s="5">
        <v>41.3</v>
      </c>
      <c r="F442" s="5">
        <v>41</v>
      </c>
      <c r="G442" s="18" t="s">
        <v>1028</v>
      </c>
      <c r="H442" s="2">
        <v>-3.3999999999999998E-3</v>
      </c>
      <c r="I442" s="16">
        <f t="shared" si="33"/>
        <v>-3.3931168201648226E-3</v>
      </c>
      <c r="J442" s="16">
        <f t="shared" si="34"/>
        <v>0.99660688317983515</v>
      </c>
      <c r="K442" s="16">
        <f t="shared" si="35"/>
        <v>41.987368421052622</v>
      </c>
      <c r="L442" s="16">
        <f t="shared" si="36"/>
        <v>42.062653061224502</v>
      </c>
      <c r="M442" s="25" t="str">
        <f t="shared" si="37"/>
        <v>HOLD</v>
      </c>
    </row>
    <row r="443" spans="2:13">
      <c r="B443" s="3">
        <v>42692</v>
      </c>
      <c r="C443" s="5">
        <v>40.909999999999997</v>
      </c>
      <c r="D443" s="5">
        <v>41.03</v>
      </c>
      <c r="E443" s="5">
        <v>41.2</v>
      </c>
      <c r="F443" s="5">
        <v>40.9</v>
      </c>
      <c r="G443" s="18" t="s">
        <v>907</v>
      </c>
      <c r="H443" s="2">
        <v>-5.1000000000000004E-3</v>
      </c>
      <c r="I443" s="16">
        <f t="shared" si="33"/>
        <v>-5.1070038910506045E-3</v>
      </c>
      <c r="J443" s="16">
        <f t="shared" si="34"/>
        <v>0.99489299610894943</v>
      </c>
      <c r="K443" s="16">
        <f t="shared" si="35"/>
        <v>41.93421052631578</v>
      </c>
      <c r="L443" s="16">
        <f t="shared" si="36"/>
        <v>42.039183673469388</v>
      </c>
      <c r="M443" s="25" t="str">
        <f t="shared" si="37"/>
        <v>HOLD</v>
      </c>
    </row>
    <row r="444" spans="2:13">
      <c r="B444" s="3">
        <v>42695</v>
      </c>
      <c r="C444" s="5">
        <v>41.36</v>
      </c>
      <c r="D444" s="5">
        <v>40.74</v>
      </c>
      <c r="E444" s="5">
        <v>41.36</v>
      </c>
      <c r="F444" s="5">
        <v>40.729999999999997</v>
      </c>
      <c r="G444" s="18" t="s">
        <v>232</v>
      </c>
      <c r="H444" s="2">
        <v>1.0999999999999999E-2</v>
      </c>
      <c r="I444" s="16">
        <f t="shared" si="33"/>
        <v>1.0999755560987604E-2</v>
      </c>
      <c r="J444" s="16">
        <f t="shared" si="34"/>
        <v>1.0109997555609875</v>
      </c>
      <c r="K444" s="16">
        <f t="shared" si="35"/>
        <v>41.847368421052614</v>
      </c>
      <c r="L444" s="16">
        <f t="shared" si="36"/>
        <v>41.992653061224495</v>
      </c>
      <c r="M444" s="25" t="str">
        <f t="shared" si="37"/>
        <v>HOLD</v>
      </c>
    </row>
    <row r="445" spans="2:13">
      <c r="B445" s="3">
        <v>42696</v>
      </c>
      <c r="C445" s="5">
        <v>41.37</v>
      </c>
      <c r="D445" s="5">
        <v>41.45</v>
      </c>
      <c r="E445" s="5">
        <v>41.7</v>
      </c>
      <c r="F445" s="5">
        <v>41.24</v>
      </c>
      <c r="G445" s="18" t="s">
        <v>754</v>
      </c>
      <c r="H445" s="2">
        <v>2.0000000000000001E-4</v>
      </c>
      <c r="I445" s="16">
        <f t="shared" si="33"/>
        <v>2.4177949709859792E-4</v>
      </c>
      <c r="J445" s="16">
        <f t="shared" si="34"/>
        <v>1.0002417794970986</v>
      </c>
      <c r="K445" s="16">
        <f t="shared" si="35"/>
        <v>41.785263157894732</v>
      </c>
      <c r="L445" s="16">
        <f t="shared" si="36"/>
        <v>41.973877551020415</v>
      </c>
      <c r="M445" s="25" t="str">
        <f t="shared" si="37"/>
        <v>HOLD</v>
      </c>
    </row>
    <row r="446" spans="2:13">
      <c r="B446" s="3">
        <v>42697</v>
      </c>
      <c r="C446" s="5">
        <v>41.12</v>
      </c>
      <c r="D446" s="5">
        <v>41.22</v>
      </c>
      <c r="E446" s="5">
        <v>41.31</v>
      </c>
      <c r="F446" s="5">
        <v>41.03</v>
      </c>
      <c r="G446" s="18" t="s">
        <v>788</v>
      </c>
      <c r="H446" s="2">
        <v>-6.0000000000000001E-3</v>
      </c>
      <c r="I446" s="16">
        <f t="shared" si="33"/>
        <v>-6.0430263475948756E-3</v>
      </c>
      <c r="J446" s="16">
        <f t="shared" si="34"/>
        <v>0.9939569736524051</v>
      </c>
      <c r="K446" s="16">
        <f t="shared" si="35"/>
        <v>41.728947368421046</v>
      </c>
      <c r="L446" s="16">
        <f t="shared" si="36"/>
        <v>41.958775510204084</v>
      </c>
      <c r="M446" s="25" t="str">
        <f t="shared" si="37"/>
        <v>HOLD</v>
      </c>
    </row>
    <row r="447" spans="2:13">
      <c r="B447" s="3">
        <v>42699</v>
      </c>
      <c r="C447" s="5">
        <v>41.53</v>
      </c>
      <c r="D447" s="5">
        <v>41.39</v>
      </c>
      <c r="E447" s="5">
        <v>41.58</v>
      </c>
      <c r="F447" s="5">
        <v>41.24</v>
      </c>
      <c r="G447" s="18" t="s">
        <v>1190</v>
      </c>
      <c r="H447" s="2">
        <v>0.01</v>
      </c>
      <c r="I447" s="16">
        <f t="shared" si="33"/>
        <v>9.9708171206226593E-3</v>
      </c>
      <c r="J447" s="16">
        <f t="shared" si="34"/>
        <v>1.0099708171206228</v>
      </c>
      <c r="K447" s="16">
        <f t="shared" si="35"/>
        <v>41.676315789473684</v>
      </c>
      <c r="L447" s="16">
        <f t="shared" si="36"/>
        <v>41.93346938775511</v>
      </c>
      <c r="M447" s="25" t="str">
        <f t="shared" si="37"/>
        <v>HOLD</v>
      </c>
    </row>
    <row r="448" spans="2:13">
      <c r="B448" s="3">
        <v>42702</v>
      </c>
      <c r="C448" s="5">
        <v>41.75</v>
      </c>
      <c r="D448" s="5">
        <v>41.51</v>
      </c>
      <c r="E448" s="5">
        <v>41.79</v>
      </c>
      <c r="F448" s="5">
        <v>41.27</v>
      </c>
      <c r="G448" s="18" t="s">
        <v>1189</v>
      </c>
      <c r="H448" s="2">
        <v>5.3E-3</v>
      </c>
      <c r="I448" s="16">
        <f t="shared" si="33"/>
        <v>5.2973753912833824E-3</v>
      </c>
      <c r="J448" s="16">
        <f t="shared" si="34"/>
        <v>1.0052973753912833</v>
      </c>
      <c r="K448" s="16">
        <f t="shared" si="35"/>
        <v>41.639473684210522</v>
      </c>
      <c r="L448" s="16">
        <f t="shared" si="36"/>
        <v>41.921020408163258</v>
      </c>
      <c r="M448" s="25" t="str">
        <f t="shared" si="37"/>
        <v>HOLD</v>
      </c>
    </row>
    <row r="449" spans="2:13">
      <c r="B449" s="3">
        <v>42703</v>
      </c>
      <c r="C449" s="5">
        <v>41.15</v>
      </c>
      <c r="D449" s="5">
        <v>41.52</v>
      </c>
      <c r="E449" s="5">
        <v>41.52</v>
      </c>
      <c r="F449" s="5">
        <v>41.14</v>
      </c>
      <c r="G449" s="18" t="s">
        <v>120</v>
      </c>
      <c r="H449" s="2">
        <v>-1.44E-2</v>
      </c>
      <c r="I449" s="16">
        <f t="shared" si="33"/>
        <v>-1.4371257485029975E-2</v>
      </c>
      <c r="J449" s="16">
        <f t="shared" si="34"/>
        <v>0.98562874251497001</v>
      </c>
      <c r="K449" s="16">
        <f t="shared" si="35"/>
        <v>41.60526315789474</v>
      </c>
      <c r="L449" s="16">
        <f t="shared" si="36"/>
        <v>41.913877551020406</v>
      </c>
      <c r="M449" s="25" t="str">
        <f t="shared" si="37"/>
        <v>HOLD</v>
      </c>
    </row>
    <row r="450" spans="2:13">
      <c r="B450" s="3">
        <v>42704</v>
      </c>
      <c r="C450" s="5">
        <v>40.35</v>
      </c>
      <c r="D450" s="5">
        <v>41</v>
      </c>
      <c r="E450" s="5">
        <v>41.2</v>
      </c>
      <c r="F450" s="5">
        <v>40.35</v>
      </c>
      <c r="G450" s="18" t="s">
        <v>1188</v>
      </c>
      <c r="H450" s="2">
        <v>-1.9400000000000001E-2</v>
      </c>
      <c r="I450" s="16">
        <f t="shared" si="33"/>
        <v>-1.9441069258809167E-2</v>
      </c>
      <c r="J450" s="16">
        <f t="shared" si="34"/>
        <v>0.98055893074119083</v>
      </c>
      <c r="K450" s="16">
        <f t="shared" si="35"/>
        <v>41.554210526315785</v>
      </c>
      <c r="L450" s="16">
        <f t="shared" si="36"/>
        <v>41.889591836734688</v>
      </c>
      <c r="M450" s="25" t="str">
        <f t="shared" si="37"/>
        <v>HOLD</v>
      </c>
    </row>
    <row r="451" spans="2:13">
      <c r="B451" s="3">
        <v>42705</v>
      </c>
      <c r="C451" s="5">
        <v>40.17</v>
      </c>
      <c r="D451" s="5">
        <v>40.31</v>
      </c>
      <c r="E451" s="5">
        <v>40.39</v>
      </c>
      <c r="F451" s="5">
        <v>39.880000000000003</v>
      </c>
      <c r="G451" s="18" t="s">
        <v>1187</v>
      </c>
      <c r="H451" s="2">
        <v>-4.4999999999999997E-3</v>
      </c>
      <c r="I451" s="16">
        <f t="shared" si="33"/>
        <v>-4.4609665427509226E-3</v>
      </c>
      <c r="J451" s="16">
        <f t="shared" si="34"/>
        <v>0.99553903345724903</v>
      </c>
      <c r="K451" s="16">
        <f t="shared" si="35"/>
        <v>41.464736842105268</v>
      </c>
      <c r="L451" s="16">
        <f t="shared" si="36"/>
        <v>41.845102040816322</v>
      </c>
      <c r="M451" s="25" t="str">
        <f t="shared" si="37"/>
        <v>HOLD</v>
      </c>
    </row>
    <row r="452" spans="2:13">
      <c r="B452" s="3">
        <v>42706</v>
      </c>
      <c r="C452" s="5">
        <v>40.36</v>
      </c>
      <c r="D452" s="5">
        <v>40.299999999999997</v>
      </c>
      <c r="E452" s="5">
        <v>40.49</v>
      </c>
      <c r="F452" s="5">
        <v>40.19</v>
      </c>
      <c r="G452" s="18" t="s">
        <v>108</v>
      </c>
      <c r="H452" s="2">
        <v>4.7000000000000002E-3</v>
      </c>
      <c r="I452" s="16">
        <f t="shared" si="33"/>
        <v>4.7298979337813719E-3</v>
      </c>
      <c r="J452" s="16">
        <f t="shared" si="34"/>
        <v>1.0047298979337813</v>
      </c>
      <c r="K452" s="16">
        <f t="shared" si="35"/>
        <v>41.366842105263153</v>
      </c>
      <c r="L452" s="16">
        <f t="shared" si="36"/>
        <v>41.788163265306117</v>
      </c>
      <c r="M452" s="25" t="str">
        <f t="shared" si="37"/>
        <v>HOLD</v>
      </c>
    </row>
    <row r="453" spans="2:13">
      <c r="B453" s="3">
        <v>42709</v>
      </c>
      <c r="C453" s="5">
        <v>40.619999999999997</v>
      </c>
      <c r="D453" s="5">
        <v>40.340000000000003</v>
      </c>
      <c r="E453" s="5">
        <v>40.69</v>
      </c>
      <c r="F453" s="5">
        <v>40.31</v>
      </c>
      <c r="G453" s="18" t="s">
        <v>1016</v>
      </c>
      <c r="H453" s="2">
        <v>6.4000000000000003E-3</v>
      </c>
      <c r="I453" s="16">
        <f t="shared" si="33"/>
        <v>6.4420218037660555E-3</v>
      </c>
      <c r="J453" s="16">
        <f t="shared" si="34"/>
        <v>1.006442021803766</v>
      </c>
      <c r="K453" s="16">
        <f t="shared" si="35"/>
        <v>41.29684210526316</v>
      </c>
      <c r="L453" s="16">
        <f t="shared" si="36"/>
        <v>41.739591836734689</v>
      </c>
      <c r="M453" s="25" t="str">
        <f t="shared" si="37"/>
        <v>HOLD</v>
      </c>
    </row>
    <row r="454" spans="2:13">
      <c r="B454" s="3">
        <v>42710</v>
      </c>
      <c r="C454" s="5">
        <v>40.57</v>
      </c>
      <c r="D454" s="5">
        <v>40.75</v>
      </c>
      <c r="E454" s="5">
        <v>40.770000000000003</v>
      </c>
      <c r="F454" s="5">
        <v>40.42</v>
      </c>
      <c r="G454" s="18" t="s">
        <v>1186</v>
      </c>
      <c r="H454" s="2">
        <v>-1.1999999999999999E-3</v>
      </c>
      <c r="I454" s="16">
        <f t="shared" si="33"/>
        <v>-1.2309207287050014E-3</v>
      </c>
      <c r="J454" s="16">
        <f t="shared" si="34"/>
        <v>0.99876907927129499</v>
      </c>
      <c r="K454" s="16">
        <f t="shared" si="35"/>
        <v>41.199999999999996</v>
      </c>
      <c r="L454" s="16">
        <f t="shared" si="36"/>
        <v>41.710408163265299</v>
      </c>
      <c r="M454" s="25" t="str">
        <f t="shared" si="37"/>
        <v>HOLD</v>
      </c>
    </row>
    <row r="455" spans="2:13">
      <c r="B455" s="3">
        <v>42711</v>
      </c>
      <c r="C455" s="5">
        <v>41.29</v>
      </c>
      <c r="D455" s="5">
        <v>40.54</v>
      </c>
      <c r="E455" s="5">
        <v>41.29</v>
      </c>
      <c r="F455" s="5">
        <v>40.51</v>
      </c>
      <c r="G455" s="18" t="s">
        <v>527</v>
      </c>
      <c r="H455" s="2">
        <v>1.77E-2</v>
      </c>
      <c r="I455" s="16">
        <f t="shared" si="33"/>
        <v>1.7747103771259522E-2</v>
      </c>
      <c r="J455" s="16">
        <f t="shared" si="34"/>
        <v>1.0177471037712595</v>
      </c>
      <c r="K455" s="16">
        <f t="shared" si="35"/>
        <v>41.078421052631576</v>
      </c>
      <c r="L455" s="16">
        <f t="shared" si="36"/>
        <v>41.669183673469377</v>
      </c>
      <c r="M455" s="25" t="str">
        <f t="shared" si="37"/>
        <v>HOLD</v>
      </c>
    </row>
    <row r="456" spans="2:13">
      <c r="B456" s="3">
        <v>42712</v>
      </c>
      <c r="C456" s="5">
        <v>40.98</v>
      </c>
      <c r="D456" s="5">
        <v>41.07</v>
      </c>
      <c r="E456" s="5">
        <v>41.21</v>
      </c>
      <c r="F456" s="5">
        <v>40.840000000000003</v>
      </c>
      <c r="G456" s="18" t="s">
        <v>725</v>
      </c>
      <c r="H456" s="2">
        <v>-7.4999999999999997E-3</v>
      </c>
      <c r="I456" s="16">
        <f t="shared" si="33"/>
        <v>-7.5078711552434554E-3</v>
      </c>
      <c r="J456" s="16">
        <f t="shared" si="34"/>
        <v>0.99249212884475657</v>
      </c>
      <c r="K456" s="16">
        <f t="shared" si="35"/>
        <v>41.026842105263157</v>
      </c>
      <c r="L456" s="16">
        <f t="shared" si="36"/>
        <v>41.65163265306122</v>
      </c>
      <c r="M456" s="25" t="str">
        <f t="shared" si="37"/>
        <v>HOLD</v>
      </c>
    </row>
    <row r="457" spans="2:13">
      <c r="B457" s="3">
        <v>42713</v>
      </c>
      <c r="C457" s="5">
        <v>42</v>
      </c>
      <c r="D457" s="5">
        <v>41.5</v>
      </c>
      <c r="E457" s="5">
        <v>42.22</v>
      </c>
      <c r="F457" s="5">
        <v>41.29</v>
      </c>
      <c r="G457" s="18" t="s">
        <v>1185</v>
      </c>
      <c r="H457" s="2">
        <v>2.4899999999999999E-2</v>
      </c>
      <c r="I457" s="16">
        <f t="shared" ref="I457:I520" si="38">(C457-C456)/C456</f>
        <v>2.4890190336749711E-2</v>
      </c>
      <c r="J457" s="16">
        <f t="shared" ref="J457:J520" si="39">C457/C456</f>
        <v>1.0248901903367498</v>
      </c>
      <c r="K457" s="16">
        <f t="shared" si="35"/>
        <v>41.028947368421058</v>
      </c>
      <c r="L457" s="16">
        <f t="shared" si="36"/>
        <v>41.630204081632648</v>
      </c>
      <c r="M457" s="25" t="str">
        <f t="shared" si="37"/>
        <v>HOLD</v>
      </c>
    </row>
    <row r="458" spans="2:13">
      <c r="B458" s="3">
        <v>42716</v>
      </c>
      <c r="C458" s="5">
        <v>41.9</v>
      </c>
      <c r="D458" s="5">
        <v>42</v>
      </c>
      <c r="E458" s="5">
        <v>42.01</v>
      </c>
      <c r="F458" s="5">
        <v>41.72</v>
      </c>
      <c r="G458" s="18" t="s">
        <v>585</v>
      </c>
      <c r="H458" s="2">
        <v>-2.3999999999999998E-3</v>
      </c>
      <c r="I458" s="16">
        <f t="shared" si="38"/>
        <v>-2.380952380952415E-3</v>
      </c>
      <c r="J458" s="16">
        <f t="shared" si="39"/>
        <v>0.99761904761904763</v>
      </c>
      <c r="K458" s="16">
        <f t="shared" si="35"/>
        <v>41.08</v>
      </c>
      <c r="L458" s="16">
        <f t="shared" si="36"/>
        <v>41.623673469387747</v>
      </c>
      <c r="M458" s="25" t="str">
        <f t="shared" si="37"/>
        <v>HOLD</v>
      </c>
    </row>
    <row r="459" spans="2:13">
      <c r="B459" s="3">
        <v>42717</v>
      </c>
      <c r="C459" s="5">
        <v>41.76</v>
      </c>
      <c r="D459" s="5">
        <v>41.72</v>
      </c>
      <c r="E459" s="5">
        <v>41.96</v>
      </c>
      <c r="F459" s="5">
        <v>41.54</v>
      </c>
      <c r="G459" s="18" t="s">
        <v>1184</v>
      </c>
      <c r="H459" s="2">
        <v>-3.3E-3</v>
      </c>
      <c r="I459" s="16">
        <f t="shared" si="38"/>
        <v>-3.3412887828162428E-3</v>
      </c>
      <c r="J459" s="16">
        <f t="shared" si="39"/>
        <v>0.99665871121718375</v>
      </c>
      <c r="K459" s="16">
        <f t="shared" si="35"/>
        <v>41.118421052631582</v>
      </c>
      <c r="L459" s="16">
        <f t="shared" si="36"/>
        <v>41.621020408163254</v>
      </c>
      <c r="M459" s="25" t="str">
        <f t="shared" si="37"/>
        <v>HOLD</v>
      </c>
    </row>
    <row r="460" spans="2:13">
      <c r="B460" s="3">
        <v>42718</v>
      </c>
      <c r="C460" s="5">
        <v>41.21</v>
      </c>
      <c r="D460" s="5">
        <v>41.89</v>
      </c>
      <c r="E460" s="5">
        <v>41.99</v>
      </c>
      <c r="F460" s="5">
        <v>41.06</v>
      </c>
      <c r="G460" s="18" t="s">
        <v>951</v>
      </c>
      <c r="H460" s="2">
        <v>-1.32E-2</v>
      </c>
      <c r="I460" s="16">
        <f t="shared" si="38"/>
        <v>-1.317049808429112E-2</v>
      </c>
      <c r="J460" s="16">
        <f t="shared" si="39"/>
        <v>0.98682950191570884</v>
      </c>
      <c r="K460" s="16">
        <f t="shared" si="35"/>
        <v>41.135263157894734</v>
      </c>
      <c r="L460" s="16">
        <f t="shared" si="36"/>
        <v>41.619387755102032</v>
      </c>
      <c r="M460" s="25" t="str">
        <f t="shared" si="37"/>
        <v>HOLD</v>
      </c>
    </row>
    <row r="461" spans="2:13">
      <c r="B461" s="3">
        <v>42719</v>
      </c>
      <c r="C461" s="5">
        <v>41.55</v>
      </c>
      <c r="D461" s="5">
        <v>41.09</v>
      </c>
      <c r="E461" s="5">
        <v>41.81</v>
      </c>
      <c r="F461" s="5">
        <v>41.09</v>
      </c>
      <c r="G461" s="18" t="s">
        <v>1183</v>
      </c>
      <c r="H461" s="2">
        <v>8.3000000000000001E-3</v>
      </c>
      <c r="I461" s="16">
        <f t="shared" si="38"/>
        <v>8.2504246542100534E-3</v>
      </c>
      <c r="J461" s="16">
        <f t="shared" si="39"/>
        <v>1.0082504246542101</v>
      </c>
      <c r="K461" s="16">
        <f t="shared" si="35"/>
        <v>41.132631578947368</v>
      </c>
      <c r="L461" s="16">
        <f t="shared" si="36"/>
        <v>41.607142857142854</v>
      </c>
      <c r="M461" s="25" t="str">
        <f t="shared" si="37"/>
        <v>HOLD</v>
      </c>
    </row>
    <row r="462" spans="2:13">
      <c r="B462" s="3">
        <v>42720</v>
      </c>
      <c r="C462" s="5">
        <v>41.74</v>
      </c>
      <c r="D462" s="5">
        <v>41.61</v>
      </c>
      <c r="E462" s="5">
        <v>41.76</v>
      </c>
      <c r="F462" s="5">
        <v>41.48</v>
      </c>
      <c r="G462" s="18" t="s">
        <v>448</v>
      </c>
      <c r="H462" s="2">
        <v>4.5999999999999999E-3</v>
      </c>
      <c r="I462" s="16">
        <f t="shared" si="38"/>
        <v>4.5728038507823069E-3</v>
      </c>
      <c r="J462" s="16">
        <f t="shared" si="39"/>
        <v>1.0045728038507824</v>
      </c>
      <c r="K462" s="16">
        <f t="shared" si="35"/>
        <v>41.155263157894737</v>
      </c>
      <c r="L462" s="16">
        <f t="shared" si="36"/>
        <v>41.603877551020396</v>
      </c>
      <c r="M462" s="25" t="str">
        <f t="shared" si="37"/>
        <v>HOLD</v>
      </c>
    </row>
    <row r="463" spans="2:13">
      <c r="B463" s="3">
        <v>42723</v>
      </c>
      <c r="C463" s="5">
        <v>41.67</v>
      </c>
      <c r="D463" s="5">
        <v>41.69</v>
      </c>
      <c r="E463" s="5">
        <v>41.8</v>
      </c>
      <c r="F463" s="5">
        <v>41.58</v>
      </c>
      <c r="G463" s="18" t="s">
        <v>970</v>
      </c>
      <c r="H463" s="2">
        <v>-1.6999999999999999E-3</v>
      </c>
      <c r="I463" s="16">
        <f t="shared" si="38"/>
        <v>-1.6770483948251144E-3</v>
      </c>
      <c r="J463" s="16">
        <f t="shared" si="39"/>
        <v>0.99832295160517492</v>
      </c>
      <c r="K463" s="16">
        <f t="shared" si="35"/>
        <v>41.198947368421052</v>
      </c>
      <c r="L463" s="16">
        <f t="shared" si="36"/>
        <v>41.604081632653049</v>
      </c>
      <c r="M463" s="25" t="str">
        <f t="shared" si="37"/>
        <v>HOLD</v>
      </c>
    </row>
    <row r="464" spans="2:13">
      <c r="B464" s="3">
        <v>42724</v>
      </c>
      <c r="C464" s="5">
        <v>41.66</v>
      </c>
      <c r="D464" s="5">
        <v>41.7</v>
      </c>
      <c r="E464" s="5">
        <v>41.72</v>
      </c>
      <c r="F464" s="5">
        <v>41.44</v>
      </c>
      <c r="G464" s="18" t="s">
        <v>1052</v>
      </c>
      <c r="H464" s="2">
        <v>-2.0000000000000001E-4</v>
      </c>
      <c r="I464" s="16">
        <f t="shared" si="38"/>
        <v>-2.3998080153599989E-4</v>
      </c>
      <c r="J464" s="16">
        <f t="shared" si="39"/>
        <v>0.99976001919846402</v>
      </c>
      <c r="K464" s="16">
        <f t="shared" si="35"/>
        <v>41.215263157894732</v>
      </c>
      <c r="L464" s="16">
        <f t="shared" si="36"/>
        <v>41.602857142857133</v>
      </c>
      <c r="M464" s="25" t="str">
        <f t="shared" si="37"/>
        <v>HOLD</v>
      </c>
    </row>
    <row r="465" spans="2:13">
      <c r="B465" s="3">
        <v>42725</v>
      </c>
      <c r="C465" s="5">
        <v>41.57</v>
      </c>
      <c r="D465" s="5">
        <v>41.6</v>
      </c>
      <c r="E465" s="5">
        <v>41.83</v>
      </c>
      <c r="F465" s="5">
        <v>41.52</v>
      </c>
      <c r="G465" s="18" t="s">
        <v>369</v>
      </c>
      <c r="H465" s="2">
        <v>-2.2000000000000001E-3</v>
      </c>
      <c r="I465" s="16">
        <f t="shared" si="38"/>
        <v>-2.1603456553047603E-3</v>
      </c>
      <c r="J465" s="16">
        <f t="shared" si="39"/>
        <v>0.99783965434469524</v>
      </c>
      <c r="K465" s="16">
        <f t="shared" si="35"/>
        <v>41.230526315789476</v>
      </c>
      <c r="L465" s="16">
        <f t="shared" si="36"/>
        <v>41.605306122448965</v>
      </c>
      <c r="M465" s="25" t="str">
        <f t="shared" si="37"/>
        <v>HOLD</v>
      </c>
    </row>
    <row r="466" spans="2:13">
      <c r="B466" s="3">
        <v>42726</v>
      </c>
      <c r="C466" s="5">
        <v>41.55</v>
      </c>
      <c r="D466" s="5">
        <v>41.57</v>
      </c>
      <c r="E466" s="5">
        <v>41.62</v>
      </c>
      <c r="F466" s="5">
        <v>41.08</v>
      </c>
      <c r="G466" s="18" t="s">
        <v>284</v>
      </c>
      <c r="H466" s="2">
        <v>-5.0000000000000001E-4</v>
      </c>
      <c r="I466" s="16">
        <f t="shared" si="38"/>
        <v>-4.8111618955985389E-4</v>
      </c>
      <c r="J466" s="16">
        <f t="shared" si="39"/>
        <v>0.99951888381044018</v>
      </c>
      <c r="K466" s="16">
        <f t="shared" si="35"/>
        <v>41.254210526315795</v>
      </c>
      <c r="L466" s="16">
        <f t="shared" si="36"/>
        <v>41.601020408163251</v>
      </c>
      <c r="M466" s="25" t="str">
        <f t="shared" si="37"/>
        <v>HOLD</v>
      </c>
    </row>
    <row r="467" spans="2:13">
      <c r="B467" s="3">
        <v>42727</v>
      </c>
      <c r="C467" s="5">
        <v>41.6</v>
      </c>
      <c r="D467" s="5">
        <v>41.62</v>
      </c>
      <c r="E467" s="5">
        <v>41.69</v>
      </c>
      <c r="F467" s="5">
        <v>41.35</v>
      </c>
      <c r="G467" s="18" t="s">
        <v>1182</v>
      </c>
      <c r="H467" s="2">
        <v>1.1999999999999999E-3</v>
      </c>
      <c r="I467" s="16">
        <f t="shared" si="38"/>
        <v>1.2033694344164684E-3</v>
      </c>
      <c r="J467" s="16">
        <f t="shared" si="39"/>
        <v>1.0012033694344165</v>
      </c>
      <c r="K467" s="16">
        <f t="shared" si="35"/>
        <v>41.255263157894731</v>
      </c>
      <c r="L467" s="16">
        <f t="shared" si="36"/>
        <v>41.596734693877536</v>
      </c>
      <c r="M467" s="25" t="str">
        <f t="shared" si="37"/>
        <v>HOLD</v>
      </c>
    </row>
    <row r="468" spans="2:13">
      <c r="B468" s="3">
        <v>42731</v>
      </c>
      <c r="C468" s="5">
        <v>41.61</v>
      </c>
      <c r="D468" s="5">
        <v>41.56</v>
      </c>
      <c r="E468" s="5">
        <v>41.76</v>
      </c>
      <c r="F468" s="5">
        <v>41.54</v>
      </c>
      <c r="G468" s="18" t="s">
        <v>1181</v>
      </c>
      <c r="H468" s="2">
        <v>2.0000000000000001E-4</v>
      </c>
      <c r="I468" s="16">
        <f t="shared" si="38"/>
        <v>2.4038461538456756E-4</v>
      </c>
      <c r="J468" s="16">
        <f t="shared" si="39"/>
        <v>1.0002403846153847</v>
      </c>
      <c r="K468" s="16">
        <f t="shared" si="35"/>
        <v>41.247368421052627</v>
      </c>
      <c r="L468" s="16">
        <f t="shared" si="36"/>
        <v>41.59530612244896</v>
      </c>
      <c r="M468" s="25" t="str">
        <f t="shared" si="37"/>
        <v>HOLD</v>
      </c>
    </row>
    <row r="469" spans="2:13">
      <c r="B469" s="3">
        <v>42732</v>
      </c>
      <c r="C469" s="5">
        <v>41.39</v>
      </c>
      <c r="D469" s="5">
        <v>41.49</v>
      </c>
      <c r="E469" s="5">
        <v>41.67</v>
      </c>
      <c r="F469" s="5">
        <v>41.39</v>
      </c>
      <c r="G469" s="18" t="s">
        <v>471</v>
      </c>
      <c r="H469" s="2">
        <v>-5.3E-3</v>
      </c>
      <c r="I469" s="16">
        <f t="shared" si="38"/>
        <v>-5.2871905791876681E-3</v>
      </c>
      <c r="J469" s="16">
        <f t="shared" si="39"/>
        <v>0.99471280942081231</v>
      </c>
      <c r="K469" s="16">
        <f t="shared" si="35"/>
        <v>41.271578947368411</v>
      </c>
      <c r="L469" s="16">
        <f t="shared" si="36"/>
        <v>41.595510204081613</v>
      </c>
      <c r="M469" s="25" t="str">
        <f t="shared" si="37"/>
        <v>HOLD</v>
      </c>
    </row>
    <row r="470" spans="2:13">
      <c r="B470" s="3">
        <v>42733</v>
      </c>
      <c r="C470" s="5">
        <v>41.6</v>
      </c>
      <c r="D470" s="5">
        <v>41.38</v>
      </c>
      <c r="E470" s="5">
        <v>41.69</v>
      </c>
      <c r="F470" s="5">
        <v>41.38</v>
      </c>
      <c r="G470" s="18" t="s">
        <v>1180</v>
      </c>
      <c r="H470" s="2">
        <v>5.1000000000000004E-3</v>
      </c>
      <c r="I470" s="16">
        <f t="shared" si="38"/>
        <v>5.073689296931647E-3</v>
      </c>
      <c r="J470" s="16">
        <f t="shared" si="39"/>
        <v>1.0050736892969316</v>
      </c>
      <c r="K470" s="16">
        <f t="shared" si="35"/>
        <v>41.326315789473682</v>
      </c>
      <c r="L470" s="16">
        <f t="shared" si="36"/>
        <v>41.583673469387747</v>
      </c>
      <c r="M470" s="25" t="str">
        <f t="shared" si="37"/>
        <v>HOLD</v>
      </c>
    </row>
    <row r="471" spans="2:13">
      <c r="B471" s="3">
        <v>42734</v>
      </c>
      <c r="C471" s="5">
        <v>41.46</v>
      </c>
      <c r="D471" s="5">
        <v>41.69</v>
      </c>
      <c r="E471" s="5">
        <v>41.84</v>
      </c>
      <c r="F471" s="5">
        <v>41.35</v>
      </c>
      <c r="G471" s="18" t="s">
        <v>1179</v>
      </c>
      <c r="H471" s="2">
        <v>-3.3999999999999998E-3</v>
      </c>
      <c r="I471" s="16">
        <f t="shared" si="38"/>
        <v>-3.365384615384629E-3</v>
      </c>
      <c r="J471" s="16">
        <f t="shared" si="39"/>
        <v>0.9966346153846154</v>
      </c>
      <c r="K471" s="16">
        <f t="shared" si="35"/>
        <v>41.401578947368421</v>
      </c>
      <c r="L471" s="16">
        <f t="shared" si="36"/>
        <v>41.574489795918353</v>
      </c>
      <c r="M471" s="25" t="str">
        <f t="shared" si="37"/>
        <v>HOLD</v>
      </c>
    </row>
    <row r="472" spans="2:13">
      <c r="B472" s="3">
        <v>42738</v>
      </c>
      <c r="C472" s="5">
        <v>41.8</v>
      </c>
      <c r="D472" s="5">
        <v>41.5</v>
      </c>
      <c r="E472" s="5">
        <v>41.81</v>
      </c>
      <c r="F472" s="5">
        <v>41.28</v>
      </c>
      <c r="G472" s="18" t="s">
        <v>1017</v>
      </c>
      <c r="H472" s="2">
        <v>8.2000000000000007E-3</v>
      </c>
      <c r="I472" s="16">
        <f t="shared" si="38"/>
        <v>8.2006753497345947E-3</v>
      </c>
      <c r="J472" s="16">
        <f t="shared" si="39"/>
        <v>1.0082006753497346</v>
      </c>
      <c r="K472" s="16">
        <f t="shared" si="35"/>
        <v>41.459473684210536</v>
      </c>
      <c r="L472" s="16">
        <f t="shared" si="36"/>
        <v>41.564897959183668</v>
      </c>
      <c r="M472" s="25" t="str">
        <f t="shared" si="37"/>
        <v>HOLD</v>
      </c>
    </row>
    <row r="473" spans="2:13">
      <c r="B473" s="3">
        <v>42739</v>
      </c>
      <c r="C473" s="5">
        <v>41.65</v>
      </c>
      <c r="D473" s="5">
        <v>41.88</v>
      </c>
      <c r="E473" s="5">
        <v>41.97</v>
      </c>
      <c r="F473" s="5">
        <v>41.59</v>
      </c>
      <c r="G473" s="18" t="s">
        <v>795</v>
      </c>
      <c r="H473" s="2">
        <v>-3.5999999999999999E-3</v>
      </c>
      <c r="I473" s="16">
        <f t="shared" si="38"/>
        <v>-3.5885167464114495E-3</v>
      </c>
      <c r="J473" s="16">
        <f t="shared" si="39"/>
        <v>0.99641148325358853</v>
      </c>
      <c r="K473" s="16">
        <f t="shared" si="35"/>
        <v>41.521578947368425</v>
      </c>
      <c r="L473" s="16">
        <f t="shared" si="36"/>
        <v>41.558163265306113</v>
      </c>
      <c r="M473" s="25" t="str">
        <f t="shared" si="37"/>
        <v>HOLD</v>
      </c>
    </row>
    <row r="474" spans="2:13">
      <c r="B474" s="3">
        <v>42740</v>
      </c>
      <c r="C474" s="5">
        <v>41.75</v>
      </c>
      <c r="D474" s="5">
        <v>41.66</v>
      </c>
      <c r="E474" s="5">
        <v>41.86</v>
      </c>
      <c r="F474" s="5">
        <v>41.52</v>
      </c>
      <c r="G474" s="18" t="s">
        <v>47</v>
      </c>
      <c r="H474" s="2">
        <v>2.3999999999999998E-3</v>
      </c>
      <c r="I474" s="16">
        <f t="shared" si="38"/>
        <v>2.4009603841536956E-3</v>
      </c>
      <c r="J474" s="16">
        <f t="shared" si="39"/>
        <v>1.0024009603841537</v>
      </c>
      <c r="K474" s="16">
        <f t="shared" si="35"/>
        <v>41.578421052631576</v>
      </c>
      <c r="L474" s="16">
        <f t="shared" si="36"/>
        <v>41.539591836734679</v>
      </c>
      <c r="M474" s="25" t="str">
        <f t="shared" si="37"/>
        <v>BUY</v>
      </c>
    </row>
    <row r="475" spans="2:13">
      <c r="B475" s="3">
        <v>42741</v>
      </c>
      <c r="C475" s="5">
        <v>41.74</v>
      </c>
      <c r="D475" s="5">
        <v>41.7</v>
      </c>
      <c r="E475" s="5">
        <v>41.81</v>
      </c>
      <c r="F475" s="5">
        <v>41.54</v>
      </c>
      <c r="G475" s="18" t="s">
        <v>359</v>
      </c>
      <c r="H475" s="2">
        <v>-2.0000000000000001E-4</v>
      </c>
      <c r="I475" s="16">
        <f t="shared" si="38"/>
        <v>-2.3952095808378468E-4</v>
      </c>
      <c r="J475" s="16">
        <f t="shared" si="39"/>
        <v>0.99976047904191623</v>
      </c>
      <c r="K475" s="16">
        <f t="shared" ref="K475:K538" si="40">AVERAGE(C456:C474)</f>
        <v>41.602631578947374</v>
      </c>
      <c r="L475" s="16">
        <f t="shared" si="36"/>
        <v>41.523469387755092</v>
      </c>
      <c r="M475" s="25" t="str">
        <f t="shared" si="37"/>
        <v>HOLD</v>
      </c>
    </row>
    <row r="476" spans="2:13">
      <c r="B476" s="3">
        <v>42744</v>
      </c>
      <c r="C476" s="5">
        <v>41.32</v>
      </c>
      <c r="D476" s="5">
        <v>41.23</v>
      </c>
      <c r="E476" s="5">
        <v>41.58</v>
      </c>
      <c r="F476" s="5">
        <v>41.21</v>
      </c>
      <c r="G476" s="18" t="s">
        <v>504</v>
      </c>
      <c r="H476" s="2">
        <v>-1.01E-2</v>
      </c>
      <c r="I476" s="16">
        <f t="shared" si="38"/>
        <v>-1.0062290368950687E-2</v>
      </c>
      <c r="J476" s="16">
        <f t="shared" si="39"/>
        <v>0.98993770963104932</v>
      </c>
      <c r="K476" s="16">
        <f t="shared" si="40"/>
        <v>41.642631578947373</v>
      </c>
      <c r="L476" s="16">
        <f t="shared" si="36"/>
        <v>41.50918367346938</v>
      </c>
      <c r="M476" s="25" t="str">
        <f t="shared" si="37"/>
        <v>HOLD</v>
      </c>
    </row>
    <row r="477" spans="2:13">
      <c r="B477" s="3">
        <v>42745</v>
      </c>
      <c r="C477" s="5">
        <v>41.04</v>
      </c>
      <c r="D477" s="5">
        <v>41.44</v>
      </c>
      <c r="E477" s="5">
        <v>41.44</v>
      </c>
      <c r="F477" s="5">
        <v>40.86</v>
      </c>
      <c r="G477" s="18" t="s">
        <v>760</v>
      </c>
      <c r="H477" s="2">
        <v>-6.7999999999999996E-3</v>
      </c>
      <c r="I477" s="16">
        <f t="shared" si="38"/>
        <v>-6.7763794772507536E-3</v>
      </c>
      <c r="J477" s="16">
        <f t="shared" si="39"/>
        <v>0.99322362052274926</v>
      </c>
      <c r="K477" s="16">
        <f t="shared" si="40"/>
        <v>41.606842105263162</v>
      </c>
      <c r="L477" s="16">
        <f t="shared" si="36"/>
        <v>41.492857142857133</v>
      </c>
      <c r="M477" s="25" t="str">
        <f t="shared" si="37"/>
        <v>HOLD</v>
      </c>
    </row>
    <row r="478" spans="2:13">
      <c r="B478" s="3">
        <v>42746</v>
      </c>
      <c r="C478" s="5">
        <v>41.05</v>
      </c>
      <c r="D478" s="5">
        <v>40.85</v>
      </c>
      <c r="E478" s="5">
        <v>41.12</v>
      </c>
      <c r="F478" s="5">
        <v>40.83</v>
      </c>
      <c r="G478" s="18" t="s">
        <v>1074</v>
      </c>
      <c r="H478" s="2">
        <v>2.0000000000000001E-4</v>
      </c>
      <c r="I478" s="16">
        <f t="shared" si="38"/>
        <v>2.436647173488794E-4</v>
      </c>
      <c r="J478" s="16">
        <f t="shared" si="39"/>
        <v>1.0002436647173489</v>
      </c>
      <c r="K478" s="16">
        <f t="shared" si="40"/>
        <v>41.561578947368425</v>
      </c>
      <c r="L478" s="16">
        <f t="shared" si="36"/>
        <v>41.468571428571423</v>
      </c>
      <c r="M478" s="25" t="str">
        <f t="shared" si="37"/>
        <v>HOLD</v>
      </c>
    </row>
    <row r="479" spans="2:13">
      <c r="B479" s="3">
        <v>42747</v>
      </c>
      <c r="C479" s="5">
        <v>40.950000000000003</v>
      </c>
      <c r="D479" s="5">
        <v>41.01</v>
      </c>
      <c r="E479" s="5">
        <v>41.04</v>
      </c>
      <c r="F479" s="5">
        <v>40.799999999999997</v>
      </c>
      <c r="G479" s="18" t="s">
        <v>48</v>
      </c>
      <c r="H479" s="2">
        <v>-2.3999999999999998E-3</v>
      </c>
      <c r="I479" s="16">
        <f t="shared" si="38"/>
        <v>-2.4360535931789115E-3</v>
      </c>
      <c r="J479" s="16">
        <f t="shared" si="39"/>
        <v>0.99756394640682111</v>
      </c>
      <c r="K479" s="16">
        <f t="shared" si="40"/>
        <v>41.524210526315784</v>
      </c>
      <c r="L479" s="16">
        <f t="shared" si="36"/>
        <v>41.441020408163261</v>
      </c>
      <c r="M479" s="25" t="str">
        <f t="shared" si="37"/>
        <v>HOLD</v>
      </c>
    </row>
    <row r="480" spans="2:13">
      <c r="B480" s="3">
        <v>42748</v>
      </c>
      <c r="C480" s="5">
        <v>40.880000000000003</v>
      </c>
      <c r="D480" s="5">
        <v>41</v>
      </c>
      <c r="E480" s="5">
        <v>41.04</v>
      </c>
      <c r="F480" s="5">
        <v>40.69</v>
      </c>
      <c r="G480" s="18" t="s">
        <v>1178</v>
      </c>
      <c r="H480" s="2">
        <v>-1.6999999999999999E-3</v>
      </c>
      <c r="I480" s="16">
        <f t="shared" si="38"/>
        <v>-1.7094017094017161E-3</v>
      </c>
      <c r="J480" s="16">
        <f t="shared" si="39"/>
        <v>0.9982905982905983</v>
      </c>
      <c r="K480" s="16">
        <f t="shared" si="40"/>
        <v>41.510526315789477</v>
      </c>
      <c r="L480" s="16">
        <f t="shared" si="36"/>
        <v>41.417142857142856</v>
      </c>
      <c r="M480" s="25" t="str">
        <f t="shared" si="37"/>
        <v>HOLD</v>
      </c>
    </row>
    <row r="481" spans="2:13">
      <c r="B481" s="3">
        <v>42752</v>
      </c>
      <c r="C481" s="5">
        <v>41.22</v>
      </c>
      <c r="D481" s="5">
        <v>40.840000000000003</v>
      </c>
      <c r="E481" s="5">
        <v>41.3</v>
      </c>
      <c r="F481" s="5">
        <v>40.799999999999997</v>
      </c>
      <c r="G481" s="18" t="s">
        <v>334</v>
      </c>
      <c r="H481" s="2">
        <v>8.3000000000000001E-3</v>
      </c>
      <c r="I481" s="16">
        <f t="shared" si="38"/>
        <v>8.3170254403130209E-3</v>
      </c>
      <c r="J481" s="16">
        <f t="shared" si="39"/>
        <v>1.0083170254403131</v>
      </c>
      <c r="K481" s="16">
        <f t="shared" si="40"/>
        <v>41.475263157894737</v>
      </c>
      <c r="L481" s="16">
        <f t="shared" si="36"/>
        <v>41.393265306122451</v>
      </c>
      <c r="M481" s="25" t="str">
        <f t="shared" si="37"/>
        <v>HOLD</v>
      </c>
    </row>
    <row r="482" spans="2:13">
      <c r="B482" s="3">
        <v>42753</v>
      </c>
      <c r="C482" s="5">
        <v>41.29</v>
      </c>
      <c r="D482" s="5">
        <v>41.25</v>
      </c>
      <c r="E482" s="5">
        <v>41.38</v>
      </c>
      <c r="F482" s="5">
        <v>41.14</v>
      </c>
      <c r="G482" s="18" t="s">
        <v>1161</v>
      </c>
      <c r="H482" s="2">
        <v>1.6999999999999999E-3</v>
      </c>
      <c r="I482" s="16">
        <f t="shared" si="38"/>
        <v>1.6982047549733209E-3</v>
      </c>
      <c r="J482" s="16">
        <f t="shared" si="39"/>
        <v>1.0016982047549734</v>
      </c>
      <c r="K482" s="16">
        <f t="shared" si="40"/>
        <v>41.447894736842102</v>
      </c>
      <c r="L482" s="16">
        <f t="shared" si="36"/>
        <v>41.376734693877552</v>
      </c>
      <c r="M482" s="25" t="str">
        <f t="shared" si="37"/>
        <v>HOLD</v>
      </c>
    </row>
    <row r="483" spans="2:13">
      <c r="B483" s="3">
        <v>42754</v>
      </c>
      <c r="C483" s="5">
        <v>41.14</v>
      </c>
      <c r="D483" s="5">
        <v>41.14</v>
      </c>
      <c r="E483" s="5">
        <v>41.29</v>
      </c>
      <c r="F483" s="5">
        <v>41.03</v>
      </c>
      <c r="G483" s="18" t="s">
        <v>200</v>
      </c>
      <c r="H483" s="2">
        <v>-3.5999999999999999E-3</v>
      </c>
      <c r="I483" s="16">
        <f t="shared" si="38"/>
        <v>-3.6328408815693531E-3</v>
      </c>
      <c r="J483" s="16">
        <f t="shared" si="39"/>
        <v>0.99636715911843066</v>
      </c>
      <c r="K483" s="16">
        <f t="shared" si="40"/>
        <v>41.427894736842106</v>
      </c>
      <c r="L483" s="16">
        <f t="shared" si="36"/>
        <v>41.368571428571428</v>
      </c>
      <c r="M483" s="25" t="str">
        <f t="shared" si="37"/>
        <v>HOLD</v>
      </c>
    </row>
    <row r="484" spans="2:13">
      <c r="B484" s="3">
        <v>42755</v>
      </c>
      <c r="C484" s="5">
        <v>41.32</v>
      </c>
      <c r="D484" s="5">
        <v>41.27</v>
      </c>
      <c r="E484" s="5">
        <v>41.44</v>
      </c>
      <c r="F484" s="5">
        <v>41.13</v>
      </c>
      <c r="G484" s="18" t="s">
        <v>792</v>
      </c>
      <c r="H484" s="2">
        <v>4.4000000000000003E-3</v>
      </c>
      <c r="I484" s="16">
        <f t="shared" si="38"/>
        <v>4.3753038405444757E-3</v>
      </c>
      <c r="J484" s="16">
        <f t="shared" si="39"/>
        <v>1.0043753038405445</v>
      </c>
      <c r="K484" s="16">
        <f t="shared" si="40"/>
        <v>41.40052631578947</v>
      </c>
      <c r="L484" s="16">
        <f t="shared" si="36"/>
        <v>41.341632653061225</v>
      </c>
      <c r="M484" s="25" t="str">
        <f t="shared" si="37"/>
        <v>HOLD</v>
      </c>
    </row>
    <row r="485" spans="2:13">
      <c r="B485" s="3">
        <v>42758</v>
      </c>
      <c r="C485" s="5">
        <v>41.43</v>
      </c>
      <c r="D485" s="5">
        <v>41.31</v>
      </c>
      <c r="E485" s="5">
        <v>41.5</v>
      </c>
      <c r="F485" s="5">
        <v>41.21</v>
      </c>
      <c r="G485" s="18" t="s">
        <v>199</v>
      </c>
      <c r="H485" s="2">
        <v>2.7000000000000001E-3</v>
      </c>
      <c r="I485" s="16">
        <f t="shared" si="38"/>
        <v>2.6621490803484856E-3</v>
      </c>
      <c r="J485" s="16">
        <f t="shared" si="39"/>
        <v>1.0026621490803485</v>
      </c>
      <c r="K485" s="16">
        <f t="shared" si="40"/>
        <v>41.387368421052635</v>
      </c>
      <c r="L485" s="16">
        <f t="shared" si="36"/>
        <v>41.309795918367342</v>
      </c>
      <c r="M485" s="25" t="str">
        <f t="shared" si="37"/>
        <v>HOLD</v>
      </c>
    </row>
    <row r="486" spans="2:13">
      <c r="B486" s="3">
        <v>42759</v>
      </c>
      <c r="C486" s="5">
        <v>41.9</v>
      </c>
      <c r="D486" s="5">
        <v>41.47</v>
      </c>
      <c r="E486" s="5">
        <v>41.97</v>
      </c>
      <c r="F486" s="5">
        <v>41.47</v>
      </c>
      <c r="G486" s="18" t="s">
        <v>1177</v>
      </c>
      <c r="H486" s="2">
        <v>1.1299999999999999E-2</v>
      </c>
      <c r="I486" s="16">
        <f t="shared" si="38"/>
        <v>1.1344436398744844E-2</v>
      </c>
      <c r="J486" s="16">
        <f t="shared" si="39"/>
        <v>1.0113444363987449</v>
      </c>
      <c r="K486" s="16">
        <f t="shared" si="40"/>
        <v>41.381052631578946</v>
      </c>
      <c r="L486" s="16">
        <f t="shared" si="36"/>
        <v>41.292653061224492</v>
      </c>
      <c r="M486" s="25" t="str">
        <f t="shared" si="37"/>
        <v>HOLD</v>
      </c>
    </row>
    <row r="487" spans="2:13">
      <c r="B487" s="3">
        <v>42760</v>
      </c>
      <c r="C487" s="5">
        <v>42.12</v>
      </c>
      <c r="D487" s="5">
        <v>41.94</v>
      </c>
      <c r="E487" s="5">
        <v>42.25</v>
      </c>
      <c r="F487" s="5">
        <v>41.9</v>
      </c>
      <c r="G487" s="18" t="s">
        <v>441</v>
      </c>
      <c r="H487" s="2">
        <v>5.3E-3</v>
      </c>
      <c r="I487" s="16">
        <f t="shared" si="38"/>
        <v>5.2505966587111904E-3</v>
      </c>
      <c r="J487" s="16">
        <f t="shared" si="39"/>
        <v>1.0052505966587111</v>
      </c>
      <c r="K487" s="16">
        <f t="shared" si="40"/>
        <v>41.396842105263154</v>
      </c>
      <c r="L487" s="16">
        <f t="shared" si="36"/>
        <v>41.312244897959189</v>
      </c>
      <c r="M487" s="25" t="str">
        <f t="shared" si="37"/>
        <v>HOLD</v>
      </c>
    </row>
    <row r="488" spans="2:13">
      <c r="B488" s="3">
        <v>42761</v>
      </c>
      <c r="C488" s="5">
        <v>41.81</v>
      </c>
      <c r="D488" s="5">
        <v>42.03</v>
      </c>
      <c r="E488" s="5">
        <v>42.11</v>
      </c>
      <c r="F488" s="5">
        <v>41.79</v>
      </c>
      <c r="G488" s="18" t="s">
        <v>261</v>
      </c>
      <c r="H488" s="2">
        <v>-7.4000000000000003E-3</v>
      </c>
      <c r="I488" s="16">
        <f t="shared" si="38"/>
        <v>-7.359924026590579E-3</v>
      </c>
      <c r="J488" s="16">
        <f t="shared" si="39"/>
        <v>0.99264007597340942</v>
      </c>
      <c r="K488" s="16">
        <f t="shared" si="40"/>
        <v>41.423684210526311</v>
      </c>
      <c r="L488" s="16">
        <f t="shared" si="36"/>
        <v>41.334489795918365</v>
      </c>
      <c r="M488" s="25" t="str">
        <f t="shared" si="37"/>
        <v>HOLD</v>
      </c>
    </row>
    <row r="489" spans="2:13">
      <c r="B489" s="3">
        <v>42762</v>
      </c>
      <c r="C489" s="5">
        <v>41.45</v>
      </c>
      <c r="D489" s="5">
        <v>41.91</v>
      </c>
      <c r="E489" s="5">
        <v>41.95</v>
      </c>
      <c r="F489" s="5">
        <v>41.42</v>
      </c>
      <c r="G489" s="18" t="s">
        <v>116</v>
      </c>
      <c r="H489" s="2">
        <v>-8.6E-3</v>
      </c>
      <c r="I489" s="16">
        <f t="shared" si="38"/>
        <v>-8.6103802917962078E-3</v>
      </c>
      <c r="J489" s="16">
        <f t="shared" si="39"/>
        <v>0.99138961970820383</v>
      </c>
      <c r="K489" s="16">
        <f t="shared" si="40"/>
        <v>41.445789473684215</v>
      </c>
      <c r="L489" s="16">
        <f t="shared" si="36"/>
        <v>41.347551020408162</v>
      </c>
      <c r="M489" s="25" t="str">
        <f t="shared" si="37"/>
        <v>HOLD</v>
      </c>
    </row>
    <row r="490" spans="2:13">
      <c r="B490" s="3">
        <v>42765</v>
      </c>
      <c r="C490" s="5">
        <v>41.38</v>
      </c>
      <c r="D490" s="5">
        <v>41.3</v>
      </c>
      <c r="E490" s="5">
        <v>41.48</v>
      </c>
      <c r="F490" s="5">
        <v>41.2</v>
      </c>
      <c r="G490" s="18" t="s">
        <v>199</v>
      </c>
      <c r="H490" s="2">
        <v>-1.6999999999999999E-3</v>
      </c>
      <c r="I490" s="16">
        <f t="shared" si="38"/>
        <v>-1.688781664656219E-3</v>
      </c>
      <c r="J490" s="16">
        <f t="shared" si="39"/>
        <v>0.99831121833534375</v>
      </c>
      <c r="K490" s="16">
        <f t="shared" si="40"/>
        <v>41.437894736842111</v>
      </c>
      <c r="L490" s="16">
        <f t="shared" si="36"/>
        <v>41.347755102040814</v>
      </c>
      <c r="M490" s="25" t="str">
        <f t="shared" si="37"/>
        <v>HOLD</v>
      </c>
    </row>
    <row r="491" spans="2:13">
      <c r="B491" s="3">
        <v>42766</v>
      </c>
      <c r="C491" s="5">
        <v>41.57</v>
      </c>
      <c r="D491" s="5">
        <v>41.39</v>
      </c>
      <c r="E491" s="5">
        <v>41.69</v>
      </c>
      <c r="F491" s="5">
        <v>41.36</v>
      </c>
      <c r="G491" s="18" t="s">
        <v>229</v>
      </c>
      <c r="H491" s="2">
        <v>4.5999999999999999E-3</v>
      </c>
      <c r="I491" s="16">
        <f t="shared" si="38"/>
        <v>4.5915901401642756E-3</v>
      </c>
      <c r="J491" s="16">
        <f t="shared" si="39"/>
        <v>1.0045915901401643</v>
      </c>
      <c r="K491" s="16">
        <f t="shared" si="40"/>
        <v>41.433684210526309</v>
      </c>
      <c r="L491" s="16">
        <f t="shared" si="36"/>
        <v>41.350204081632654</v>
      </c>
      <c r="M491" s="25" t="str">
        <f t="shared" si="37"/>
        <v>HOLD</v>
      </c>
    </row>
    <row r="492" spans="2:13">
      <c r="B492" s="3">
        <v>42767</v>
      </c>
      <c r="C492" s="5">
        <v>41.26</v>
      </c>
      <c r="D492" s="5">
        <v>41.52</v>
      </c>
      <c r="E492" s="5">
        <v>41.66</v>
      </c>
      <c r="F492" s="5">
        <v>41.25</v>
      </c>
      <c r="G492" s="18" t="s">
        <v>89</v>
      </c>
      <c r="H492" s="2">
        <v>-7.4999999999999997E-3</v>
      </c>
      <c r="I492" s="16">
        <f t="shared" si="38"/>
        <v>-7.4573009381766241E-3</v>
      </c>
      <c r="J492" s="16">
        <f t="shared" si="39"/>
        <v>0.99254269906182335</v>
      </c>
      <c r="K492" s="16">
        <f t="shared" si="40"/>
        <v>41.421578947368424</v>
      </c>
      <c r="L492" s="16">
        <f t="shared" si="36"/>
        <v>41.359387755102041</v>
      </c>
      <c r="M492" s="25" t="str">
        <f t="shared" si="37"/>
        <v>HOLD</v>
      </c>
    </row>
    <row r="493" spans="2:13">
      <c r="B493" s="3">
        <v>42768</v>
      </c>
      <c r="C493" s="5">
        <v>41.4</v>
      </c>
      <c r="D493" s="5">
        <v>41.41</v>
      </c>
      <c r="E493" s="5">
        <v>41.49</v>
      </c>
      <c r="F493" s="5">
        <v>41.25</v>
      </c>
      <c r="G493" s="18" t="s">
        <v>1176</v>
      </c>
      <c r="H493" s="2">
        <v>3.3999999999999998E-3</v>
      </c>
      <c r="I493" s="16">
        <f t="shared" si="38"/>
        <v>3.3931168201648226E-3</v>
      </c>
      <c r="J493" s="16">
        <f t="shared" si="39"/>
        <v>1.0033931168201649</v>
      </c>
      <c r="K493" s="16">
        <f t="shared" si="40"/>
        <v>41.401052631578956</v>
      </c>
      <c r="L493" s="16">
        <f t="shared" si="36"/>
        <v>41.366530612244901</v>
      </c>
      <c r="M493" s="25" t="str">
        <f t="shared" si="37"/>
        <v>HOLD</v>
      </c>
    </row>
    <row r="494" spans="2:13">
      <c r="B494" s="3">
        <v>42769</v>
      </c>
      <c r="C494" s="5">
        <v>41.54</v>
      </c>
      <c r="D494" s="5">
        <v>41.58</v>
      </c>
      <c r="E494" s="5">
        <v>41.79</v>
      </c>
      <c r="F494" s="5">
        <v>41.45</v>
      </c>
      <c r="G494" s="18" t="s">
        <v>444</v>
      </c>
      <c r="H494" s="2">
        <v>3.3999999999999998E-3</v>
      </c>
      <c r="I494" s="16">
        <f t="shared" si="38"/>
        <v>3.3816425120773083E-3</v>
      </c>
      <c r="J494" s="16">
        <f t="shared" si="39"/>
        <v>1.0033816425120774</v>
      </c>
      <c r="K494" s="16">
        <f t="shared" si="40"/>
        <v>41.382631578947361</v>
      </c>
      <c r="L494" s="16">
        <f t="shared" si="36"/>
        <v>41.367346938775512</v>
      </c>
      <c r="M494" s="25" t="str">
        <f t="shared" si="37"/>
        <v>HOLD</v>
      </c>
    </row>
    <row r="495" spans="2:13">
      <c r="B495" s="3">
        <v>42772</v>
      </c>
      <c r="C495" s="5">
        <v>41.56</v>
      </c>
      <c r="D495" s="5">
        <v>41.53</v>
      </c>
      <c r="E495" s="5">
        <v>41.67</v>
      </c>
      <c r="F495" s="5">
        <v>41.4</v>
      </c>
      <c r="G495" s="18" t="s">
        <v>1175</v>
      </c>
      <c r="H495" s="2">
        <v>5.0000000000000001E-4</v>
      </c>
      <c r="I495" s="16">
        <f t="shared" si="38"/>
        <v>4.8146364949453845E-4</v>
      </c>
      <c r="J495" s="16">
        <f t="shared" si="39"/>
        <v>1.0004814636494945</v>
      </c>
      <c r="K495" s="16">
        <f t="shared" si="40"/>
        <v>41.372105263157898</v>
      </c>
      <c r="L495" s="16">
        <f t="shared" si="36"/>
        <v>41.370816326530615</v>
      </c>
      <c r="M495" s="25" t="str">
        <f t="shared" si="37"/>
        <v>HOLD</v>
      </c>
    </row>
    <row r="496" spans="2:13">
      <c r="B496" s="3">
        <v>42773</v>
      </c>
      <c r="C496" s="5">
        <v>41.9</v>
      </c>
      <c r="D496" s="5">
        <v>41.7</v>
      </c>
      <c r="E496" s="5">
        <v>41.98</v>
      </c>
      <c r="F496" s="5">
        <v>41.67</v>
      </c>
      <c r="G496" s="18" t="s">
        <v>756</v>
      </c>
      <c r="H496" s="2">
        <v>8.2000000000000007E-3</v>
      </c>
      <c r="I496" s="16">
        <f t="shared" si="38"/>
        <v>8.1809432146293624E-3</v>
      </c>
      <c r="J496" s="16">
        <f t="shared" si="39"/>
        <v>1.0081809432146294</v>
      </c>
      <c r="K496" s="16">
        <f t="shared" si="40"/>
        <v>41.384736842105262</v>
      </c>
      <c r="L496" s="16">
        <f t="shared" si="36"/>
        <v>41.37979591836735</v>
      </c>
      <c r="M496" s="25" t="str">
        <f t="shared" si="37"/>
        <v>HOLD</v>
      </c>
    </row>
    <row r="497" spans="2:13">
      <c r="B497" s="3">
        <v>42774</v>
      </c>
      <c r="C497" s="5">
        <v>42.02</v>
      </c>
      <c r="D497" s="5">
        <v>41.91</v>
      </c>
      <c r="E497" s="5">
        <v>42.15</v>
      </c>
      <c r="F497" s="5">
        <v>41.84</v>
      </c>
      <c r="G497" s="18" t="s">
        <v>381</v>
      </c>
      <c r="H497" s="2">
        <v>2.8999999999999998E-3</v>
      </c>
      <c r="I497" s="16">
        <f t="shared" si="38"/>
        <v>2.8639618138425909E-3</v>
      </c>
      <c r="J497" s="16">
        <f t="shared" si="39"/>
        <v>1.0028639618138426</v>
      </c>
      <c r="K497" s="16">
        <f t="shared" si="40"/>
        <v>41.43</v>
      </c>
      <c r="L497" s="16">
        <f t="shared" si="36"/>
        <v>41.387346938775515</v>
      </c>
      <c r="M497" s="25" t="str">
        <f t="shared" si="37"/>
        <v>HOLD</v>
      </c>
    </row>
    <row r="498" spans="2:13">
      <c r="B498" s="3">
        <v>42775</v>
      </c>
      <c r="C498" s="5">
        <v>41.25</v>
      </c>
      <c r="D498" s="5">
        <v>41.52</v>
      </c>
      <c r="E498" s="5">
        <v>41.68</v>
      </c>
      <c r="F498" s="5">
        <v>40.72</v>
      </c>
      <c r="G498" s="18" t="s">
        <v>1174</v>
      </c>
      <c r="H498" s="2">
        <v>-1.83E-2</v>
      </c>
      <c r="I498" s="16">
        <f t="shared" si="38"/>
        <v>-1.8324607329843003E-2</v>
      </c>
      <c r="J498" s="16">
        <f t="shared" si="39"/>
        <v>0.98167539267015702</v>
      </c>
      <c r="K498" s="16">
        <f t="shared" si="40"/>
        <v>41.481052631578947</v>
      </c>
      <c r="L498" s="16">
        <f t="shared" si="36"/>
        <v>41.392857142857146</v>
      </c>
      <c r="M498" s="25" t="str">
        <f t="shared" si="37"/>
        <v>HOLD</v>
      </c>
    </row>
    <row r="499" spans="2:13">
      <c r="B499" s="3">
        <v>42776</v>
      </c>
      <c r="C499" s="5">
        <v>40.58</v>
      </c>
      <c r="D499" s="5">
        <v>41.02</v>
      </c>
      <c r="E499" s="5">
        <v>41.2</v>
      </c>
      <c r="F499" s="5">
        <v>40.549999999999997</v>
      </c>
      <c r="G499" s="18" t="s">
        <v>1173</v>
      </c>
      <c r="H499" s="2">
        <v>-1.6199999999999999E-2</v>
      </c>
      <c r="I499" s="16">
        <f t="shared" si="38"/>
        <v>-1.6242424242424284E-2</v>
      </c>
      <c r="J499" s="16">
        <f t="shared" si="39"/>
        <v>0.98375757575757572</v>
      </c>
      <c r="K499" s="16">
        <f t="shared" si="40"/>
        <v>41.496842105263156</v>
      </c>
      <c r="L499" s="16">
        <f t="shared" si="36"/>
        <v>41.394897959183673</v>
      </c>
      <c r="M499" s="25" t="str">
        <f t="shared" si="37"/>
        <v>HOLD</v>
      </c>
    </row>
    <row r="500" spans="2:13">
      <c r="B500" s="3">
        <v>42779</v>
      </c>
      <c r="C500" s="5">
        <v>40.619999999999997</v>
      </c>
      <c r="D500" s="5">
        <v>40.770000000000003</v>
      </c>
      <c r="E500" s="5">
        <v>40.83</v>
      </c>
      <c r="F500" s="5">
        <v>40.5</v>
      </c>
      <c r="G500" s="18" t="s">
        <v>1172</v>
      </c>
      <c r="H500" s="2">
        <v>1E-3</v>
      </c>
      <c r="I500" s="16">
        <f t="shared" si="38"/>
        <v>9.857072449482294E-4</v>
      </c>
      <c r="J500" s="16">
        <f t="shared" si="39"/>
        <v>1.0009857072449482</v>
      </c>
      <c r="K500" s="16">
        <f t="shared" si="40"/>
        <v>41.48105263157894</v>
      </c>
      <c r="L500" s="16">
        <f t="shared" si="36"/>
        <v>41.399591836734693</v>
      </c>
      <c r="M500" s="25" t="str">
        <f t="shared" si="37"/>
        <v>HOLD</v>
      </c>
    </row>
    <row r="501" spans="2:13">
      <c r="B501" s="3">
        <v>42780</v>
      </c>
      <c r="C501" s="5">
        <v>40.53</v>
      </c>
      <c r="D501" s="5">
        <v>40.380000000000003</v>
      </c>
      <c r="E501" s="5">
        <v>40.6</v>
      </c>
      <c r="F501" s="5">
        <v>40.22</v>
      </c>
      <c r="G501" s="18" t="s">
        <v>1010</v>
      </c>
      <c r="H501" s="2">
        <v>-2.2000000000000001E-3</v>
      </c>
      <c r="I501" s="16">
        <f t="shared" si="38"/>
        <v>-2.2156573116690376E-3</v>
      </c>
      <c r="J501" s="16">
        <f t="shared" si="39"/>
        <v>0.99778434268833094</v>
      </c>
      <c r="K501" s="16">
        <f t="shared" si="40"/>
        <v>41.449473684210517</v>
      </c>
      <c r="L501" s="16">
        <f t="shared" si="36"/>
        <v>41.40877551020408</v>
      </c>
      <c r="M501" s="25" t="str">
        <f t="shared" si="37"/>
        <v>HOLD</v>
      </c>
    </row>
    <row r="502" spans="2:13">
      <c r="B502" s="3">
        <v>42781</v>
      </c>
      <c r="C502" s="5">
        <v>40.44</v>
      </c>
      <c r="D502" s="5">
        <v>40.42</v>
      </c>
      <c r="E502" s="5">
        <v>40.630000000000003</v>
      </c>
      <c r="F502" s="5">
        <v>40.4</v>
      </c>
      <c r="G502" s="18" t="s">
        <v>1088</v>
      </c>
      <c r="H502" s="2">
        <v>-2.2000000000000001E-3</v>
      </c>
      <c r="I502" s="16">
        <f t="shared" si="38"/>
        <v>-2.2205773501111129E-3</v>
      </c>
      <c r="J502" s="16">
        <f t="shared" si="39"/>
        <v>0.99777942264988884</v>
      </c>
      <c r="K502" s="16">
        <f t="shared" si="40"/>
        <v>41.409473684210525</v>
      </c>
      <c r="L502" s="16">
        <f t="shared" si="36"/>
        <v>41.412244897959191</v>
      </c>
      <c r="M502" s="25" t="str">
        <f t="shared" si="37"/>
        <v>SELL</v>
      </c>
    </row>
    <row r="503" spans="2:13">
      <c r="B503" s="3">
        <v>42782</v>
      </c>
      <c r="C503" s="5">
        <v>41.2</v>
      </c>
      <c r="D503" s="5">
        <v>40.549999999999997</v>
      </c>
      <c r="E503" s="5">
        <v>41.28</v>
      </c>
      <c r="F503" s="5">
        <v>40.5</v>
      </c>
      <c r="G503" s="18" t="s">
        <v>1171</v>
      </c>
      <c r="H503" s="2">
        <v>1.8800000000000001E-2</v>
      </c>
      <c r="I503" s="16">
        <f t="shared" si="38"/>
        <v>1.8793273986152451E-2</v>
      </c>
      <c r="J503" s="16">
        <f t="shared" si="39"/>
        <v>1.0187932739861525</v>
      </c>
      <c r="K503" s="16">
        <f t="shared" si="40"/>
        <v>41.372631578947363</v>
      </c>
      <c r="L503" s="16">
        <f t="shared" si="36"/>
        <v>41.408571428571435</v>
      </c>
      <c r="M503" s="25" t="str">
        <f t="shared" si="37"/>
        <v>HOLD</v>
      </c>
    </row>
    <row r="504" spans="2:13">
      <c r="B504" s="3">
        <v>42783</v>
      </c>
      <c r="C504" s="5">
        <v>41.23</v>
      </c>
      <c r="D504" s="5">
        <v>41.13</v>
      </c>
      <c r="E504" s="5">
        <v>41.36</v>
      </c>
      <c r="F504" s="5">
        <v>41.05</v>
      </c>
      <c r="G504" s="18" t="s">
        <v>694</v>
      </c>
      <c r="H504" s="2">
        <v>6.9999999999999999E-4</v>
      </c>
      <c r="I504" s="16">
        <f t="shared" si="38"/>
        <v>7.2815533980568031E-4</v>
      </c>
      <c r="J504" s="16">
        <f t="shared" si="39"/>
        <v>1.0007281553398057</v>
      </c>
      <c r="K504" s="16">
        <f t="shared" si="40"/>
        <v>41.366315789473688</v>
      </c>
      <c r="L504" s="16">
        <f t="shared" si="36"/>
        <v>41.421428571428571</v>
      </c>
      <c r="M504" s="25" t="str">
        <f t="shared" si="37"/>
        <v>HOLD</v>
      </c>
    </row>
    <row r="505" spans="2:13">
      <c r="B505" s="3">
        <v>42787</v>
      </c>
      <c r="C505" s="5">
        <v>41.46</v>
      </c>
      <c r="D505" s="5">
        <v>41.2</v>
      </c>
      <c r="E505" s="5">
        <v>41.5</v>
      </c>
      <c r="F505" s="5">
        <v>41.2</v>
      </c>
      <c r="G505" s="18" t="s">
        <v>644</v>
      </c>
      <c r="H505" s="2">
        <v>5.5999999999999999E-3</v>
      </c>
      <c r="I505" s="16">
        <f t="shared" si="38"/>
        <v>5.5784622847442154E-3</v>
      </c>
      <c r="J505" s="16">
        <f t="shared" si="39"/>
        <v>1.0055784622847441</v>
      </c>
      <c r="K505" s="16">
        <f t="shared" si="40"/>
        <v>41.355789473684212</v>
      </c>
      <c r="L505" s="16">
        <f t="shared" ref="L505:L568" si="41">AVERAGE(C456:C504)</f>
        <v>41.420204081632654</v>
      </c>
      <c r="M505" s="25" t="str">
        <f t="shared" ref="M505:M568" si="42">IF(AND(K505&gt;L505,K504&lt;=L504),"BUY",IF(AND(K505&lt;L505,K504&gt;=L504),"SELL","HOLD"))</f>
        <v>HOLD</v>
      </c>
    </row>
    <row r="506" spans="2:13">
      <c r="B506" s="3">
        <v>42788</v>
      </c>
      <c r="C506" s="5">
        <v>41.6</v>
      </c>
      <c r="D506" s="5">
        <v>41.51</v>
      </c>
      <c r="E506" s="5">
        <v>41.68</v>
      </c>
      <c r="F506" s="5">
        <v>41.4</v>
      </c>
      <c r="G506" s="18" t="s">
        <v>322</v>
      </c>
      <c r="H506" s="2">
        <v>3.3999999999999998E-3</v>
      </c>
      <c r="I506" s="16">
        <f t="shared" si="38"/>
        <v>3.3767486734201779E-3</v>
      </c>
      <c r="J506" s="16">
        <f t="shared" si="39"/>
        <v>1.0033767486734202</v>
      </c>
      <c r="K506" s="16">
        <f t="shared" si="40"/>
        <v>41.332631578947378</v>
      </c>
      <c r="L506" s="16">
        <f t="shared" si="41"/>
        <v>41.430000000000007</v>
      </c>
      <c r="M506" s="25" t="str">
        <f t="shared" si="42"/>
        <v>HOLD</v>
      </c>
    </row>
    <row r="507" spans="2:13">
      <c r="B507" s="3">
        <v>42789</v>
      </c>
      <c r="C507" s="5">
        <v>41.66</v>
      </c>
      <c r="D507" s="5">
        <v>41.67</v>
      </c>
      <c r="E507" s="5">
        <v>42</v>
      </c>
      <c r="F507" s="5">
        <v>41.62</v>
      </c>
      <c r="G507" s="18" t="s">
        <v>374</v>
      </c>
      <c r="H507" s="2">
        <v>1.4E-3</v>
      </c>
      <c r="I507" s="16">
        <f t="shared" si="38"/>
        <v>1.4423076923075762E-3</v>
      </c>
      <c r="J507" s="16">
        <f t="shared" si="39"/>
        <v>1.0014423076923076</v>
      </c>
      <c r="K507" s="16">
        <f t="shared" si="40"/>
        <v>41.305263157894743</v>
      </c>
      <c r="L507" s="16">
        <f t="shared" si="41"/>
        <v>41.421836734693876</v>
      </c>
      <c r="M507" s="25" t="str">
        <f t="shared" si="42"/>
        <v>HOLD</v>
      </c>
    </row>
    <row r="508" spans="2:13">
      <c r="B508" s="3">
        <v>42790</v>
      </c>
      <c r="C508" s="5">
        <v>41.78</v>
      </c>
      <c r="D508" s="5">
        <v>41.7</v>
      </c>
      <c r="E508" s="5">
        <v>41.91</v>
      </c>
      <c r="F508" s="5">
        <v>41.6</v>
      </c>
      <c r="G508" s="18" t="s">
        <v>262</v>
      </c>
      <c r="H508" s="2">
        <v>2.8999999999999998E-3</v>
      </c>
      <c r="I508" s="16">
        <f t="shared" si="38"/>
        <v>2.8804608737399077E-3</v>
      </c>
      <c r="J508" s="16">
        <f t="shared" si="39"/>
        <v>1.0028804608737398</v>
      </c>
      <c r="K508" s="16">
        <f t="shared" si="40"/>
        <v>41.297368421052639</v>
      </c>
      <c r="L508" s="16">
        <f t="shared" si="41"/>
        <v>41.416938775510204</v>
      </c>
      <c r="M508" s="25" t="str">
        <f t="shared" si="42"/>
        <v>HOLD</v>
      </c>
    </row>
    <row r="509" spans="2:13">
      <c r="B509" s="3">
        <v>42793</v>
      </c>
      <c r="C509" s="5">
        <v>41.67</v>
      </c>
      <c r="D509" s="5">
        <v>41.75</v>
      </c>
      <c r="E509" s="5">
        <v>41.75</v>
      </c>
      <c r="F509" s="5">
        <v>41.59</v>
      </c>
      <c r="G509" s="18" t="s">
        <v>1170</v>
      </c>
      <c r="H509" s="2">
        <v>-2.5999999999999999E-3</v>
      </c>
      <c r="I509" s="16">
        <f t="shared" si="38"/>
        <v>-2.6328386787936673E-3</v>
      </c>
      <c r="J509" s="16">
        <f t="shared" si="39"/>
        <v>0.99736716132120629</v>
      </c>
      <c r="K509" s="16">
        <f t="shared" si="40"/>
        <v>41.314736842105262</v>
      </c>
      <c r="L509" s="16">
        <f t="shared" si="41"/>
        <v>41.417346938775509</v>
      </c>
      <c r="M509" s="25" t="str">
        <f t="shared" si="42"/>
        <v>HOLD</v>
      </c>
    </row>
    <row r="510" spans="2:13">
      <c r="B510" s="3">
        <v>42794</v>
      </c>
      <c r="C510" s="5">
        <v>41.96</v>
      </c>
      <c r="D510" s="5">
        <v>41.68</v>
      </c>
      <c r="E510" s="5">
        <v>42.07</v>
      </c>
      <c r="F510" s="5">
        <v>41.64</v>
      </c>
      <c r="G510" s="18" t="s">
        <v>325</v>
      </c>
      <c r="H510" s="2">
        <v>7.0000000000000001E-3</v>
      </c>
      <c r="I510" s="16">
        <f t="shared" si="38"/>
        <v>6.9594432445404157E-3</v>
      </c>
      <c r="J510" s="16">
        <f t="shared" si="39"/>
        <v>1.0069594432445403</v>
      </c>
      <c r="K510" s="16">
        <f t="shared" si="40"/>
        <v>41.33</v>
      </c>
      <c r="L510" s="16">
        <f t="shared" si="41"/>
        <v>41.426734693877556</v>
      </c>
      <c r="M510" s="25" t="str">
        <f t="shared" si="42"/>
        <v>HOLD</v>
      </c>
    </row>
    <row r="511" spans="2:13">
      <c r="B511" s="3">
        <v>42795</v>
      </c>
      <c r="C511" s="5">
        <v>42.16</v>
      </c>
      <c r="D511" s="5">
        <v>42.01</v>
      </c>
      <c r="E511" s="5">
        <v>42.35</v>
      </c>
      <c r="F511" s="5">
        <v>41.88</v>
      </c>
      <c r="G511" s="18" t="s">
        <v>335</v>
      </c>
      <c r="H511" s="2">
        <v>4.7999999999999996E-3</v>
      </c>
      <c r="I511" s="16">
        <f t="shared" si="38"/>
        <v>4.7664442326023765E-3</v>
      </c>
      <c r="J511" s="16">
        <f t="shared" si="39"/>
        <v>1.0047664442326023</v>
      </c>
      <c r="K511" s="16">
        <f t="shared" si="40"/>
        <v>41.350526315789473</v>
      </c>
      <c r="L511" s="16">
        <f t="shared" si="41"/>
        <v>41.435102040816325</v>
      </c>
      <c r="M511" s="25" t="str">
        <f t="shared" si="42"/>
        <v>HOLD</v>
      </c>
    </row>
    <row r="512" spans="2:13">
      <c r="B512" s="3">
        <v>42796</v>
      </c>
      <c r="C512" s="5">
        <v>42.47</v>
      </c>
      <c r="D512" s="5">
        <v>42.08</v>
      </c>
      <c r="E512" s="5">
        <v>42.56</v>
      </c>
      <c r="F512" s="5">
        <v>42.07</v>
      </c>
      <c r="G512" s="18" t="s">
        <v>540</v>
      </c>
      <c r="H512" s="2">
        <v>7.4000000000000003E-3</v>
      </c>
      <c r="I512" s="16">
        <f t="shared" si="38"/>
        <v>7.3529411764706428E-3</v>
      </c>
      <c r="J512" s="16">
        <f t="shared" si="39"/>
        <v>1.0073529411764706</v>
      </c>
      <c r="K512" s="16">
        <f t="shared" si="40"/>
        <v>41.397894736842105</v>
      </c>
      <c r="L512" s="16">
        <f t="shared" si="41"/>
        <v>41.443673469387754</v>
      </c>
      <c r="M512" s="25" t="str">
        <f t="shared" si="42"/>
        <v>HOLD</v>
      </c>
    </row>
    <row r="513" spans="2:13">
      <c r="B513" s="3">
        <v>42797</v>
      </c>
      <c r="C513" s="5">
        <v>42.48</v>
      </c>
      <c r="D513" s="5">
        <v>42.44</v>
      </c>
      <c r="E513" s="5">
        <v>42.49</v>
      </c>
      <c r="F513" s="5">
        <v>42.25</v>
      </c>
      <c r="G513" s="18" t="s">
        <v>161</v>
      </c>
      <c r="H513" s="2">
        <v>2.0000000000000001E-4</v>
      </c>
      <c r="I513" s="16">
        <f t="shared" si="38"/>
        <v>2.3546032493520157E-4</v>
      </c>
      <c r="J513" s="16">
        <f t="shared" si="39"/>
        <v>1.0002354603249353</v>
      </c>
      <c r="K513" s="16">
        <f t="shared" si="40"/>
        <v>41.454210526315784</v>
      </c>
      <c r="L513" s="16">
        <f t="shared" si="41"/>
        <v>41.46</v>
      </c>
      <c r="M513" s="25" t="str">
        <f t="shared" si="42"/>
        <v>HOLD</v>
      </c>
    </row>
    <row r="514" spans="2:13">
      <c r="B514" s="3">
        <v>42800</v>
      </c>
      <c r="C514" s="5">
        <v>42.18</v>
      </c>
      <c r="D514" s="5">
        <v>42.34</v>
      </c>
      <c r="E514" s="5">
        <v>42.43</v>
      </c>
      <c r="F514" s="5">
        <v>42.12</v>
      </c>
      <c r="G514" s="18" t="s">
        <v>1169</v>
      </c>
      <c r="H514" s="2">
        <v>-7.1000000000000004E-3</v>
      </c>
      <c r="I514" s="16">
        <f t="shared" si="38"/>
        <v>-7.0621468926553004E-3</v>
      </c>
      <c r="J514" s="16">
        <f t="shared" si="39"/>
        <v>0.99293785310734473</v>
      </c>
      <c r="K514" s="16">
        <f t="shared" si="40"/>
        <v>41.503684210526316</v>
      </c>
      <c r="L514" s="16">
        <f t="shared" si="41"/>
        <v>41.476734693877553</v>
      </c>
      <c r="M514" s="25" t="str">
        <f t="shared" si="42"/>
        <v>BUY</v>
      </c>
    </row>
    <row r="515" spans="2:13">
      <c r="B515" s="3">
        <v>42801</v>
      </c>
      <c r="C515" s="5">
        <v>41.99</v>
      </c>
      <c r="D515" s="5">
        <v>42</v>
      </c>
      <c r="E515" s="5">
        <v>42.24</v>
      </c>
      <c r="F515" s="5">
        <v>41.95</v>
      </c>
      <c r="G515" s="18" t="s">
        <v>363</v>
      </c>
      <c r="H515" s="2">
        <v>-4.4999999999999997E-3</v>
      </c>
      <c r="I515" s="16">
        <f t="shared" si="38"/>
        <v>-4.5045045045044507E-3</v>
      </c>
      <c r="J515" s="16">
        <f t="shared" si="39"/>
        <v>0.99549549549549554</v>
      </c>
      <c r="K515" s="16">
        <f t="shared" si="40"/>
        <v>41.536315789473683</v>
      </c>
      <c r="L515" s="16">
        <f t="shared" si="41"/>
        <v>41.489183673469391</v>
      </c>
      <c r="M515" s="25" t="str">
        <f t="shared" si="42"/>
        <v>HOLD</v>
      </c>
    </row>
    <row r="516" spans="2:13">
      <c r="B516" s="3">
        <v>42802</v>
      </c>
      <c r="C516" s="5">
        <v>41.99</v>
      </c>
      <c r="D516" s="5">
        <v>42</v>
      </c>
      <c r="E516" s="5">
        <v>42.02</v>
      </c>
      <c r="F516" s="5">
        <v>41.74</v>
      </c>
      <c r="G516" s="18" t="s">
        <v>1168</v>
      </c>
      <c r="H516" s="2">
        <v>0</v>
      </c>
      <c r="I516" s="16">
        <f t="shared" si="38"/>
        <v>0</v>
      </c>
      <c r="J516" s="16">
        <f t="shared" si="39"/>
        <v>1</v>
      </c>
      <c r="K516" s="16">
        <f t="shared" si="40"/>
        <v>41.541052631578943</v>
      </c>
      <c r="L516" s="16">
        <f t="shared" si="41"/>
        <v>41.498163265306125</v>
      </c>
      <c r="M516" s="25" t="str">
        <f t="shared" si="42"/>
        <v>HOLD</v>
      </c>
    </row>
    <row r="517" spans="2:13">
      <c r="B517" s="3">
        <v>42803</v>
      </c>
      <c r="C517" s="5">
        <v>42.03</v>
      </c>
      <c r="D517" s="5">
        <v>42.09</v>
      </c>
      <c r="E517" s="5">
        <v>42.11</v>
      </c>
      <c r="F517" s="5">
        <v>41.92</v>
      </c>
      <c r="G517" s="18" t="s">
        <v>1167</v>
      </c>
      <c r="H517" s="2">
        <v>1E-3</v>
      </c>
      <c r="I517" s="16">
        <f t="shared" si="38"/>
        <v>9.5260776375325428E-4</v>
      </c>
      <c r="J517" s="16">
        <f t="shared" si="39"/>
        <v>1.0009526077637532</v>
      </c>
      <c r="K517" s="16">
        <f t="shared" si="40"/>
        <v>41.539473684210527</v>
      </c>
      <c r="L517" s="16">
        <f t="shared" si="41"/>
        <v>41.506122448979603</v>
      </c>
      <c r="M517" s="25" t="str">
        <f t="shared" si="42"/>
        <v>HOLD</v>
      </c>
    </row>
    <row r="518" spans="2:13">
      <c r="B518" s="3">
        <v>42804</v>
      </c>
      <c r="C518" s="5">
        <v>42.29</v>
      </c>
      <c r="D518" s="5">
        <v>42.23</v>
      </c>
      <c r="E518" s="5">
        <v>42.4</v>
      </c>
      <c r="F518" s="5">
        <v>42.15</v>
      </c>
      <c r="G518" s="18" t="s">
        <v>257</v>
      </c>
      <c r="H518" s="2">
        <v>6.1999999999999998E-3</v>
      </c>
      <c r="I518" s="16">
        <f t="shared" si="38"/>
        <v>6.1860575779204858E-3</v>
      </c>
      <c r="J518" s="16">
        <f t="shared" si="39"/>
        <v>1.0061860575779205</v>
      </c>
      <c r="K518" s="16">
        <f t="shared" si="40"/>
        <v>41.58052631578947</v>
      </c>
      <c r="L518" s="16">
        <f t="shared" si="41"/>
        <v>41.514693877551025</v>
      </c>
      <c r="M518" s="25" t="str">
        <f t="shared" si="42"/>
        <v>HOLD</v>
      </c>
    </row>
    <row r="519" spans="2:13">
      <c r="B519" s="3">
        <v>42807</v>
      </c>
      <c r="C519" s="5">
        <v>42.03</v>
      </c>
      <c r="D519" s="5">
        <v>41.92</v>
      </c>
      <c r="E519" s="5">
        <v>42.12</v>
      </c>
      <c r="F519" s="5">
        <v>41.84</v>
      </c>
      <c r="G519" s="18" t="s">
        <v>463</v>
      </c>
      <c r="H519" s="2">
        <v>-6.1000000000000004E-3</v>
      </c>
      <c r="I519" s="16">
        <f t="shared" si="38"/>
        <v>-6.1480255379521877E-3</v>
      </c>
      <c r="J519" s="16">
        <f t="shared" si="39"/>
        <v>0.99385197446204776</v>
      </c>
      <c r="K519" s="16">
        <f t="shared" si="40"/>
        <v>41.670526315789466</v>
      </c>
      <c r="L519" s="16">
        <f t="shared" si="41"/>
        <v>41.533061224489806</v>
      </c>
      <c r="M519" s="25" t="str">
        <f t="shared" si="42"/>
        <v>HOLD</v>
      </c>
    </row>
    <row r="520" spans="2:13">
      <c r="B520" s="3">
        <v>42808</v>
      </c>
      <c r="C520" s="5">
        <v>41.97</v>
      </c>
      <c r="D520" s="5">
        <v>41.98</v>
      </c>
      <c r="E520" s="5">
        <v>42.1</v>
      </c>
      <c r="F520" s="5">
        <v>41.83</v>
      </c>
      <c r="G520" s="18" t="s">
        <v>135</v>
      </c>
      <c r="H520" s="2">
        <v>-1.4E-3</v>
      </c>
      <c r="I520" s="16">
        <f t="shared" si="38"/>
        <v>-1.4275517487509462E-3</v>
      </c>
      <c r="J520" s="16">
        <f t="shared" si="39"/>
        <v>0.99857244825124902</v>
      </c>
      <c r="K520" s="16">
        <f t="shared" si="40"/>
        <v>41.744736842105254</v>
      </c>
      <c r="L520" s="16">
        <f t="shared" si="41"/>
        <v>41.541836734693888</v>
      </c>
      <c r="M520" s="25" t="str">
        <f t="shared" si="42"/>
        <v>HOLD</v>
      </c>
    </row>
    <row r="521" spans="2:13">
      <c r="B521" s="3">
        <v>42809</v>
      </c>
      <c r="C521" s="5">
        <v>42.12</v>
      </c>
      <c r="D521" s="5">
        <v>41.98</v>
      </c>
      <c r="E521" s="5">
        <v>42.27</v>
      </c>
      <c r="F521" s="5">
        <v>41.97</v>
      </c>
      <c r="G521" s="18" t="s">
        <v>1166</v>
      </c>
      <c r="H521" s="2">
        <v>3.5999999999999999E-3</v>
      </c>
      <c r="I521" s="16">
        <f t="shared" ref="I521:I584" si="43">(C521-C520)/C520</f>
        <v>3.5739814152966065E-3</v>
      </c>
      <c r="J521" s="16">
        <f t="shared" ref="J521:J584" si="44">C521/C520</f>
        <v>1.0035739814152966</v>
      </c>
      <c r="K521" s="16">
        <f t="shared" si="40"/>
        <v>41.820526315789472</v>
      </c>
      <c r="L521" s="16">
        <f t="shared" si="41"/>
        <v>41.552244897959184</v>
      </c>
      <c r="M521" s="25" t="str">
        <f t="shared" si="42"/>
        <v>HOLD</v>
      </c>
    </row>
    <row r="522" spans="2:13">
      <c r="B522" s="3">
        <v>42810</v>
      </c>
      <c r="C522" s="5">
        <v>42.25</v>
      </c>
      <c r="D522" s="5">
        <v>42.03</v>
      </c>
      <c r="E522" s="5">
        <v>42.39</v>
      </c>
      <c r="F522" s="5">
        <v>41.9</v>
      </c>
      <c r="G522" s="18" t="s">
        <v>492</v>
      </c>
      <c r="H522" s="2">
        <v>3.0999999999999999E-3</v>
      </c>
      <c r="I522" s="16">
        <f t="shared" si="43"/>
        <v>3.0864197530864807E-3</v>
      </c>
      <c r="J522" s="16">
        <f t="shared" si="44"/>
        <v>1.0030864197530864</v>
      </c>
      <c r="K522" s="16">
        <f t="shared" si="40"/>
        <v>41.908947368421053</v>
      </c>
      <c r="L522" s="16">
        <f t="shared" si="41"/>
        <v>41.558775510204086</v>
      </c>
      <c r="M522" s="25" t="str">
        <f t="shared" si="42"/>
        <v>HOLD</v>
      </c>
    </row>
    <row r="523" spans="2:13">
      <c r="B523" s="3">
        <v>42811</v>
      </c>
      <c r="C523" s="5">
        <v>42.03</v>
      </c>
      <c r="D523" s="5">
        <v>42.28</v>
      </c>
      <c r="E523" s="5">
        <v>42.35</v>
      </c>
      <c r="F523" s="5">
        <v>42.01</v>
      </c>
      <c r="G523" s="18" t="s">
        <v>1165</v>
      </c>
      <c r="H523" s="2">
        <v>-5.1999999999999998E-3</v>
      </c>
      <c r="I523" s="16">
        <f t="shared" si="43"/>
        <v>-5.2071005917159498E-3</v>
      </c>
      <c r="J523" s="16">
        <f t="shared" si="44"/>
        <v>0.99479289940828408</v>
      </c>
      <c r="K523" s="16">
        <f t="shared" si="40"/>
        <v>41.964210526315789</v>
      </c>
      <c r="L523" s="16">
        <f t="shared" si="41"/>
        <v>41.571020408163264</v>
      </c>
      <c r="M523" s="25" t="str">
        <f t="shared" si="42"/>
        <v>HOLD</v>
      </c>
    </row>
    <row r="524" spans="2:13">
      <c r="B524" s="3">
        <v>42814</v>
      </c>
      <c r="C524" s="5">
        <v>42.18</v>
      </c>
      <c r="D524" s="5">
        <v>42.1</v>
      </c>
      <c r="E524" s="5">
        <v>42.34</v>
      </c>
      <c r="F524" s="5">
        <v>42.07</v>
      </c>
      <c r="G524" s="18" t="s">
        <v>497</v>
      </c>
      <c r="H524" s="2">
        <v>3.5999999999999999E-3</v>
      </c>
      <c r="I524" s="16">
        <f t="shared" si="43"/>
        <v>3.5688793718771966E-3</v>
      </c>
      <c r="J524" s="16">
        <f t="shared" si="44"/>
        <v>1.0035688793718771</v>
      </c>
      <c r="K524" s="16">
        <f t="shared" si="40"/>
        <v>42.006315789473682</v>
      </c>
      <c r="L524" s="16">
        <f t="shared" si="41"/>
        <v>41.576734693877547</v>
      </c>
      <c r="M524" s="25" t="str">
        <f t="shared" si="42"/>
        <v>HOLD</v>
      </c>
    </row>
    <row r="525" spans="2:13">
      <c r="B525" s="3">
        <v>42815</v>
      </c>
      <c r="C525" s="5">
        <v>42.5</v>
      </c>
      <c r="D525" s="5">
        <v>42.31</v>
      </c>
      <c r="E525" s="5">
        <v>42.63</v>
      </c>
      <c r="F525" s="5">
        <v>42.21</v>
      </c>
      <c r="G525" s="18" t="s">
        <v>498</v>
      </c>
      <c r="H525" s="2">
        <v>7.6E-3</v>
      </c>
      <c r="I525" s="16">
        <f t="shared" si="43"/>
        <v>7.586533902323383E-3</v>
      </c>
      <c r="J525" s="16">
        <f t="shared" si="44"/>
        <v>1.0075865339023233</v>
      </c>
      <c r="K525" s="16">
        <f t="shared" si="40"/>
        <v>42.044210526315787</v>
      </c>
      <c r="L525" s="16">
        <f t="shared" si="41"/>
        <v>41.585714285714289</v>
      </c>
      <c r="M525" s="25" t="str">
        <f t="shared" si="42"/>
        <v>HOLD</v>
      </c>
    </row>
    <row r="526" spans="2:13">
      <c r="B526" s="3">
        <v>42816</v>
      </c>
      <c r="C526" s="5">
        <v>42.38</v>
      </c>
      <c r="D526" s="5">
        <v>42.56</v>
      </c>
      <c r="E526" s="5">
        <v>42.7</v>
      </c>
      <c r="F526" s="5">
        <v>42.25</v>
      </c>
      <c r="G526" s="18" t="s">
        <v>112</v>
      </c>
      <c r="H526" s="2">
        <v>-2.8E-3</v>
      </c>
      <c r="I526" s="16">
        <f t="shared" si="43"/>
        <v>-2.8235294117646458E-3</v>
      </c>
      <c r="J526" s="16">
        <f t="shared" si="44"/>
        <v>0.99717647058823533</v>
      </c>
      <c r="K526" s="16">
        <f t="shared" si="40"/>
        <v>42.091578947368419</v>
      </c>
      <c r="L526" s="16">
        <f t="shared" si="41"/>
        <v>41.609795918367354</v>
      </c>
      <c r="M526" s="25" t="str">
        <f t="shared" si="42"/>
        <v>HOLD</v>
      </c>
    </row>
    <row r="527" spans="2:13">
      <c r="B527" s="3">
        <v>42817</v>
      </c>
      <c r="C527" s="5">
        <v>42.17</v>
      </c>
      <c r="D527" s="5">
        <v>42.21</v>
      </c>
      <c r="E527" s="5">
        <v>42.39</v>
      </c>
      <c r="F527" s="5">
        <v>42.06</v>
      </c>
      <c r="G527" s="18" t="s">
        <v>221</v>
      </c>
      <c r="H527" s="2">
        <v>-5.0000000000000001E-3</v>
      </c>
      <c r="I527" s="16">
        <f t="shared" si="43"/>
        <v>-4.9551675318546679E-3</v>
      </c>
      <c r="J527" s="16">
        <f t="shared" si="44"/>
        <v>0.99504483246814535</v>
      </c>
      <c r="K527" s="16">
        <f t="shared" si="40"/>
        <v>42.129473684210531</v>
      </c>
      <c r="L527" s="16">
        <f t="shared" si="41"/>
        <v>41.637142857142862</v>
      </c>
      <c r="M527" s="25" t="str">
        <f t="shared" si="42"/>
        <v>HOLD</v>
      </c>
    </row>
    <row r="528" spans="2:13">
      <c r="B528" s="3">
        <v>42818</v>
      </c>
      <c r="C528" s="5">
        <v>42.12</v>
      </c>
      <c r="D528" s="5">
        <v>42.23</v>
      </c>
      <c r="E528" s="5">
        <v>42.25</v>
      </c>
      <c r="F528" s="5">
        <v>41.91</v>
      </c>
      <c r="G528" s="18" t="s">
        <v>404</v>
      </c>
      <c r="H528" s="2">
        <v>-1.1999999999999999E-3</v>
      </c>
      <c r="I528" s="16">
        <f t="shared" si="43"/>
        <v>-1.1856770215794229E-3</v>
      </c>
      <c r="J528" s="16">
        <f t="shared" si="44"/>
        <v>0.99881432297842054</v>
      </c>
      <c r="K528" s="16">
        <f t="shared" si="40"/>
        <v>42.15</v>
      </c>
      <c r="L528" s="16">
        <f t="shared" si="41"/>
        <v>41.660000000000011</v>
      </c>
      <c r="M528" s="25" t="str">
        <f t="shared" si="42"/>
        <v>HOLD</v>
      </c>
    </row>
    <row r="529" spans="2:13">
      <c r="B529" s="3">
        <v>42821</v>
      </c>
      <c r="C529" s="5">
        <v>42.32</v>
      </c>
      <c r="D529" s="5">
        <v>42.11</v>
      </c>
      <c r="E529" s="5">
        <v>42.34</v>
      </c>
      <c r="F529" s="5">
        <v>42.05</v>
      </c>
      <c r="G529" s="18" t="s">
        <v>948</v>
      </c>
      <c r="H529" s="2">
        <v>4.7000000000000002E-3</v>
      </c>
      <c r="I529" s="16">
        <f t="shared" si="43"/>
        <v>4.7483380816714825E-3</v>
      </c>
      <c r="J529" s="16">
        <f t="shared" si="44"/>
        <v>1.0047483380816715</v>
      </c>
      <c r="K529" s="16">
        <f t="shared" si="40"/>
        <v>42.173684210526311</v>
      </c>
      <c r="L529" s="16">
        <f t="shared" si="41"/>
        <v>41.683877551020416</v>
      </c>
      <c r="M529" s="25" t="str">
        <f t="shared" si="42"/>
        <v>HOLD</v>
      </c>
    </row>
    <row r="530" spans="2:13">
      <c r="B530" s="3">
        <v>42822</v>
      </c>
      <c r="C530" s="5">
        <v>42.43</v>
      </c>
      <c r="D530" s="5">
        <v>42.24</v>
      </c>
      <c r="E530" s="5">
        <v>42.56</v>
      </c>
      <c r="F530" s="5">
        <v>42.24</v>
      </c>
      <c r="G530" s="18" t="s">
        <v>1164</v>
      </c>
      <c r="H530" s="2">
        <v>2.5999999999999999E-3</v>
      </c>
      <c r="I530" s="16">
        <f t="shared" si="43"/>
        <v>2.5992438563326899E-3</v>
      </c>
      <c r="J530" s="16">
        <f t="shared" si="44"/>
        <v>1.0025992438563327</v>
      </c>
      <c r="K530" s="16">
        <f t="shared" si="40"/>
        <v>42.192631578947363</v>
      </c>
      <c r="L530" s="16">
        <f t="shared" si="41"/>
        <v>41.713265306122452</v>
      </c>
      <c r="M530" s="25" t="str">
        <f t="shared" si="42"/>
        <v>HOLD</v>
      </c>
    </row>
    <row r="531" spans="2:13">
      <c r="B531" s="3">
        <v>42823</v>
      </c>
      <c r="C531" s="5">
        <v>42.42</v>
      </c>
      <c r="D531" s="5">
        <v>42.51</v>
      </c>
      <c r="E531" s="5">
        <v>42.52</v>
      </c>
      <c r="F531" s="5">
        <v>42.29</v>
      </c>
      <c r="G531" s="18" t="s">
        <v>398</v>
      </c>
      <c r="H531" s="2">
        <v>-2.0000000000000001E-4</v>
      </c>
      <c r="I531" s="16">
        <f t="shared" si="43"/>
        <v>-2.3568230025920365E-4</v>
      </c>
      <c r="J531" s="16">
        <f t="shared" si="44"/>
        <v>0.99976431769974083</v>
      </c>
      <c r="K531" s="16">
        <f t="shared" si="40"/>
        <v>42.206842105263156</v>
      </c>
      <c r="L531" s="16">
        <f t="shared" si="41"/>
        <v>41.737959183673468</v>
      </c>
      <c r="M531" s="25" t="str">
        <f t="shared" si="42"/>
        <v>HOLD</v>
      </c>
    </row>
    <row r="532" spans="2:13">
      <c r="B532" s="3">
        <v>42824</v>
      </c>
      <c r="C532" s="5">
        <v>42.6</v>
      </c>
      <c r="D532" s="5">
        <v>42.35</v>
      </c>
      <c r="E532" s="5">
        <v>42.62</v>
      </c>
      <c r="F532" s="5">
        <v>42.26</v>
      </c>
      <c r="G532" s="18" t="s">
        <v>327</v>
      </c>
      <c r="H532" s="2">
        <v>4.1999999999999997E-3</v>
      </c>
      <c r="I532" s="16">
        <f t="shared" si="43"/>
        <v>4.2432814710042363E-3</v>
      </c>
      <c r="J532" s="16">
        <f t="shared" si="44"/>
        <v>1.0042432814710043</v>
      </c>
      <c r="K532" s="16">
        <f t="shared" si="40"/>
        <v>42.204210526315784</v>
      </c>
      <c r="L532" s="16">
        <f t="shared" si="41"/>
        <v>41.761020408163276</v>
      </c>
      <c r="M532" s="25" t="str">
        <f t="shared" si="42"/>
        <v>HOLD</v>
      </c>
    </row>
    <row r="533" spans="2:13">
      <c r="B533" s="3">
        <v>42825</v>
      </c>
      <c r="C533" s="5">
        <v>42.44</v>
      </c>
      <c r="D533" s="5">
        <v>42.55</v>
      </c>
      <c r="E533" s="5">
        <v>42.65</v>
      </c>
      <c r="F533" s="5">
        <v>42.43</v>
      </c>
      <c r="G533" s="18" t="s">
        <v>266</v>
      </c>
      <c r="H533" s="2">
        <v>-3.8E-3</v>
      </c>
      <c r="I533" s="16">
        <f t="shared" si="43"/>
        <v>-3.7558685446010256E-3</v>
      </c>
      <c r="J533" s="16">
        <f t="shared" si="44"/>
        <v>0.99624413145539903</v>
      </c>
      <c r="K533" s="16">
        <f t="shared" si="40"/>
        <v>42.210526315789473</v>
      </c>
      <c r="L533" s="16">
        <f t="shared" si="41"/>
        <v>41.790816326530617</v>
      </c>
      <c r="M533" s="25" t="str">
        <f t="shared" si="42"/>
        <v>HOLD</v>
      </c>
    </row>
    <row r="534" spans="2:13">
      <c r="B534" s="3">
        <v>42828</v>
      </c>
      <c r="C534" s="5">
        <v>42.41</v>
      </c>
      <c r="D534" s="5">
        <v>42.58</v>
      </c>
      <c r="E534" s="5">
        <v>42.62</v>
      </c>
      <c r="F534" s="5">
        <v>42.27</v>
      </c>
      <c r="G534" s="18" t="s">
        <v>160</v>
      </c>
      <c r="H534" s="2">
        <v>-6.9999999999999999E-4</v>
      </c>
      <c r="I534" s="16">
        <f t="shared" si="43"/>
        <v>-7.0688030160228883E-4</v>
      </c>
      <c r="J534" s="16">
        <f t="shared" si="44"/>
        <v>0.99929311969839774</v>
      </c>
      <c r="K534" s="16">
        <f t="shared" si="40"/>
        <v>42.224210526315787</v>
      </c>
      <c r="L534" s="16">
        <f t="shared" si="41"/>
        <v>41.813673469387766</v>
      </c>
      <c r="M534" s="25" t="str">
        <f t="shared" si="42"/>
        <v>HOLD</v>
      </c>
    </row>
    <row r="535" spans="2:13">
      <c r="B535" s="3">
        <v>42829</v>
      </c>
      <c r="C535" s="5">
        <v>42.68</v>
      </c>
      <c r="D535" s="5">
        <v>42.51</v>
      </c>
      <c r="E535" s="5">
        <v>42.69</v>
      </c>
      <c r="F535" s="5">
        <v>42.37</v>
      </c>
      <c r="G535" s="18" t="s">
        <v>402</v>
      </c>
      <c r="H535" s="2">
        <v>6.4000000000000003E-3</v>
      </c>
      <c r="I535" s="16">
        <f t="shared" si="43"/>
        <v>6.3664230134403005E-3</v>
      </c>
      <c r="J535" s="16">
        <f t="shared" si="44"/>
        <v>1.0063664230134404</v>
      </c>
      <c r="K535" s="16">
        <f t="shared" si="40"/>
        <v>42.246315789473684</v>
      </c>
      <c r="L535" s="16">
        <f t="shared" si="41"/>
        <v>41.833673469387755</v>
      </c>
      <c r="M535" s="25" t="str">
        <f t="shared" si="42"/>
        <v>HOLD</v>
      </c>
    </row>
    <row r="536" spans="2:13">
      <c r="B536" s="3">
        <v>42830</v>
      </c>
      <c r="C536" s="5">
        <v>42.57</v>
      </c>
      <c r="D536" s="5">
        <v>42.65</v>
      </c>
      <c r="E536" s="5">
        <v>42.85</v>
      </c>
      <c r="F536" s="5">
        <v>42.53</v>
      </c>
      <c r="G536" s="18" t="s">
        <v>193</v>
      </c>
      <c r="H536" s="2">
        <v>-2.5999999999999999E-3</v>
      </c>
      <c r="I536" s="16">
        <f t="shared" si="43"/>
        <v>-2.5773195876288525E-3</v>
      </c>
      <c r="J536" s="16">
        <f t="shared" si="44"/>
        <v>0.99742268041237114</v>
      </c>
      <c r="K536" s="16">
        <f t="shared" si="40"/>
        <v>42.28263157894736</v>
      </c>
      <c r="L536" s="16">
        <f t="shared" si="41"/>
        <v>41.849591836734696</v>
      </c>
      <c r="M536" s="25" t="str">
        <f t="shared" si="42"/>
        <v>HOLD</v>
      </c>
    </row>
    <row r="537" spans="2:13">
      <c r="B537" s="3">
        <v>42831</v>
      </c>
      <c r="C537" s="5">
        <v>42.67</v>
      </c>
      <c r="D537" s="5">
        <v>42.58</v>
      </c>
      <c r="E537" s="5">
        <v>42.76</v>
      </c>
      <c r="F537" s="5">
        <v>42.47</v>
      </c>
      <c r="G537" s="18" t="s">
        <v>1163</v>
      </c>
      <c r="H537" s="2">
        <v>2.3E-3</v>
      </c>
      <c r="I537" s="16">
        <f t="shared" si="43"/>
        <v>2.3490721165140105E-3</v>
      </c>
      <c r="J537" s="16">
        <f t="shared" si="44"/>
        <v>1.002349072116514</v>
      </c>
      <c r="K537" s="16">
        <f t="shared" si="40"/>
        <v>42.311052631578946</v>
      </c>
      <c r="L537" s="16">
        <f t="shared" si="41"/>
        <v>41.85877551020409</v>
      </c>
      <c r="M537" s="25" t="str">
        <f t="shared" si="42"/>
        <v>HOLD</v>
      </c>
    </row>
    <row r="538" spans="2:13">
      <c r="B538" s="3">
        <v>42832</v>
      </c>
      <c r="C538" s="5">
        <v>42.61</v>
      </c>
      <c r="D538" s="5">
        <v>42.64</v>
      </c>
      <c r="E538" s="5">
        <v>42.74</v>
      </c>
      <c r="F538" s="5">
        <v>42.51</v>
      </c>
      <c r="G538" s="18" t="s">
        <v>631</v>
      </c>
      <c r="H538" s="2">
        <v>-1.4E-3</v>
      </c>
      <c r="I538" s="16">
        <f t="shared" si="43"/>
        <v>-1.4061401453012016E-3</v>
      </c>
      <c r="J538" s="16">
        <f t="shared" si="44"/>
        <v>0.99859385985469884</v>
      </c>
      <c r="K538" s="16">
        <f t="shared" si="40"/>
        <v>42.331052631578949</v>
      </c>
      <c r="L538" s="16">
        <f t="shared" si="41"/>
        <v>41.876326530612246</v>
      </c>
      <c r="M538" s="25" t="str">
        <f t="shared" si="42"/>
        <v>HOLD</v>
      </c>
    </row>
    <row r="539" spans="2:13">
      <c r="B539" s="3">
        <v>42835</v>
      </c>
      <c r="C539" s="5">
        <v>42.69</v>
      </c>
      <c r="D539" s="5">
        <v>42.73</v>
      </c>
      <c r="E539" s="5">
        <v>42.8</v>
      </c>
      <c r="F539" s="5">
        <v>42.56</v>
      </c>
      <c r="G539" s="18" t="s">
        <v>933</v>
      </c>
      <c r="H539" s="2">
        <v>1.9E-3</v>
      </c>
      <c r="I539" s="16">
        <f t="shared" si="43"/>
        <v>1.8774935461158952E-3</v>
      </c>
      <c r="J539" s="16">
        <f t="shared" si="44"/>
        <v>1.0018774935461159</v>
      </c>
      <c r="K539" s="16">
        <f t="shared" ref="K539:K602" si="45">AVERAGE(C520:C538)</f>
        <v>42.361578947368422</v>
      </c>
      <c r="L539" s="16">
        <f t="shared" si="41"/>
        <v>41.900000000000006</v>
      </c>
      <c r="M539" s="25" t="str">
        <f t="shared" si="42"/>
        <v>HOLD</v>
      </c>
    </row>
    <row r="540" spans="2:13">
      <c r="B540" s="3">
        <v>42836</v>
      </c>
      <c r="C540" s="5">
        <v>42.66</v>
      </c>
      <c r="D540" s="5">
        <v>42.68</v>
      </c>
      <c r="E540" s="5">
        <v>42.75</v>
      </c>
      <c r="F540" s="5">
        <v>42.52</v>
      </c>
      <c r="G540" s="18" t="s">
        <v>678</v>
      </c>
      <c r="H540" s="2">
        <v>-6.9999999999999999E-4</v>
      </c>
      <c r="I540" s="16">
        <f t="shared" si="43"/>
        <v>-7.0274068868590158E-4</v>
      </c>
      <c r="J540" s="16">
        <f t="shared" si="44"/>
        <v>0.99929725931131408</v>
      </c>
      <c r="K540" s="16">
        <f t="shared" si="45"/>
        <v>42.39947368421052</v>
      </c>
      <c r="L540" s="16">
        <f t="shared" si="41"/>
        <v>41.926734693877549</v>
      </c>
      <c r="M540" s="25" t="str">
        <f t="shared" si="42"/>
        <v>HOLD</v>
      </c>
    </row>
    <row r="541" spans="2:13">
      <c r="B541" s="3">
        <v>42837</v>
      </c>
      <c r="C541" s="5">
        <v>42.94</v>
      </c>
      <c r="D541" s="5">
        <v>42.54</v>
      </c>
      <c r="E541" s="5">
        <v>42.99</v>
      </c>
      <c r="F541" s="5">
        <v>42.51</v>
      </c>
      <c r="G541" s="18" t="s">
        <v>22</v>
      </c>
      <c r="H541" s="2">
        <v>6.6E-3</v>
      </c>
      <c r="I541" s="16">
        <f t="shared" si="43"/>
        <v>6.5635255508673506E-3</v>
      </c>
      <c r="J541" s="16">
        <f t="shared" si="44"/>
        <v>1.0065635255508674</v>
      </c>
      <c r="K541" s="16">
        <f t="shared" si="45"/>
        <v>42.427894736842106</v>
      </c>
      <c r="L541" s="16">
        <f t="shared" si="41"/>
        <v>41.948979591836732</v>
      </c>
      <c r="M541" s="25" t="str">
        <f t="shared" si="42"/>
        <v>HOLD</v>
      </c>
    </row>
    <row r="542" spans="2:13">
      <c r="B542" s="3">
        <v>42838</v>
      </c>
      <c r="C542" s="5">
        <v>42.79</v>
      </c>
      <c r="D542" s="5">
        <v>42.87</v>
      </c>
      <c r="E542" s="5">
        <v>43.08</v>
      </c>
      <c r="F542" s="5">
        <v>42.78</v>
      </c>
      <c r="G542" s="18" t="s">
        <v>926</v>
      </c>
      <c r="H542" s="2">
        <v>-3.5000000000000001E-3</v>
      </c>
      <c r="I542" s="16">
        <f t="shared" si="43"/>
        <v>-3.4932463903120303E-3</v>
      </c>
      <c r="J542" s="16">
        <f t="shared" si="44"/>
        <v>0.99650675360968799</v>
      </c>
      <c r="K542" s="16">
        <f t="shared" si="45"/>
        <v>42.464210526315789</v>
      </c>
      <c r="L542" s="16">
        <f t="shared" si="41"/>
        <v>41.983265306122455</v>
      </c>
      <c r="M542" s="25" t="str">
        <f t="shared" si="42"/>
        <v>HOLD</v>
      </c>
    </row>
    <row r="543" spans="2:13">
      <c r="B543" s="3">
        <v>42842</v>
      </c>
      <c r="C543" s="5">
        <v>43.07</v>
      </c>
      <c r="D543" s="5">
        <v>42.79</v>
      </c>
      <c r="E543" s="5">
        <v>43.07</v>
      </c>
      <c r="F543" s="5">
        <v>42.78</v>
      </c>
      <c r="G543" s="18" t="s">
        <v>526</v>
      </c>
      <c r="H543" s="2">
        <v>6.4999999999999997E-3</v>
      </c>
      <c r="I543" s="16">
        <f t="shared" si="43"/>
        <v>6.543584949754642E-3</v>
      </c>
      <c r="J543" s="16">
        <f t="shared" si="44"/>
        <v>1.0065435849497546</v>
      </c>
      <c r="K543" s="16">
        <f t="shared" si="45"/>
        <v>42.504210526315788</v>
      </c>
      <c r="L543" s="16">
        <f t="shared" si="41"/>
        <v>42.011632653061227</v>
      </c>
      <c r="M543" s="25" t="str">
        <f t="shared" si="42"/>
        <v>HOLD</v>
      </c>
    </row>
    <row r="544" spans="2:13">
      <c r="B544" s="3">
        <v>42843</v>
      </c>
      <c r="C544" s="5">
        <v>43.48</v>
      </c>
      <c r="D544" s="5">
        <v>43.11</v>
      </c>
      <c r="E544" s="5">
        <v>43.59</v>
      </c>
      <c r="F544" s="5">
        <v>43.09</v>
      </c>
      <c r="G544" s="18" t="s">
        <v>21</v>
      </c>
      <c r="H544" s="2">
        <v>9.4999999999999998E-3</v>
      </c>
      <c r="I544" s="16">
        <f t="shared" si="43"/>
        <v>9.5193870443463328E-3</v>
      </c>
      <c r="J544" s="16">
        <f t="shared" si="44"/>
        <v>1.0095193870443464</v>
      </c>
      <c r="K544" s="16">
        <f t="shared" si="45"/>
        <v>42.551052631578941</v>
      </c>
      <c r="L544" s="16">
        <f t="shared" si="41"/>
        <v>42.042857142857152</v>
      </c>
      <c r="M544" s="25" t="str">
        <f t="shared" si="42"/>
        <v>HOLD</v>
      </c>
    </row>
    <row r="545" spans="2:13">
      <c r="B545" s="3">
        <v>42844</v>
      </c>
      <c r="C545" s="5">
        <v>43.23</v>
      </c>
      <c r="D545" s="5">
        <v>43.74</v>
      </c>
      <c r="E545" s="5">
        <v>43.79</v>
      </c>
      <c r="F545" s="5">
        <v>43.19</v>
      </c>
      <c r="G545" s="18" t="s">
        <v>291</v>
      </c>
      <c r="H545" s="2">
        <v>-5.7000000000000002E-3</v>
      </c>
      <c r="I545" s="16">
        <f t="shared" si="43"/>
        <v>-5.7497700091996328E-3</v>
      </c>
      <c r="J545" s="16">
        <f t="shared" si="44"/>
        <v>0.99425022999080037</v>
      </c>
      <c r="K545" s="16">
        <f t="shared" si="45"/>
        <v>42.602631578947367</v>
      </c>
      <c r="L545" s="16">
        <f t="shared" si="41"/>
        <v>42.082040816326533</v>
      </c>
      <c r="M545" s="25" t="str">
        <f t="shared" si="42"/>
        <v>HOLD</v>
      </c>
    </row>
    <row r="546" spans="2:13">
      <c r="B546" s="3">
        <v>42845</v>
      </c>
      <c r="C546" s="5">
        <v>43.09</v>
      </c>
      <c r="D546" s="5">
        <v>43.2</v>
      </c>
      <c r="E546" s="5">
        <v>43.3</v>
      </c>
      <c r="F546" s="5">
        <v>43.05</v>
      </c>
      <c r="G546" s="18" t="s">
        <v>528</v>
      </c>
      <c r="H546" s="2">
        <v>-3.2000000000000002E-3</v>
      </c>
      <c r="I546" s="16">
        <f t="shared" si="43"/>
        <v>-3.2384917881099575E-3</v>
      </c>
      <c r="J546" s="16">
        <f t="shared" si="44"/>
        <v>0.99676150821189002</v>
      </c>
      <c r="K546" s="16">
        <f t="shared" si="45"/>
        <v>42.647368421052633</v>
      </c>
      <c r="L546" s="16">
        <f t="shared" si="41"/>
        <v>42.109183673469389</v>
      </c>
      <c r="M546" s="25" t="str">
        <f t="shared" si="42"/>
        <v>HOLD</v>
      </c>
    </row>
    <row r="547" spans="2:13">
      <c r="B547" s="3">
        <v>42846</v>
      </c>
      <c r="C547" s="5">
        <v>43.07</v>
      </c>
      <c r="D547" s="5">
        <v>42.98</v>
      </c>
      <c r="E547" s="5">
        <v>43.1</v>
      </c>
      <c r="F547" s="5">
        <v>42.89</v>
      </c>
      <c r="G547" s="18" t="s">
        <v>832</v>
      </c>
      <c r="H547" s="2">
        <v>-5.0000000000000001E-4</v>
      </c>
      <c r="I547" s="16">
        <f t="shared" si="43"/>
        <v>-4.6414481318178519E-4</v>
      </c>
      <c r="J547" s="16">
        <f t="shared" si="44"/>
        <v>0.9995358551868182</v>
      </c>
      <c r="K547" s="16">
        <f t="shared" si="45"/>
        <v>42.695789473684215</v>
      </c>
      <c r="L547" s="16">
        <f t="shared" si="41"/>
        <v>42.131020408163273</v>
      </c>
      <c r="M547" s="25" t="str">
        <f t="shared" si="42"/>
        <v>HOLD</v>
      </c>
    </row>
    <row r="548" spans="2:13">
      <c r="B548" s="3">
        <v>42849</v>
      </c>
      <c r="C548" s="5">
        <v>43.28</v>
      </c>
      <c r="D548" s="5">
        <v>43.24</v>
      </c>
      <c r="E548" s="5">
        <v>43.43</v>
      </c>
      <c r="F548" s="5">
        <v>43.15</v>
      </c>
      <c r="G548" s="18" t="s">
        <v>307</v>
      </c>
      <c r="H548" s="2">
        <v>4.8999999999999998E-3</v>
      </c>
      <c r="I548" s="16">
        <f t="shared" si="43"/>
        <v>4.8757836080798901E-3</v>
      </c>
      <c r="J548" s="16">
        <f t="shared" si="44"/>
        <v>1.0048757836080799</v>
      </c>
      <c r="K548" s="16">
        <f t="shared" si="45"/>
        <v>42.745789473684219</v>
      </c>
      <c r="L548" s="16">
        <f t="shared" si="41"/>
        <v>42.168163265306127</v>
      </c>
      <c r="M548" s="25" t="str">
        <f t="shared" si="42"/>
        <v>HOLD</v>
      </c>
    </row>
    <row r="549" spans="2:13">
      <c r="B549" s="3">
        <v>42850</v>
      </c>
      <c r="C549" s="5">
        <v>43.11</v>
      </c>
      <c r="D549" s="5">
        <v>42.85</v>
      </c>
      <c r="E549" s="5">
        <v>43.43</v>
      </c>
      <c r="F549" s="5">
        <v>42.82</v>
      </c>
      <c r="G549" s="18" t="s">
        <v>1162</v>
      </c>
      <c r="H549" s="2">
        <v>-3.8999999999999998E-3</v>
      </c>
      <c r="I549" s="16">
        <f t="shared" si="43"/>
        <v>-3.9279112754159358E-3</v>
      </c>
      <c r="J549" s="16">
        <f t="shared" si="44"/>
        <v>0.99607208872458408</v>
      </c>
      <c r="K549" s="16">
        <f t="shared" si="45"/>
        <v>42.796315789473695</v>
      </c>
      <c r="L549" s="16">
        <f t="shared" si="41"/>
        <v>42.22326530612245</v>
      </c>
      <c r="M549" s="25" t="str">
        <f t="shared" si="42"/>
        <v>HOLD</v>
      </c>
    </row>
    <row r="550" spans="2:13">
      <c r="B550" s="3">
        <v>42851</v>
      </c>
      <c r="C550" s="5">
        <v>43.24</v>
      </c>
      <c r="D550" s="5">
        <v>43.06</v>
      </c>
      <c r="E550" s="5">
        <v>43.43</v>
      </c>
      <c r="F550" s="5">
        <v>42.98</v>
      </c>
      <c r="G550" s="18" t="s">
        <v>305</v>
      </c>
      <c r="H550" s="2">
        <v>3.0000000000000001E-3</v>
      </c>
      <c r="I550" s="16">
        <f t="shared" si="43"/>
        <v>3.0155416376711334E-3</v>
      </c>
      <c r="J550" s="16">
        <f t="shared" si="44"/>
        <v>1.0030155416376711</v>
      </c>
      <c r="K550" s="16">
        <f t="shared" si="45"/>
        <v>42.832105263157906</v>
      </c>
      <c r="L550" s="16">
        <f t="shared" si="41"/>
        <v>42.274081632653058</v>
      </c>
      <c r="M550" s="25" t="str">
        <f t="shared" si="42"/>
        <v>HOLD</v>
      </c>
    </row>
    <row r="551" spans="2:13">
      <c r="B551" s="3">
        <v>42852</v>
      </c>
      <c r="C551" s="5">
        <v>43.01</v>
      </c>
      <c r="D551" s="5">
        <v>43.17</v>
      </c>
      <c r="E551" s="5">
        <v>43.28</v>
      </c>
      <c r="F551" s="5">
        <v>42.92</v>
      </c>
      <c r="G551" s="18" t="s">
        <v>1161</v>
      </c>
      <c r="H551" s="2">
        <v>-5.3E-3</v>
      </c>
      <c r="I551" s="16">
        <f t="shared" si="43"/>
        <v>-5.3191489361703046E-3</v>
      </c>
      <c r="J551" s="16">
        <f t="shared" si="44"/>
        <v>0.99468085106382964</v>
      </c>
      <c r="K551" s="16">
        <f t="shared" si="45"/>
        <v>42.87526315789475</v>
      </c>
      <c r="L551" s="16">
        <f t="shared" si="41"/>
        <v>42.32938775510204</v>
      </c>
      <c r="M551" s="25" t="str">
        <f t="shared" si="42"/>
        <v>HOLD</v>
      </c>
    </row>
    <row r="552" spans="2:13">
      <c r="B552" s="3">
        <v>42853</v>
      </c>
      <c r="C552" s="5">
        <v>43.15</v>
      </c>
      <c r="D552" s="5">
        <v>42.96</v>
      </c>
      <c r="E552" s="5">
        <v>43.2</v>
      </c>
      <c r="F552" s="5">
        <v>42.85</v>
      </c>
      <c r="G552" s="18" t="s">
        <v>238</v>
      </c>
      <c r="H552" s="2">
        <v>3.3E-3</v>
      </c>
      <c r="I552" s="16">
        <f t="shared" si="43"/>
        <v>3.2550569634968744E-3</v>
      </c>
      <c r="J552" s="16">
        <f t="shared" si="44"/>
        <v>1.0032550569634968</v>
      </c>
      <c r="K552" s="16">
        <f t="shared" si="45"/>
        <v>42.896842105263161</v>
      </c>
      <c r="L552" s="16">
        <f t="shared" si="41"/>
        <v>42.381836734693877</v>
      </c>
      <c r="M552" s="25" t="str">
        <f t="shared" si="42"/>
        <v>HOLD</v>
      </c>
    </row>
    <row r="553" spans="2:13">
      <c r="B553" s="3">
        <v>42856</v>
      </c>
      <c r="C553" s="5">
        <v>43.22</v>
      </c>
      <c r="D553" s="5">
        <v>43.15</v>
      </c>
      <c r="E553" s="5">
        <v>43.5</v>
      </c>
      <c r="F553" s="5">
        <v>43.1</v>
      </c>
      <c r="G553" s="18" t="s">
        <v>169</v>
      </c>
      <c r="H553" s="2">
        <v>1.6000000000000001E-3</v>
      </c>
      <c r="I553" s="16">
        <f t="shared" si="43"/>
        <v>1.6222479721900414E-3</v>
      </c>
      <c r="J553" s="16">
        <f t="shared" si="44"/>
        <v>1.0016222479721901</v>
      </c>
      <c r="K553" s="16">
        <f t="shared" si="45"/>
        <v>42.934210526315788</v>
      </c>
      <c r="L553" s="16">
        <f t="shared" si="41"/>
        <v>42.421632653061224</v>
      </c>
      <c r="M553" s="25" t="str">
        <f t="shared" si="42"/>
        <v>HOLD</v>
      </c>
    </row>
    <row r="554" spans="2:13">
      <c r="B554" s="3">
        <v>42857</v>
      </c>
      <c r="C554" s="5">
        <v>43.39</v>
      </c>
      <c r="D554" s="5">
        <v>43.22</v>
      </c>
      <c r="E554" s="5">
        <v>43.44</v>
      </c>
      <c r="F554" s="5">
        <v>43.16</v>
      </c>
      <c r="G554" s="18" t="s">
        <v>491</v>
      </c>
      <c r="H554" s="2">
        <v>3.8999999999999998E-3</v>
      </c>
      <c r="I554" s="16">
        <f t="shared" si="43"/>
        <v>3.9333641832485352E-3</v>
      </c>
      <c r="J554" s="16">
        <f t="shared" si="44"/>
        <v>1.0039333641832486</v>
      </c>
      <c r="K554" s="16">
        <f t="shared" si="45"/>
        <v>42.97684210526316</v>
      </c>
      <c r="L554" s="16">
        <f t="shared" si="41"/>
        <v>42.462244897959188</v>
      </c>
      <c r="M554" s="25" t="str">
        <f t="shared" si="42"/>
        <v>HOLD</v>
      </c>
    </row>
    <row r="555" spans="2:13">
      <c r="B555" s="3">
        <v>42858</v>
      </c>
      <c r="C555" s="5">
        <v>43.32</v>
      </c>
      <c r="D555" s="5">
        <v>43.33</v>
      </c>
      <c r="E555" s="5">
        <v>43.48</v>
      </c>
      <c r="F555" s="5">
        <v>43.15</v>
      </c>
      <c r="G555" s="18" t="s">
        <v>1161</v>
      </c>
      <c r="H555" s="2">
        <v>-1.6000000000000001E-3</v>
      </c>
      <c r="I555" s="16">
        <f t="shared" si="43"/>
        <v>-1.6132749481447403E-3</v>
      </c>
      <c r="J555" s="16">
        <f t="shared" si="44"/>
        <v>0.99838672505185522</v>
      </c>
      <c r="K555" s="16">
        <f t="shared" si="45"/>
        <v>43.014210526315793</v>
      </c>
      <c r="L555" s="16">
        <f t="shared" si="41"/>
        <v>42.501632653061222</v>
      </c>
      <c r="M555" s="25" t="str">
        <f t="shared" si="42"/>
        <v>HOLD</v>
      </c>
    </row>
    <row r="556" spans="2:13">
      <c r="B556" s="3">
        <v>42859</v>
      </c>
      <c r="C556" s="5">
        <v>43.66</v>
      </c>
      <c r="D556" s="5">
        <v>43.42</v>
      </c>
      <c r="E556" s="5">
        <v>43.81</v>
      </c>
      <c r="F556" s="5">
        <v>43.4</v>
      </c>
      <c r="G556" s="18" t="s">
        <v>783</v>
      </c>
      <c r="H556" s="2">
        <v>7.7999999999999996E-3</v>
      </c>
      <c r="I556" s="16">
        <f t="shared" si="43"/>
        <v>7.8485687903969599E-3</v>
      </c>
      <c r="J556" s="16">
        <f t="shared" si="44"/>
        <v>1.0078485687903969</v>
      </c>
      <c r="K556" s="16">
        <f t="shared" si="45"/>
        <v>43.05368421052632</v>
      </c>
      <c r="L556" s="16">
        <f t="shared" si="41"/>
        <v>42.536734693877555</v>
      </c>
      <c r="M556" s="25" t="str">
        <f t="shared" si="42"/>
        <v>HOLD</v>
      </c>
    </row>
    <row r="557" spans="2:13">
      <c r="B557" s="3">
        <v>42860</v>
      </c>
      <c r="C557" s="5">
        <v>43.69</v>
      </c>
      <c r="D557" s="5">
        <v>43.79</v>
      </c>
      <c r="E557" s="5">
        <v>43.84</v>
      </c>
      <c r="F557" s="5">
        <v>43.56</v>
      </c>
      <c r="G557" s="18" t="s">
        <v>954</v>
      </c>
      <c r="H557" s="2">
        <v>6.9999999999999999E-4</v>
      </c>
      <c r="I557" s="16">
        <f t="shared" si="43"/>
        <v>6.8712780577189967E-4</v>
      </c>
      <c r="J557" s="16">
        <f t="shared" si="44"/>
        <v>1.0006871278057718</v>
      </c>
      <c r="K557" s="16">
        <f t="shared" si="45"/>
        <v>43.105789473684219</v>
      </c>
      <c r="L557" s="16">
        <f t="shared" si="41"/>
        <v>42.577551020408166</v>
      </c>
      <c r="M557" s="25" t="str">
        <f t="shared" si="42"/>
        <v>HOLD</v>
      </c>
    </row>
    <row r="558" spans="2:13">
      <c r="B558" s="3">
        <v>42863</v>
      </c>
      <c r="C558" s="5">
        <v>43.89</v>
      </c>
      <c r="D558" s="5">
        <v>43.59</v>
      </c>
      <c r="E558" s="5">
        <v>43.91</v>
      </c>
      <c r="F558" s="5">
        <v>43.54</v>
      </c>
      <c r="G558" s="18" t="s">
        <v>431</v>
      </c>
      <c r="H558" s="2">
        <v>4.5999999999999999E-3</v>
      </c>
      <c r="I558" s="16">
        <f t="shared" si="43"/>
        <v>4.5777065690089918E-3</v>
      </c>
      <c r="J558" s="16">
        <f t="shared" si="44"/>
        <v>1.0045777065690089</v>
      </c>
      <c r="K558" s="16">
        <f t="shared" si="45"/>
        <v>43.162631578947376</v>
      </c>
      <c r="L558" s="16">
        <f t="shared" si="41"/>
        <v>42.616530612244901</v>
      </c>
      <c r="M558" s="25" t="str">
        <f t="shared" si="42"/>
        <v>HOLD</v>
      </c>
    </row>
    <row r="559" spans="2:13">
      <c r="B559" s="3">
        <v>42864</v>
      </c>
      <c r="C559" s="5">
        <v>43.51</v>
      </c>
      <c r="D559" s="5">
        <v>43.89</v>
      </c>
      <c r="E559" s="5">
        <v>43.89</v>
      </c>
      <c r="F559" s="5">
        <v>43.38</v>
      </c>
      <c r="G559" s="18" t="s">
        <v>970</v>
      </c>
      <c r="H559" s="2">
        <v>-8.6999999999999994E-3</v>
      </c>
      <c r="I559" s="16">
        <f t="shared" si="43"/>
        <v>-8.658008658008717E-3</v>
      </c>
      <c r="J559" s="16">
        <f t="shared" si="44"/>
        <v>0.9913419913419913</v>
      </c>
      <c r="K559" s="16">
        <f t="shared" si="45"/>
        <v>43.225789473684216</v>
      </c>
      <c r="L559" s="16">
        <f t="shared" si="41"/>
        <v>42.661836734693885</v>
      </c>
      <c r="M559" s="25" t="str">
        <f t="shared" si="42"/>
        <v>HOLD</v>
      </c>
    </row>
    <row r="560" spans="2:13">
      <c r="B560" s="3">
        <v>42865</v>
      </c>
      <c r="C560" s="5">
        <v>43.57</v>
      </c>
      <c r="D560" s="5">
        <v>43.48</v>
      </c>
      <c r="E560" s="5">
        <v>43.62</v>
      </c>
      <c r="F560" s="5">
        <v>43.36</v>
      </c>
      <c r="G560" s="18" t="s">
        <v>891</v>
      </c>
      <c r="H560" s="2">
        <v>1.4E-3</v>
      </c>
      <c r="I560" s="16">
        <f t="shared" si="43"/>
        <v>1.3789933348656005E-3</v>
      </c>
      <c r="J560" s="16">
        <f t="shared" si="44"/>
        <v>1.0013789933348656</v>
      </c>
      <c r="K560" s="16">
        <f t="shared" si="45"/>
        <v>43.270526315789475</v>
      </c>
      <c r="L560" s="16">
        <f t="shared" si="41"/>
        <v>42.693469387755101</v>
      </c>
      <c r="M560" s="25" t="str">
        <f t="shared" si="42"/>
        <v>HOLD</v>
      </c>
    </row>
    <row r="561" spans="2:13">
      <c r="B561" s="3">
        <v>42866</v>
      </c>
      <c r="C561" s="5">
        <v>43.67</v>
      </c>
      <c r="D561" s="5">
        <v>43.49</v>
      </c>
      <c r="E561" s="5">
        <v>43.68</v>
      </c>
      <c r="F561" s="5">
        <v>43.43</v>
      </c>
      <c r="G561" s="18" t="s">
        <v>1160</v>
      </c>
      <c r="H561" s="2">
        <v>2.3E-3</v>
      </c>
      <c r="I561" s="16">
        <f t="shared" si="43"/>
        <v>2.295157218269484E-3</v>
      </c>
      <c r="J561" s="16">
        <f t="shared" si="44"/>
        <v>1.0022951572182695</v>
      </c>
      <c r="K561" s="16">
        <f t="shared" si="45"/>
        <v>43.303684210526313</v>
      </c>
      <c r="L561" s="16">
        <f t="shared" si="41"/>
        <v>42.722244897959193</v>
      </c>
      <c r="M561" s="25" t="str">
        <f t="shared" si="42"/>
        <v>HOLD</v>
      </c>
    </row>
    <row r="562" spans="2:13">
      <c r="B562" s="3">
        <v>42867</v>
      </c>
      <c r="C562" s="5">
        <v>43.59</v>
      </c>
      <c r="D562" s="5">
        <v>43.64</v>
      </c>
      <c r="E562" s="5">
        <v>43.68</v>
      </c>
      <c r="F562" s="5">
        <v>43.45</v>
      </c>
      <c r="G562" s="18" t="s">
        <v>1159</v>
      </c>
      <c r="H562" s="2">
        <v>-1.8E-3</v>
      </c>
      <c r="I562" s="16">
        <f t="shared" si="43"/>
        <v>-1.8319212273871833E-3</v>
      </c>
      <c r="J562" s="16">
        <f t="shared" si="44"/>
        <v>0.99816807877261282</v>
      </c>
      <c r="K562" s="16">
        <f t="shared" si="45"/>
        <v>43.35</v>
      </c>
      <c r="L562" s="16">
        <f t="shared" si="41"/>
        <v>42.746734693877556</v>
      </c>
      <c r="M562" s="25" t="str">
        <f t="shared" si="42"/>
        <v>HOLD</v>
      </c>
    </row>
    <row r="563" spans="2:13">
      <c r="B563" s="3">
        <v>42870</v>
      </c>
      <c r="C563" s="5">
        <v>43.73</v>
      </c>
      <c r="D563" s="5">
        <v>43.46</v>
      </c>
      <c r="E563" s="5">
        <v>43.76</v>
      </c>
      <c r="F563" s="5">
        <v>43.46</v>
      </c>
      <c r="G563" s="18" t="s">
        <v>166</v>
      </c>
      <c r="H563" s="2">
        <v>3.2000000000000002E-3</v>
      </c>
      <c r="I563" s="16">
        <f t="shared" si="43"/>
        <v>3.2117458132597718E-3</v>
      </c>
      <c r="J563" s="16">
        <f t="shared" si="44"/>
        <v>1.0032117458132597</v>
      </c>
      <c r="K563" s="16">
        <f t="shared" si="45"/>
        <v>43.377368421052637</v>
      </c>
      <c r="L563" s="16">
        <f t="shared" si="41"/>
        <v>42.769387755102045</v>
      </c>
      <c r="M563" s="25" t="str">
        <f t="shared" si="42"/>
        <v>HOLD</v>
      </c>
    </row>
    <row r="564" spans="2:13">
      <c r="B564" s="3">
        <v>42871</v>
      </c>
      <c r="C564" s="5">
        <v>43.85</v>
      </c>
      <c r="D564" s="5">
        <v>43.87</v>
      </c>
      <c r="E564" s="5">
        <v>44.11</v>
      </c>
      <c r="F564" s="5">
        <v>43.77</v>
      </c>
      <c r="G564" s="18" t="s">
        <v>299</v>
      </c>
      <c r="H564" s="2">
        <v>2.7000000000000001E-3</v>
      </c>
      <c r="I564" s="16">
        <f t="shared" si="43"/>
        <v>2.7441115938715882E-3</v>
      </c>
      <c r="J564" s="16">
        <f t="shared" si="44"/>
        <v>1.0027441115938716</v>
      </c>
      <c r="K564" s="16">
        <f t="shared" si="45"/>
        <v>43.390526315789479</v>
      </c>
      <c r="L564" s="16">
        <f t="shared" si="41"/>
        <v>42.801020408163268</v>
      </c>
      <c r="M564" s="25" t="str">
        <f t="shared" si="42"/>
        <v>HOLD</v>
      </c>
    </row>
    <row r="565" spans="2:13">
      <c r="B565" s="3">
        <v>42872</v>
      </c>
      <c r="C565" s="5">
        <v>43.93</v>
      </c>
      <c r="D565" s="5">
        <v>43.81</v>
      </c>
      <c r="E565" s="5">
        <v>44.16</v>
      </c>
      <c r="F565" s="5">
        <v>43.71</v>
      </c>
      <c r="G565" s="18" t="s">
        <v>1158</v>
      </c>
      <c r="H565" s="2">
        <v>1.8E-3</v>
      </c>
      <c r="I565" s="16">
        <f t="shared" si="43"/>
        <v>1.8244013683009874E-3</v>
      </c>
      <c r="J565" s="16">
        <f t="shared" si="44"/>
        <v>1.0018244013683011</v>
      </c>
      <c r="K565" s="16">
        <f t="shared" si="45"/>
        <v>43.423157894736846</v>
      </c>
      <c r="L565" s="16">
        <f t="shared" si="41"/>
        <v>42.838979591836726</v>
      </c>
      <c r="M565" s="25" t="str">
        <f t="shared" si="42"/>
        <v>HOLD</v>
      </c>
    </row>
    <row r="566" spans="2:13">
      <c r="B566" s="3">
        <v>42873</v>
      </c>
      <c r="C566" s="5">
        <v>43.8</v>
      </c>
      <c r="D566" s="5">
        <v>43.87</v>
      </c>
      <c r="E566" s="5">
        <v>43.96</v>
      </c>
      <c r="F566" s="5">
        <v>43.64</v>
      </c>
      <c r="G566" s="18" t="s">
        <v>832</v>
      </c>
      <c r="H566" s="2">
        <v>-3.0000000000000001E-3</v>
      </c>
      <c r="I566" s="16">
        <f t="shared" si="43"/>
        <v>-2.9592533576144448E-3</v>
      </c>
      <c r="J566" s="16">
        <f t="shared" si="44"/>
        <v>0.99704074664238551</v>
      </c>
      <c r="K566" s="16">
        <f t="shared" si="45"/>
        <v>43.467368421052633</v>
      </c>
      <c r="L566" s="16">
        <f t="shared" si="41"/>
        <v>42.878571428571426</v>
      </c>
      <c r="M566" s="25" t="str">
        <f t="shared" si="42"/>
        <v>HOLD</v>
      </c>
    </row>
    <row r="567" spans="2:13">
      <c r="B567" s="3">
        <v>42874</v>
      </c>
      <c r="C567" s="5">
        <v>43.9</v>
      </c>
      <c r="D567" s="5">
        <v>43.85</v>
      </c>
      <c r="E567" s="5">
        <v>44</v>
      </c>
      <c r="F567" s="5">
        <v>43.76</v>
      </c>
      <c r="G567" s="18" t="s">
        <v>525</v>
      </c>
      <c r="H567" s="2">
        <v>2.3E-3</v>
      </c>
      <c r="I567" s="16">
        <f t="shared" si="43"/>
        <v>2.2831050228310826E-3</v>
      </c>
      <c r="J567" s="16">
        <f t="shared" si="44"/>
        <v>1.0022831050228311</v>
      </c>
      <c r="K567" s="16">
        <f t="shared" si="45"/>
        <v>43.50578947368421</v>
      </c>
      <c r="L567" s="16">
        <f t="shared" si="41"/>
        <v>42.914693877551016</v>
      </c>
      <c r="M567" s="25" t="str">
        <f t="shared" si="42"/>
        <v>HOLD</v>
      </c>
    </row>
    <row r="568" spans="2:13">
      <c r="B568" s="3">
        <v>42877</v>
      </c>
      <c r="C568" s="5">
        <v>44.18</v>
      </c>
      <c r="D568" s="5">
        <v>43.89</v>
      </c>
      <c r="E568" s="5">
        <v>44.22</v>
      </c>
      <c r="F568" s="5">
        <v>43.81</v>
      </c>
      <c r="G568" s="18" t="s">
        <v>374</v>
      </c>
      <c r="H568" s="2">
        <v>6.4000000000000003E-3</v>
      </c>
      <c r="I568" s="16">
        <f t="shared" si="43"/>
        <v>6.3781321184510509E-3</v>
      </c>
      <c r="J568" s="16">
        <f t="shared" si="44"/>
        <v>1.0063781321184511</v>
      </c>
      <c r="K568" s="16">
        <f t="shared" si="45"/>
        <v>43.538421052631577</v>
      </c>
      <c r="L568" s="16">
        <f t="shared" si="41"/>
        <v>42.947551020408163</v>
      </c>
      <c r="M568" s="25" t="str">
        <f t="shared" si="42"/>
        <v>HOLD</v>
      </c>
    </row>
    <row r="569" spans="2:13">
      <c r="B569" s="3">
        <v>42878</v>
      </c>
      <c r="C569" s="5">
        <v>44.39</v>
      </c>
      <c r="D569" s="5">
        <v>44.25</v>
      </c>
      <c r="E569" s="5">
        <v>44.6</v>
      </c>
      <c r="F569" s="5">
        <v>44.21</v>
      </c>
      <c r="G569" s="18" t="s">
        <v>327</v>
      </c>
      <c r="H569" s="2">
        <v>4.7999999999999996E-3</v>
      </c>
      <c r="I569" s="16">
        <f t="shared" si="43"/>
        <v>4.7532820280670176E-3</v>
      </c>
      <c r="J569" s="16">
        <f t="shared" si="44"/>
        <v>1.0047532820280669</v>
      </c>
      <c r="K569" s="16">
        <f t="shared" si="45"/>
        <v>43.594736842105256</v>
      </c>
      <c r="L569" s="16">
        <f t="shared" ref="L569:L632" si="46">AVERAGE(C520:C568)</f>
        <v>42.991428571428564</v>
      </c>
      <c r="M569" s="25" t="str">
        <f t="shared" ref="M569:M632" si="47">IF(AND(K569&gt;L569,K568&lt;=L568),"BUY",IF(AND(K569&lt;L569,K568&gt;=L568),"SELL","HOLD"))</f>
        <v>HOLD</v>
      </c>
    </row>
    <row r="570" spans="2:13">
      <c r="B570" s="3">
        <v>42879</v>
      </c>
      <c r="C570" s="5">
        <v>45.03</v>
      </c>
      <c r="D570" s="5">
        <v>44.51</v>
      </c>
      <c r="E570" s="5">
        <v>45.09</v>
      </c>
      <c r="F570" s="5">
        <v>44.51</v>
      </c>
      <c r="G570" s="18" t="s">
        <v>248</v>
      </c>
      <c r="H570" s="2">
        <v>1.44E-2</v>
      </c>
      <c r="I570" s="16">
        <f t="shared" si="43"/>
        <v>1.4417661635503504E-2</v>
      </c>
      <c r="J570" s="16">
        <f t="shared" si="44"/>
        <v>1.0144176616355034</v>
      </c>
      <c r="K570" s="16">
        <f t="shared" si="45"/>
        <v>43.65526315789473</v>
      </c>
      <c r="L570" s="16">
        <f t="shared" si="46"/>
        <v>43.040816326530603</v>
      </c>
      <c r="M570" s="25" t="str">
        <f t="shared" si="47"/>
        <v>HOLD</v>
      </c>
    </row>
    <row r="571" spans="2:13">
      <c r="B571" s="3">
        <v>42880</v>
      </c>
      <c r="C571" s="5">
        <v>45.41</v>
      </c>
      <c r="D571" s="5">
        <v>45</v>
      </c>
      <c r="E571" s="5">
        <v>45.48</v>
      </c>
      <c r="F571" s="5">
        <v>44.97</v>
      </c>
      <c r="G571" s="18" t="s">
        <v>307</v>
      </c>
      <c r="H571" s="2">
        <v>8.3999999999999995E-3</v>
      </c>
      <c r="I571" s="16">
        <f t="shared" si="43"/>
        <v>8.4388185654007426E-3</v>
      </c>
      <c r="J571" s="16">
        <f t="shared" si="44"/>
        <v>1.0084388185654007</v>
      </c>
      <c r="K571" s="16">
        <f t="shared" si="45"/>
        <v>43.761578947368413</v>
      </c>
      <c r="L571" s="16">
        <f t="shared" si="46"/>
        <v>43.100204081632661</v>
      </c>
      <c r="M571" s="25" t="str">
        <f t="shared" si="47"/>
        <v>HOLD</v>
      </c>
    </row>
    <row r="572" spans="2:13">
      <c r="B572" s="3">
        <v>42881</v>
      </c>
      <c r="C572" s="5">
        <v>45.39</v>
      </c>
      <c r="D572" s="5">
        <v>45.35</v>
      </c>
      <c r="E572" s="5">
        <v>45.56</v>
      </c>
      <c r="F572" s="5">
        <v>45.33</v>
      </c>
      <c r="G572" s="18" t="s">
        <v>1015</v>
      </c>
      <c r="H572" s="2">
        <v>-4.0000000000000002E-4</v>
      </c>
      <c r="I572" s="16">
        <f t="shared" si="43"/>
        <v>-4.4043162299044311E-4</v>
      </c>
      <c r="J572" s="16">
        <f t="shared" si="44"/>
        <v>0.99955956837700954</v>
      </c>
      <c r="K572" s="16">
        <f t="shared" si="45"/>
        <v>43.88052631578946</v>
      </c>
      <c r="L572" s="16">
        <f t="shared" si="46"/>
        <v>43.164693877551024</v>
      </c>
      <c r="M572" s="25" t="str">
        <f t="shared" si="47"/>
        <v>HOLD</v>
      </c>
    </row>
    <row r="573" spans="2:13">
      <c r="B573" s="3">
        <v>42885</v>
      </c>
      <c r="C573" s="5">
        <v>45.43</v>
      </c>
      <c r="D573" s="5">
        <v>45.16</v>
      </c>
      <c r="E573" s="5">
        <v>45.46</v>
      </c>
      <c r="F573" s="5">
        <v>45.11</v>
      </c>
      <c r="G573" s="18" t="s">
        <v>302</v>
      </c>
      <c r="H573" s="2">
        <v>8.9999999999999998E-4</v>
      </c>
      <c r="I573" s="16">
        <f t="shared" si="43"/>
        <v>8.8125137695525769E-4</v>
      </c>
      <c r="J573" s="16">
        <f t="shared" si="44"/>
        <v>1.0008812513769552</v>
      </c>
      <c r="K573" s="16">
        <f t="shared" si="45"/>
        <v>43.994736842105247</v>
      </c>
      <c r="L573" s="16">
        <f t="shared" si="46"/>
        <v>43.233265306122455</v>
      </c>
      <c r="M573" s="25" t="str">
        <f t="shared" si="47"/>
        <v>HOLD</v>
      </c>
    </row>
    <row r="574" spans="2:13">
      <c r="B574" s="3">
        <v>42886</v>
      </c>
      <c r="C574" s="5">
        <v>45.47</v>
      </c>
      <c r="D574" s="5">
        <v>45.43</v>
      </c>
      <c r="E574" s="5">
        <v>45.7</v>
      </c>
      <c r="F574" s="5">
        <v>45.37</v>
      </c>
      <c r="G574" s="18" t="s">
        <v>717</v>
      </c>
      <c r="H574" s="2">
        <v>8.9999999999999998E-4</v>
      </c>
      <c r="I574" s="16">
        <f t="shared" si="43"/>
        <v>8.8047545674662438E-4</v>
      </c>
      <c r="J574" s="16">
        <f t="shared" si="44"/>
        <v>1.0008804754567466</v>
      </c>
      <c r="K574" s="16">
        <f t="shared" si="45"/>
        <v>44.102105263157888</v>
      </c>
      <c r="L574" s="16">
        <f t="shared" si="46"/>
        <v>43.299591836734699</v>
      </c>
      <c r="M574" s="25" t="str">
        <f t="shared" si="47"/>
        <v>HOLD</v>
      </c>
    </row>
    <row r="575" spans="2:13">
      <c r="B575" s="3">
        <v>42887</v>
      </c>
      <c r="C575" s="5">
        <v>45.79</v>
      </c>
      <c r="D575" s="5">
        <v>45.45</v>
      </c>
      <c r="E575" s="5">
        <v>45.79</v>
      </c>
      <c r="F575" s="5">
        <v>45.23</v>
      </c>
      <c r="G575" s="18" t="s">
        <v>1157</v>
      </c>
      <c r="H575" s="2">
        <v>7.0000000000000001E-3</v>
      </c>
      <c r="I575" s="16">
        <f t="shared" si="43"/>
        <v>7.0376072135474007E-3</v>
      </c>
      <c r="J575" s="16">
        <f t="shared" si="44"/>
        <v>1.0070376072135474</v>
      </c>
      <c r="K575" s="16">
        <f t="shared" si="45"/>
        <v>44.215263157894732</v>
      </c>
      <c r="L575" s="16">
        <f t="shared" si="46"/>
        <v>43.360204081632666</v>
      </c>
      <c r="M575" s="25" t="str">
        <f t="shared" si="47"/>
        <v>HOLD</v>
      </c>
    </row>
    <row r="576" spans="2:13">
      <c r="B576" s="3">
        <v>42888</v>
      </c>
      <c r="C576" s="5">
        <v>45.89</v>
      </c>
      <c r="D576" s="5">
        <v>45.83</v>
      </c>
      <c r="E576" s="5">
        <v>45.89</v>
      </c>
      <c r="F576" s="5">
        <v>45.6</v>
      </c>
      <c r="G576" s="18" t="s">
        <v>971</v>
      </c>
      <c r="H576" s="2">
        <v>2.2000000000000001E-3</v>
      </c>
      <c r="I576" s="16">
        <f t="shared" si="43"/>
        <v>2.1838829438742395E-3</v>
      </c>
      <c r="J576" s="16">
        <f t="shared" si="44"/>
        <v>1.0021838829438743</v>
      </c>
      <c r="K576" s="16">
        <f t="shared" si="45"/>
        <v>44.327368421052618</v>
      </c>
      <c r="L576" s="16">
        <f t="shared" si="46"/>
        <v>43.429795918367361</v>
      </c>
      <c r="M576" s="25" t="str">
        <f t="shared" si="47"/>
        <v>HOLD</v>
      </c>
    </row>
    <row r="577" spans="2:13">
      <c r="B577" s="3">
        <v>42891</v>
      </c>
      <c r="C577" s="5">
        <v>45.99</v>
      </c>
      <c r="D577" s="5">
        <v>45.78</v>
      </c>
      <c r="E577" s="5">
        <v>45.99</v>
      </c>
      <c r="F577" s="5">
        <v>45.69</v>
      </c>
      <c r="G577" s="18" t="s">
        <v>362</v>
      </c>
      <c r="H577" s="2">
        <v>2.2000000000000001E-3</v>
      </c>
      <c r="I577" s="16">
        <f t="shared" si="43"/>
        <v>2.1791239921551847E-3</v>
      </c>
      <c r="J577" s="16">
        <f t="shared" si="44"/>
        <v>1.0021791239921551</v>
      </c>
      <c r="K577" s="16">
        <f t="shared" si="45"/>
        <v>44.443157894736835</v>
      </c>
      <c r="L577" s="16">
        <f t="shared" si="46"/>
        <v>43.505714285714298</v>
      </c>
      <c r="M577" s="25" t="str">
        <f t="shared" si="47"/>
        <v>HOLD</v>
      </c>
    </row>
    <row r="578" spans="2:13">
      <c r="B578" s="3">
        <v>42892</v>
      </c>
      <c r="C578" s="5">
        <v>45.98</v>
      </c>
      <c r="D578" s="5">
        <v>45.9</v>
      </c>
      <c r="E578" s="5">
        <v>46.06</v>
      </c>
      <c r="F578" s="5">
        <v>45.78</v>
      </c>
      <c r="G578" s="18" t="s">
        <v>135</v>
      </c>
      <c r="H578" s="2">
        <v>-2.0000000000000001E-4</v>
      </c>
      <c r="I578" s="16">
        <f t="shared" si="43"/>
        <v>-2.1743857360306839E-4</v>
      </c>
      <c r="J578" s="16">
        <f t="shared" si="44"/>
        <v>0.99978256142639688</v>
      </c>
      <c r="K578" s="16">
        <f t="shared" si="45"/>
        <v>44.553684210526306</v>
      </c>
      <c r="L578" s="16">
        <f t="shared" si="46"/>
        <v>43.584693877551032</v>
      </c>
      <c r="M578" s="25" t="str">
        <f t="shared" si="47"/>
        <v>HOLD</v>
      </c>
    </row>
    <row r="579" spans="2:13">
      <c r="B579" s="3">
        <v>42893</v>
      </c>
      <c r="C579" s="5">
        <v>45.51</v>
      </c>
      <c r="D579" s="5">
        <v>45.5</v>
      </c>
      <c r="E579" s="5">
        <v>45.7</v>
      </c>
      <c r="F579" s="5">
        <v>45.35</v>
      </c>
      <c r="G579" s="18" t="s">
        <v>250</v>
      </c>
      <c r="H579" s="2">
        <v>-1.0200000000000001E-2</v>
      </c>
      <c r="I579" s="16">
        <f t="shared" si="43"/>
        <v>-1.0221835580687231E-2</v>
      </c>
      <c r="J579" s="16">
        <f t="shared" si="44"/>
        <v>0.98977816441931277</v>
      </c>
      <c r="K579" s="16">
        <f t="shared" si="45"/>
        <v>44.683684210526309</v>
      </c>
      <c r="L579" s="16">
        <f t="shared" si="46"/>
        <v>43.65938775510206</v>
      </c>
      <c r="M579" s="25" t="str">
        <f t="shared" si="47"/>
        <v>HOLD</v>
      </c>
    </row>
    <row r="580" spans="2:13">
      <c r="B580" s="3">
        <v>42894</v>
      </c>
      <c r="C580" s="5">
        <v>45.13</v>
      </c>
      <c r="D580" s="5">
        <v>45.39</v>
      </c>
      <c r="E580" s="5">
        <v>45.51</v>
      </c>
      <c r="F580" s="5">
        <v>45.03</v>
      </c>
      <c r="G580" s="18" t="s">
        <v>508</v>
      </c>
      <c r="H580" s="2">
        <v>-8.3000000000000001E-3</v>
      </c>
      <c r="I580" s="16">
        <f t="shared" si="43"/>
        <v>-8.3498132278619092E-3</v>
      </c>
      <c r="J580" s="16">
        <f t="shared" si="44"/>
        <v>0.99165018677213812</v>
      </c>
      <c r="K580" s="16">
        <f t="shared" si="45"/>
        <v>44.785789473684204</v>
      </c>
      <c r="L580" s="16">
        <f t="shared" si="46"/>
        <v>43.7222448979592</v>
      </c>
      <c r="M580" s="25" t="str">
        <f t="shared" si="47"/>
        <v>HOLD</v>
      </c>
    </row>
    <row r="581" spans="2:13">
      <c r="B581" s="3">
        <v>42895</v>
      </c>
      <c r="C581" s="5">
        <v>45.32</v>
      </c>
      <c r="D581" s="5">
        <v>45.06</v>
      </c>
      <c r="E581" s="5">
        <v>45.35</v>
      </c>
      <c r="F581" s="5">
        <v>44.97</v>
      </c>
      <c r="G581" s="18" t="s">
        <v>352</v>
      </c>
      <c r="H581" s="2">
        <v>4.1999999999999997E-3</v>
      </c>
      <c r="I581" s="16">
        <f t="shared" si="43"/>
        <v>4.2100598271659143E-3</v>
      </c>
      <c r="J581" s="16">
        <f t="shared" si="44"/>
        <v>1.0042100598271659</v>
      </c>
      <c r="K581" s="16">
        <f t="shared" si="45"/>
        <v>44.862631578947365</v>
      </c>
      <c r="L581" s="16">
        <f t="shared" si="46"/>
        <v>43.77755102040819</v>
      </c>
      <c r="M581" s="25" t="str">
        <f t="shared" si="47"/>
        <v>HOLD</v>
      </c>
    </row>
    <row r="582" spans="2:13">
      <c r="B582" s="3">
        <v>42898</v>
      </c>
      <c r="C582" s="5">
        <v>45.33</v>
      </c>
      <c r="D582" s="5">
        <v>45.35</v>
      </c>
      <c r="E582" s="5">
        <v>45.48</v>
      </c>
      <c r="F582" s="5">
        <v>45.15</v>
      </c>
      <c r="G582" s="18" t="s">
        <v>918</v>
      </c>
      <c r="H582" s="2">
        <v>2.0000000000000001E-4</v>
      </c>
      <c r="I582" s="16">
        <f t="shared" si="43"/>
        <v>2.206531332744486E-4</v>
      </c>
      <c r="J582" s="16">
        <f t="shared" si="44"/>
        <v>1.0002206531332745</v>
      </c>
      <c r="K582" s="16">
        <f t="shared" si="45"/>
        <v>44.953684210526312</v>
      </c>
      <c r="L582" s="16">
        <f t="shared" si="46"/>
        <v>43.833061224489818</v>
      </c>
      <c r="M582" s="25" t="str">
        <f t="shared" si="47"/>
        <v>HOLD</v>
      </c>
    </row>
    <row r="583" spans="2:13">
      <c r="B583" s="3">
        <v>42899</v>
      </c>
      <c r="C583" s="5">
        <v>45.03</v>
      </c>
      <c r="D583" s="5">
        <v>45</v>
      </c>
      <c r="E583" s="5">
        <v>45.11</v>
      </c>
      <c r="F583" s="5">
        <v>44.8</v>
      </c>
      <c r="G583" s="18" t="s">
        <v>362</v>
      </c>
      <c r="H583" s="2">
        <v>-6.6E-3</v>
      </c>
      <c r="I583" s="16">
        <f t="shared" si="43"/>
        <v>-6.6181336863004011E-3</v>
      </c>
      <c r="J583" s="16">
        <f t="shared" si="44"/>
        <v>0.99338186631369962</v>
      </c>
      <c r="K583" s="16">
        <f t="shared" si="45"/>
        <v>45.037894736842105</v>
      </c>
      <c r="L583" s="16">
        <f t="shared" si="46"/>
        <v>43.892040816326542</v>
      </c>
      <c r="M583" s="25" t="str">
        <f t="shared" si="47"/>
        <v>HOLD</v>
      </c>
    </row>
    <row r="584" spans="2:13">
      <c r="B584" s="3">
        <v>42900</v>
      </c>
      <c r="C584" s="5">
        <v>45.3</v>
      </c>
      <c r="D584" s="5">
        <v>45.18</v>
      </c>
      <c r="E584" s="5">
        <v>45.47</v>
      </c>
      <c r="F584" s="5">
        <v>45.16</v>
      </c>
      <c r="G584" s="18" t="s">
        <v>221</v>
      </c>
      <c r="H584" s="2">
        <v>6.0000000000000001E-3</v>
      </c>
      <c r="I584" s="16">
        <f t="shared" si="43"/>
        <v>5.9960026648899845E-3</v>
      </c>
      <c r="J584" s="16">
        <f t="shared" si="44"/>
        <v>1.00599600266489</v>
      </c>
      <c r="K584" s="16">
        <f t="shared" si="45"/>
        <v>45.1</v>
      </c>
      <c r="L584" s="16">
        <f t="shared" si="46"/>
        <v>43.94551020408165</v>
      </c>
      <c r="M584" s="25" t="str">
        <f t="shared" si="47"/>
        <v>HOLD</v>
      </c>
    </row>
    <row r="585" spans="2:13">
      <c r="B585" s="3">
        <v>42901</v>
      </c>
      <c r="C585" s="5">
        <v>45.25</v>
      </c>
      <c r="D585" s="5">
        <v>45.18</v>
      </c>
      <c r="E585" s="5">
        <v>45.34</v>
      </c>
      <c r="F585" s="5">
        <v>45.04</v>
      </c>
      <c r="G585" s="18" t="s">
        <v>412</v>
      </c>
      <c r="H585" s="2">
        <v>-1.1000000000000001E-3</v>
      </c>
      <c r="I585" s="16">
        <f t="shared" ref="I585:I648" si="48">(C585-C584)/C584</f>
        <v>-1.1037527593818358E-3</v>
      </c>
      <c r="J585" s="16">
        <f t="shared" ref="J585:J648" si="49">C585/C584</f>
        <v>0.99889624724061821</v>
      </c>
      <c r="K585" s="16">
        <f t="shared" si="45"/>
        <v>45.172105263157896</v>
      </c>
      <c r="L585" s="16">
        <f t="shared" si="46"/>
        <v>43.998979591836758</v>
      </c>
      <c r="M585" s="25" t="str">
        <f t="shared" si="47"/>
        <v>HOLD</v>
      </c>
    </row>
    <row r="586" spans="2:13">
      <c r="B586" s="3">
        <v>42902</v>
      </c>
      <c r="C586" s="5">
        <v>45.31</v>
      </c>
      <c r="D586" s="5">
        <v>45.31</v>
      </c>
      <c r="E586" s="5">
        <v>45.35</v>
      </c>
      <c r="F586" s="5">
        <v>45.01</v>
      </c>
      <c r="G586" s="18" t="s">
        <v>1156</v>
      </c>
      <c r="H586" s="2">
        <v>1.2999999999999999E-3</v>
      </c>
      <c r="I586" s="16">
        <f t="shared" si="48"/>
        <v>1.3259668508287794E-3</v>
      </c>
      <c r="J586" s="16">
        <f t="shared" si="49"/>
        <v>1.0013259668508288</v>
      </c>
      <c r="K586" s="16">
        <f t="shared" si="45"/>
        <v>45.248421052631578</v>
      </c>
      <c r="L586" s="16">
        <f t="shared" si="46"/>
        <v>44.053673469387775</v>
      </c>
      <c r="M586" s="25" t="str">
        <f t="shared" si="47"/>
        <v>HOLD</v>
      </c>
    </row>
    <row r="587" spans="2:13">
      <c r="B587" s="3">
        <v>42905</v>
      </c>
      <c r="C587" s="5">
        <v>45.38</v>
      </c>
      <c r="D587" s="5">
        <v>45.35</v>
      </c>
      <c r="E587" s="5">
        <v>45.38</v>
      </c>
      <c r="F587" s="5">
        <v>45.1</v>
      </c>
      <c r="G587" s="18" t="s">
        <v>964</v>
      </c>
      <c r="H587" s="2">
        <v>1.5E-3</v>
      </c>
      <c r="I587" s="16">
        <f t="shared" si="48"/>
        <v>1.5449128227764352E-3</v>
      </c>
      <c r="J587" s="16">
        <f t="shared" si="49"/>
        <v>1.0015449128227765</v>
      </c>
      <c r="K587" s="16">
        <f t="shared" si="45"/>
        <v>45.322631578947373</v>
      </c>
      <c r="L587" s="16">
        <f t="shared" si="46"/>
        <v>44.107551020408174</v>
      </c>
      <c r="M587" s="25" t="str">
        <f t="shared" si="47"/>
        <v>HOLD</v>
      </c>
    </row>
    <row r="588" spans="2:13">
      <c r="B588" s="3">
        <v>42906</v>
      </c>
      <c r="C588" s="5">
        <v>45.61</v>
      </c>
      <c r="D588" s="5">
        <v>45.35</v>
      </c>
      <c r="E588" s="5">
        <v>45.87</v>
      </c>
      <c r="F588" s="5">
        <v>45.32</v>
      </c>
      <c r="G588" s="18" t="s">
        <v>438</v>
      </c>
      <c r="H588" s="2">
        <v>5.1000000000000004E-3</v>
      </c>
      <c r="I588" s="16">
        <f t="shared" si="48"/>
        <v>5.0683120317319714E-3</v>
      </c>
      <c r="J588" s="16">
        <f t="shared" si="49"/>
        <v>1.0050683120317321</v>
      </c>
      <c r="K588" s="16">
        <f t="shared" si="45"/>
        <v>45.385789473684213</v>
      </c>
      <c r="L588" s="16">
        <f t="shared" si="46"/>
        <v>44.164081632653073</v>
      </c>
      <c r="M588" s="25" t="str">
        <f t="shared" si="47"/>
        <v>HOLD</v>
      </c>
    </row>
    <row r="589" spans="2:13">
      <c r="B589" s="3">
        <v>42907</v>
      </c>
      <c r="C589" s="5">
        <v>45.22</v>
      </c>
      <c r="D589" s="5">
        <v>45.62</v>
      </c>
      <c r="E589" s="5">
        <v>45.68</v>
      </c>
      <c r="F589" s="5">
        <v>45.16</v>
      </c>
      <c r="G589" s="18" t="s">
        <v>178</v>
      </c>
      <c r="H589" s="2">
        <v>-8.6E-3</v>
      </c>
      <c r="I589" s="16">
        <f t="shared" si="48"/>
        <v>-8.550756413067323E-3</v>
      </c>
      <c r="J589" s="16">
        <f t="shared" si="49"/>
        <v>0.99144924358693265</v>
      </c>
      <c r="K589" s="16">
        <f t="shared" si="45"/>
        <v>45.449999999999996</v>
      </c>
      <c r="L589" s="16">
        <f t="shared" si="46"/>
        <v>44.223673469387776</v>
      </c>
      <c r="M589" s="25" t="str">
        <f t="shared" si="47"/>
        <v>HOLD</v>
      </c>
    </row>
    <row r="590" spans="2:13">
      <c r="B590" s="3">
        <v>42908</v>
      </c>
      <c r="C590" s="5">
        <v>45.07</v>
      </c>
      <c r="D590" s="5">
        <v>45.17</v>
      </c>
      <c r="E590" s="5">
        <v>45.28</v>
      </c>
      <c r="F590" s="5">
        <v>45.03</v>
      </c>
      <c r="G590" s="18" t="s">
        <v>1126</v>
      </c>
      <c r="H590" s="2">
        <v>-3.3E-3</v>
      </c>
      <c r="I590" s="16">
        <f t="shared" si="48"/>
        <v>-3.317116320212264E-3</v>
      </c>
      <c r="J590" s="16">
        <f t="shared" si="49"/>
        <v>0.99668288367978775</v>
      </c>
      <c r="K590" s="16">
        <f t="shared" si="45"/>
        <v>45.46</v>
      </c>
      <c r="L590" s="16">
        <f t="shared" si="46"/>
        <v>44.275918367346947</v>
      </c>
      <c r="M590" s="25" t="str">
        <f t="shared" si="47"/>
        <v>HOLD</v>
      </c>
    </row>
    <row r="591" spans="2:13">
      <c r="B591" s="3">
        <v>42909</v>
      </c>
      <c r="C591" s="5">
        <v>45.25</v>
      </c>
      <c r="D591" s="5">
        <v>45.05</v>
      </c>
      <c r="E591" s="5">
        <v>45.38</v>
      </c>
      <c r="F591" s="5">
        <v>45.03</v>
      </c>
      <c r="G591" s="18" t="s">
        <v>917</v>
      </c>
      <c r="H591" s="2">
        <v>4.0000000000000001E-3</v>
      </c>
      <c r="I591" s="16">
        <f t="shared" si="48"/>
        <v>3.9937874417572605E-3</v>
      </c>
      <c r="J591" s="16">
        <f t="shared" si="49"/>
        <v>1.0039937874417573</v>
      </c>
      <c r="K591" s="16">
        <f t="shared" si="45"/>
        <v>45.442105263157892</v>
      </c>
      <c r="L591" s="16">
        <f t="shared" si="46"/>
        <v>44.319387755102049</v>
      </c>
      <c r="M591" s="25" t="str">
        <f t="shared" si="47"/>
        <v>HOLD</v>
      </c>
    </row>
    <row r="592" spans="2:13">
      <c r="B592" s="3">
        <v>42912</v>
      </c>
      <c r="C592" s="5">
        <v>45.43</v>
      </c>
      <c r="D592" s="5">
        <v>45.32</v>
      </c>
      <c r="E592" s="5">
        <v>45.51</v>
      </c>
      <c r="F592" s="5">
        <v>45.3</v>
      </c>
      <c r="G592" s="18" t="s">
        <v>341</v>
      </c>
      <c r="H592" s="2">
        <v>4.0000000000000001E-3</v>
      </c>
      <c r="I592" s="16">
        <f t="shared" si="48"/>
        <v>3.9779005524861813E-3</v>
      </c>
      <c r="J592" s="16">
        <f t="shared" si="49"/>
        <v>1.0039779005524863</v>
      </c>
      <c r="K592" s="16">
        <f t="shared" si="45"/>
        <v>45.434736842105266</v>
      </c>
      <c r="L592" s="16">
        <f t="shared" si="46"/>
        <v>44.369591836734706</v>
      </c>
      <c r="M592" s="25" t="str">
        <f t="shared" si="47"/>
        <v>HOLD</v>
      </c>
    </row>
    <row r="593" spans="2:13">
      <c r="B593" s="3">
        <v>42913</v>
      </c>
      <c r="C593" s="5">
        <v>45.05</v>
      </c>
      <c r="D593" s="5">
        <v>45.34</v>
      </c>
      <c r="E593" s="5">
        <v>45.4</v>
      </c>
      <c r="F593" s="5">
        <v>45</v>
      </c>
      <c r="G593" s="18" t="s">
        <v>157</v>
      </c>
      <c r="H593" s="2">
        <v>-8.3999999999999995E-3</v>
      </c>
      <c r="I593" s="16">
        <f t="shared" si="48"/>
        <v>-8.3645168390931671E-3</v>
      </c>
      <c r="J593" s="16">
        <f t="shared" si="49"/>
        <v>0.99163548316090688</v>
      </c>
      <c r="K593" s="16">
        <f t="shared" si="45"/>
        <v>45.434736842105259</v>
      </c>
      <c r="L593" s="16">
        <f t="shared" si="46"/>
        <v>44.417755102040822</v>
      </c>
      <c r="M593" s="25" t="str">
        <f t="shared" si="47"/>
        <v>HOLD</v>
      </c>
    </row>
    <row r="594" spans="2:13">
      <c r="B594" s="3">
        <v>42914</v>
      </c>
      <c r="C594" s="5">
        <v>45.32</v>
      </c>
      <c r="D594" s="5">
        <v>45.25</v>
      </c>
      <c r="E594" s="5">
        <v>45.5</v>
      </c>
      <c r="F594" s="5">
        <v>45.23</v>
      </c>
      <c r="G594" s="18" t="s">
        <v>680</v>
      </c>
      <c r="H594" s="2">
        <v>6.0000000000000001E-3</v>
      </c>
      <c r="I594" s="16">
        <f t="shared" si="48"/>
        <v>5.9933407325194928E-3</v>
      </c>
      <c r="J594" s="16">
        <f t="shared" si="49"/>
        <v>1.0059933407325194</v>
      </c>
      <c r="K594" s="16">
        <f t="shared" si="45"/>
        <v>45.412631578947369</v>
      </c>
      <c r="L594" s="16">
        <f t="shared" si="46"/>
        <v>44.449795918367357</v>
      </c>
      <c r="M594" s="25" t="str">
        <f t="shared" si="47"/>
        <v>HOLD</v>
      </c>
    </row>
    <row r="595" spans="2:13">
      <c r="B595" s="3">
        <v>42915</v>
      </c>
      <c r="C595" s="5">
        <v>44.83</v>
      </c>
      <c r="D595" s="5">
        <v>45.13</v>
      </c>
      <c r="E595" s="5">
        <v>45.24</v>
      </c>
      <c r="F595" s="5">
        <v>44.65</v>
      </c>
      <c r="G595" s="18" t="s">
        <v>355</v>
      </c>
      <c r="H595" s="2">
        <v>-1.0800000000000001E-2</v>
      </c>
      <c r="I595" s="16">
        <f t="shared" si="48"/>
        <v>-1.0812003530450176E-2</v>
      </c>
      <c r="J595" s="16">
        <f t="shared" si="49"/>
        <v>0.9891879964695498</v>
      </c>
      <c r="K595" s="16">
        <f t="shared" si="45"/>
        <v>45.387894736842107</v>
      </c>
      <c r="L595" s="16">
        <f t="shared" si="46"/>
        <v>44.492448979591849</v>
      </c>
      <c r="M595" s="25" t="str">
        <f t="shared" si="47"/>
        <v>HOLD</v>
      </c>
    </row>
    <row r="596" spans="2:13">
      <c r="B596" s="3">
        <v>42916</v>
      </c>
      <c r="C596" s="5">
        <v>44.85</v>
      </c>
      <c r="D596" s="5">
        <v>44.89</v>
      </c>
      <c r="E596" s="5">
        <v>45.12</v>
      </c>
      <c r="F596" s="5">
        <v>44.85</v>
      </c>
      <c r="G596" s="18" t="s">
        <v>899</v>
      </c>
      <c r="H596" s="2">
        <v>4.0000000000000002E-4</v>
      </c>
      <c r="I596" s="16">
        <f t="shared" si="48"/>
        <v>4.4612982377878935E-4</v>
      </c>
      <c r="J596" s="16">
        <f t="shared" si="49"/>
        <v>1.0004461298237788</v>
      </c>
      <c r="K596" s="16">
        <f t="shared" si="45"/>
        <v>45.332105263157899</v>
      </c>
      <c r="L596" s="16">
        <f t="shared" si="46"/>
        <v>44.527959183673474</v>
      </c>
      <c r="M596" s="25" t="str">
        <f t="shared" si="47"/>
        <v>HOLD</v>
      </c>
    </row>
    <row r="597" spans="2:13">
      <c r="B597" s="3">
        <v>42919</v>
      </c>
      <c r="C597" s="5">
        <v>44.76</v>
      </c>
      <c r="D597" s="5">
        <v>45.11</v>
      </c>
      <c r="E597" s="5">
        <v>45.27</v>
      </c>
      <c r="F597" s="5">
        <v>44.76</v>
      </c>
      <c r="G597" s="18" t="s">
        <v>911</v>
      </c>
      <c r="H597" s="2">
        <v>-2E-3</v>
      </c>
      <c r="I597" s="16">
        <f t="shared" si="48"/>
        <v>-2.0066889632107785E-3</v>
      </c>
      <c r="J597" s="16">
        <f t="shared" si="49"/>
        <v>0.99799331103678923</v>
      </c>
      <c r="K597" s="16">
        <f t="shared" si="45"/>
        <v>45.272105263157897</v>
      </c>
      <c r="L597" s="16">
        <f t="shared" si="46"/>
        <v>44.564285714285717</v>
      </c>
      <c r="M597" s="25" t="str">
        <f t="shared" si="47"/>
        <v>HOLD</v>
      </c>
    </row>
    <row r="598" spans="2:13">
      <c r="B598" s="3">
        <v>42921</v>
      </c>
      <c r="C598" s="5">
        <v>44.82</v>
      </c>
      <c r="D598" s="5">
        <v>44.79</v>
      </c>
      <c r="E598" s="5">
        <v>44.99</v>
      </c>
      <c r="F598" s="5">
        <v>44.73</v>
      </c>
      <c r="G598" s="18" t="s">
        <v>1053</v>
      </c>
      <c r="H598" s="2">
        <v>1.2999999999999999E-3</v>
      </c>
      <c r="I598" s="16">
        <f t="shared" si="48"/>
        <v>1.3404825737265923E-3</v>
      </c>
      <c r="J598" s="16">
        <f t="shared" si="49"/>
        <v>1.0013404825737267</v>
      </c>
      <c r="K598" s="16">
        <f t="shared" si="45"/>
        <v>45.207894736842107</v>
      </c>
      <c r="L598" s="16">
        <f t="shared" si="46"/>
        <v>44.594489795918371</v>
      </c>
      <c r="M598" s="25" t="str">
        <f t="shared" si="47"/>
        <v>HOLD</v>
      </c>
    </row>
    <row r="599" spans="2:13">
      <c r="B599" s="3">
        <v>42922</v>
      </c>
      <c r="C599" s="5">
        <v>44.4</v>
      </c>
      <c r="D599" s="5">
        <v>44.72</v>
      </c>
      <c r="E599" s="5">
        <v>44.85</v>
      </c>
      <c r="F599" s="5">
        <v>44.29</v>
      </c>
      <c r="G599" s="18" t="s">
        <v>1110</v>
      </c>
      <c r="H599" s="2">
        <v>-9.4000000000000004E-3</v>
      </c>
      <c r="I599" s="16">
        <f t="shared" si="48"/>
        <v>-9.3708165997323008E-3</v>
      </c>
      <c r="J599" s="16">
        <f t="shared" si="49"/>
        <v>0.99062918340026773</v>
      </c>
      <c r="K599" s="16">
        <f t="shared" si="45"/>
        <v>45.171578947368424</v>
      </c>
      <c r="L599" s="16">
        <f t="shared" si="46"/>
        <v>44.629387755102044</v>
      </c>
      <c r="M599" s="25" t="str">
        <f t="shared" si="47"/>
        <v>HOLD</v>
      </c>
    </row>
    <row r="600" spans="2:13">
      <c r="B600" s="3">
        <v>42923</v>
      </c>
      <c r="C600" s="5">
        <v>44.39</v>
      </c>
      <c r="D600" s="5">
        <v>44.47</v>
      </c>
      <c r="E600" s="5">
        <v>44.52</v>
      </c>
      <c r="F600" s="5">
        <v>44.24</v>
      </c>
      <c r="G600" s="18" t="s">
        <v>175</v>
      </c>
      <c r="H600" s="2">
        <v>-2.0000000000000001E-4</v>
      </c>
      <c r="I600" s="16">
        <f t="shared" si="48"/>
        <v>-2.2522522522518042E-4</v>
      </c>
      <c r="J600" s="16">
        <f t="shared" si="49"/>
        <v>0.99977477477477483</v>
      </c>
      <c r="K600" s="16">
        <f t="shared" si="45"/>
        <v>45.133157894736847</v>
      </c>
      <c r="L600" s="16">
        <f t="shared" si="46"/>
        <v>44.653061224489797</v>
      </c>
      <c r="M600" s="25" t="str">
        <f t="shared" si="47"/>
        <v>HOLD</v>
      </c>
    </row>
    <row r="601" spans="2:13">
      <c r="B601" s="3">
        <v>42926</v>
      </c>
      <c r="C601" s="5">
        <v>44.38</v>
      </c>
      <c r="D601" s="5">
        <v>44.45</v>
      </c>
      <c r="E601" s="5">
        <v>44.58</v>
      </c>
      <c r="F601" s="5">
        <v>44.23</v>
      </c>
      <c r="G601" s="18" t="s">
        <v>174</v>
      </c>
      <c r="H601" s="2">
        <v>-2.0000000000000001E-4</v>
      </c>
      <c r="I601" s="16">
        <f t="shared" si="48"/>
        <v>-2.2527596305469723E-4</v>
      </c>
      <c r="J601" s="16">
        <f t="shared" si="49"/>
        <v>0.99977472403694534</v>
      </c>
      <c r="K601" s="16">
        <f t="shared" si="45"/>
        <v>45.084210526315793</v>
      </c>
      <c r="L601" s="16">
        <f t="shared" si="46"/>
        <v>44.681224489795909</v>
      </c>
      <c r="M601" s="25" t="str">
        <f t="shared" si="47"/>
        <v>HOLD</v>
      </c>
    </row>
    <row r="602" spans="2:13">
      <c r="B602" s="3">
        <v>42927</v>
      </c>
      <c r="C602" s="5">
        <v>44.33</v>
      </c>
      <c r="D602" s="5">
        <v>44.32</v>
      </c>
      <c r="E602" s="5">
        <v>44.48</v>
      </c>
      <c r="F602" s="5">
        <v>44.15</v>
      </c>
      <c r="G602" s="18" t="s">
        <v>1155</v>
      </c>
      <c r="H602" s="2">
        <v>-1.1000000000000001E-3</v>
      </c>
      <c r="I602" s="16">
        <f t="shared" si="48"/>
        <v>-1.1266336187472795E-3</v>
      </c>
      <c r="J602" s="16">
        <f t="shared" si="49"/>
        <v>0.99887336638125268</v>
      </c>
      <c r="K602" s="16">
        <f t="shared" si="45"/>
        <v>45.034210526315796</v>
      </c>
      <c r="L602" s="16">
        <f t="shared" si="46"/>
        <v>44.706326530612237</v>
      </c>
      <c r="M602" s="25" t="str">
        <f t="shared" si="47"/>
        <v>HOLD</v>
      </c>
    </row>
    <row r="603" spans="2:13">
      <c r="B603" s="3">
        <v>42928</v>
      </c>
      <c r="C603" s="5">
        <v>44.51</v>
      </c>
      <c r="D603" s="5">
        <v>44.59</v>
      </c>
      <c r="E603" s="5">
        <v>44.77</v>
      </c>
      <c r="F603" s="5">
        <v>44.44</v>
      </c>
      <c r="G603" s="18" t="s">
        <v>1154</v>
      </c>
      <c r="H603" s="2">
        <v>4.1000000000000003E-3</v>
      </c>
      <c r="I603" s="16">
        <f t="shared" si="48"/>
        <v>4.0604556733588931E-3</v>
      </c>
      <c r="J603" s="16">
        <f t="shared" si="49"/>
        <v>1.004060455673359</v>
      </c>
      <c r="K603" s="16">
        <f t="shared" ref="K603:K666" si="50">AVERAGE(C584:C602)</f>
        <v>44.997368421052641</v>
      </c>
      <c r="L603" s="16">
        <f t="shared" si="46"/>
        <v>44.728979591836712</v>
      </c>
      <c r="M603" s="25" t="str">
        <f t="shared" si="47"/>
        <v>HOLD</v>
      </c>
    </row>
    <row r="604" spans="2:13">
      <c r="B604" s="3">
        <v>42929</v>
      </c>
      <c r="C604" s="5">
        <v>44.43</v>
      </c>
      <c r="D604" s="5">
        <v>44.49</v>
      </c>
      <c r="E604" s="5">
        <v>44.52</v>
      </c>
      <c r="F604" s="5">
        <v>44.37</v>
      </c>
      <c r="G604" s="18" t="s">
        <v>1153</v>
      </c>
      <c r="H604" s="2">
        <v>-1.8E-3</v>
      </c>
      <c r="I604" s="16">
        <f t="shared" si="48"/>
        <v>-1.7973489103571849E-3</v>
      </c>
      <c r="J604" s="16">
        <f t="shared" si="49"/>
        <v>0.99820265108964279</v>
      </c>
      <c r="K604" s="16">
        <f t="shared" si="50"/>
        <v>44.955789473684213</v>
      </c>
      <c r="L604" s="16">
        <f t="shared" si="46"/>
        <v>44.751836734693875</v>
      </c>
      <c r="M604" s="25" t="str">
        <f t="shared" si="47"/>
        <v>HOLD</v>
      </c>
    </row>
    <row r="605" spans="2:13">
      <c r="B605" s="3">
        <v>42930</v>
      </c>
      <c r="C605" s="5">
        <v>44.68</v>
      </c>
      <c r="D605" s="5">
        <v>44.52</v>
      </c>
      <c r="E605" s="5">
        <v>44.72</v>
      </c>
      <c r="F605" s="5">
        <v>44.49</v>
      </c>
      <c r="G605" s="18" t="s">
        <v>271</v>
      </c>
      <c r="H605" s="2">
        <v>5.5999999999999999E-3</v>
      </c>
      <c r="I605" s="16">
        <f t="shared" si="48"/>
        <v>5.6268287193337839E-3</v>
      </c>
      <c r="J605" s="16">
        <f t="shared" si="49"/>
        <v>1.0056268287193337</v>
      </c>
      <c r="K605" s="16">
        <f t="shared" si="50"/>
        <v>44.912631578947369</v>
      </c>
      <c r="L605" s="16">
        <f t="shared" si="46"/>
        <v>44.774489795918363</v>
      </c>
      <c r="M605" s="25" t="str">
        <f t="shared" si="47"/>
        <v>HOLD</v>
      </c>
    </row>
    <row r="606" spans="2:13">
      <c r="B606" s="3">
        <v>42933</v>
      </c>
      <c r="C606" s="5">
        <v>44.73</v>
      </c>
      <c r="D606" s="5">
        <v>44.66</v>
      </c>
      <c r="E606" s="5">
        <v>44.78</v>
      </c>
      <c r="F606" s="5">
        <v>44.61</v>
      </c>
      <c r="G606" s="18" t="s">
        <v>345</v>
      </c>
      <c r="H606" s="2">
        <v>1.1000000000000001E-3</v>
      </c>
      <c r="I606" s="16">
        <f t="shared" si="48"/>
        <v>1.1190689346463106E-3</v>
      </c>
      <c r="J606" s="16">
        <f t="shared" si="49"/>
        <v>1.0011190689346463</v>
      </c>
      <c r="K606" s="16">
        <f t="shared" si="50"/>
        <v>44.879473684210524</v>
      </c>
      <c r="L606" s="16">
        <f t="shared" si="46"/>
        <v>44.795306122448977</v>
      </c>
      <c r="M606" s="25" t="str">
        <f t="shared" si="47"/>
        <v>HOLD</v>
      </c>
    </row>
    <row r="607" spans="2:13">
      <c r="B607" s="3">
        <v>42934</v>
      </c>
      <c r="C607" s="5">
        <v>44.67</v>
      </c>
      <c r="D607" s="5">
        <v>44.78</v>
      </c>
      <c r="E607" s="5">
        <v>44.85</v>
      </c>
      <c r="F607" s="5">
        <v>44.62</v>
      </c>
      <c r="G607" s="18" t="s">
        <v>101</v>
      </c>
      <c r="H607" s="2">
        <v>-1.2999999999999999E-3</v>
      </c>
      <c r="I607" s="16">
        <f t="shared" si="48"/>
        <v>-1.3413816230716559E-3</v>
      </c>
      <c r="J607" s="16">
        <f t="shared" si="49"/>
        <v>0.99865861837692838</v>
      </c>
      <c r="K607" s="16">
        <f t="shared" si="50"/>
        <v>44.845263157894735</v>
      </c>
      <c r="L607" s="16">
        <f t="shared" si="46"/>
        <v>44.816530612244883</v>
      </c>
      <c r="M607" s="25" t="str">
        <f t="shared" si="47"/>
        <v>HOLD</v>
      </c>
    </row>
    <row r="608" spans="2:13">
      <c r="B608" s="3">
        <v>42935</v>
      </c>
      <c r="C608" s="5">
        <v>44.83</v>
      </c>
      <c r="D608" s="5">
        <v>44.67</v>
      </c>
      <c r="E608" s="5">
        <v>44.84</v>
      </c>
      <c r="F608" s="5">
        <v>44.55</v>
      </c>
      <c r="G608" s="18" t="s">
        <v>1152</v>
      </c>
      <c r="H608" s="2">
        <v>3.5999999999999999E-3</v>
      </c>
      <c r="I608" s="16">
        <f t="shared" si="48"/>
        <v>3.5818222520706644E-3</v>
      </c>
      <c r="J608" s="16">
        <f t="shared" si="49"/>
        <v>1.0035818222520707</v>
      </c>
      <c r="K608" s="16">
        <f t="shared" si="50"/>
        <v>44.795789473684202</v>
      </c>
      <c r="L608" s="16">
        <f t="shared" si="46"/>
        <v>44.832448979591824</v>
      </c>
      <c r="M608" s="25" t="str">
        <f t="shared" si="47"/>
        <v>SELL</v>
      </c>
    </row>
    <row r="609" spans="2:13">
      <c r="B609" s="3">
        <v>42936</v>
      </c>
      <c r="C609" s="5">
        <v>44.82</v>
      </c>
      <c r="D609" s="5">
        <v>44.9</v>
      </c>
      <c r="E609" s="5">
        <v>44.98</v>
      </c>
      <c r="F609" s="5">
        <v>44.75</v>
      </c>
      <c r="G609" s="18" t="s">
        <v>896</v>
      </c>
      <c r="H609" s="2">
        <v>-2.0000000000000001E-4</v>
      </c>
      <c r="I609" s="16">
        <f t="shared" si="48"/>
        <v>-2.2306491188931545E-4</v>
      </c>
      <c r="J609" s="16">
        <f t="shared" si="49"/>
        <v>0.99977693508811072</v>
      </c>
      <c r="K609" s="16">
        <f t="shared" si="50"/>
        <v>44.775263157894734</v>
      </c>
      <c r="L609" s="16">
        <f t="shared" si="46"/>
        <v>44.859387755102034</v>
      </c>
      <c r="M609" s="25" t="str">
        <f t="shared" si="47"/>
        <v>HOLD</v>
      </c>
    </row>
    <row r="610" spans="2:13">
      <c r="B610" s="3">
        <v>42937</v>
      </c>
      <c r="C610" s="5">
        <v>45.03</v>
      </c>
      <c r="D610" s="5">
        <v>44.78</v>
      </c>
      <c r="E610" s="5">
        <v>45.07</v>
      </c>
      <c r="F610" s="5">
        <v>44.67</v>
      </c>
      <c r="G610" s="18" t="s">
        <v>1151</v>
      </c>
      <c r="H610" s="2">
        <v>4.7000000000000002E-3</v>
      </c>
      <c r="I610" s="16">
        <f t="shared" si="48"/>
        <v>4.6854082998661504E-3</v>
      </c>
      <c r="J610" s="16">
        <f t="shared" si="49"/>
        <v>1.0046854082998662</v>
      </c>
      <c r="K610" s="16">
        <f t="shared" si="50"/>
        <v>44.762105263157892</v>
      </c>
      <c r="L610" s="16">
        <f t="shared" si="46"/>
        <v>44.884897959183675</v>
      </c>
      <c r="M610" s="25" t="str">
        <f t="shared" si="47"/>
        <v>HOLD</v>
      </c>
    </row>
    <row r="611" spans="2:13">
      <c r="B611" s="3">
        <v>42940</v>
      </c>
      <c r="C611" s="5">
        <v>44.84</v>
      </c>
      <c r="D611" s="5">
        <v>45.04</v>
      </c>
      <c r="E611" s="5">
        <v>45.05</v>
      </c>
      <c r="F611" s="5">
        <v>44.83</v>
      </c>
      <c r="G611" s="18" t="s">
        <v>815</v>
      </c>
      <c r="H611" s="2">
        <v>-4.1999999999999997E-3</v>
      </c>
      <c r="I611" s="16">
        <f t="shared" si="48"/>
        <v>-4.2194092827003713E-3</v>
      </c>
      <c r="J611" s="16">
        <f t="shared" si="49"/>
        <v>0.99578059071729963</v>
      </c>
      <c r="K611" s="16">
        <f t="shared" si="50"/>
        <v>44.750526315789465</v>
      </c>
      <c r="L611" s="16">
        <f t="shared" si="46"/>
        <v>44.912653061224496</v>
      </c>
      <c r="M611" s="25" t="str">
        <f t="shared" si="47"/>
        <v>HOLD</v>
      </c>
    </row>
    <row r="612" spans="2:13">
      <c r="B612" s="3">
        <v>42941</v>
      </c>
      <c r="C612" s="5">
        <v>45.24</v>
      </c>
      <c r="D612" s="5">
        <v>45.02</v>
      </c>
      <c r="E612" s="5">
        <v>45.29</v>
      </c>
      <c r="F612" s="5">
        <v>44.94</v>
      </c>
      <c r="G612" s="18" t="s">
        <v>380</v>
      </c>
      <c r="H612" s="2">
        <v>8.8999999999999999E-3</v>
      </c>
      <c r="I612" s="16">
        <f t="shared" si="48"/>
        <v>8.9206066012488521E-3</v>
      </c>
      <c r="J612" s="16">
        <f t="shared" si="49"/>
        <v>1.0089206066012488</v>
      </c>
      <c r="K612" s="16">
        <f t="shared" si="50"/>
        <v>44.719473684210527</v>
      </c>
      <c r="L612" s="16">
        <f t="shared" si="46"/>
        <v>44.93816326530613</v>
      </c>
      <c r="M612" s="25" t="str">
        <f t="shared" si="47"/>
        <v>HOLD</v>
      </c>
    </row>
    <row r="613" spans="2:13">
      <c r="B613" s="3">
        <v>42942</v>
      </c>
      <c r="C613" s="5">
        <v>45.74</v>
      </c>
      <c r="D613" s="5">
        <v>44.55</v>
      </c>
      <c r="E613" s="5">
        <v>45.79</v>
      </c>
      <c r="F613" s="5">
        <v>44.31</v>
      </c>
      <c r="G613" s="18" t="s">
        <v>239</v>
      </c>
      <c r="H613" s="2">
        <v>1.11E-2</v>
      </c>
      <c r="I613" s="16">
        <f t="shared" si="48"/>
        <v>1.1052166224580016E-2</v>
      </c>
      <c r="J613" s="16">
        <f t="shared" si="49"/>
        <v>1.0110521662245799</v>
      </c>
      <c r="K613" s="16">
        <f t="shared" si="50"/>
        <v>44.729473684210525</v>
      </c>
      <c r="L613" s="16">
        <f t="shared" si="46"/>
        <v>44.968979591836735</v>
      </c>
      <c r="M613" s="25" t="str">
        <f t="shared" si="47"/>
        <v>HOLD</v>
      </c>
    </row>
    <row r="614" spans="2:13">
      <c r="B614" s="3">
        <v>42943</v>
      </c>
      <c r="C614" s="5">
        <v>46.12</v>
      </c>
      <c r="D614" s="5">
        <v>45.8</v>
      </c>
      <c r="E614" s="5">
        <v>46.42</v>
      </c>
      <c r="F614" s="5">
        <v>45.7</v>
      </c>
      <c r="G614" s="18" t="s">
        <v>1150</v>
      </c>
      <c r="H614" s="2">
        <v>8.3000000000000001E-3</v>
      </c>
      <c r="I614" s="16">
        <f t="shared" si="48"/>
        <v>8.3078268473982392E-3</v>
      </c>
      <c r="J614" s="16">
        <f t="shared" si="49"/>
        <v>1.0083078268473982</v>
      </c>
      <c r="K614" s="16">
        <f t="shared" si="50"/>
        <v>44.751578947368422</v>
      </c>
      <c r="L614" s="16">
        <f t="shared" si="46"/>
        <v>45.007551020408158</v>
      </c>
      <c r="M614" s="25" t="str">
        <f t="shared" si="47"/>
        <v>HOLD</v>
      </c>
    </row>
    <row r="615" spans="2:13">
      <c r="B615" s="3">
        <v>42944</v>
      </c>
      <c r="C615" s="5">
        <v>46.01</v>
      </c>
      <c r="D615" s="5">
        <v>46</v>
      </c>
      <c r="E615" s="5">
        <v>46.12</v>
      </c>
      <c r="F615" s="5">
        <v>45.73</v>
      </c>
      <c r="G615" s="18" t="s">
        <v>1071</v>
      </c>
      <c r="H615" s="2">
        <v>-2.3999999999999998E-3</v>
      </c>
      <c r="I615" s="16">
        <f t="shared" si="48"/>
        <v>-2.3850823937554087E-3</v>
      </c>
      <c r="J615" s="16">
        <f t="shared" si="49"/>
        <v>0.99761491760624454</v>
      </c>
      <c r="K615" s="16">
        <f t="shared" si="50"/>
        <v>44.819473684210536</v>
      </c>
      <c r="L615" s="16">
        <f t="shared" si="46"/>
        <v>45.05224489795917</v>
      </c>
      <c r="M615" s="25" t="str">
        <f t="shared" si="47"/>
        <v>HOLD</v>
      </c>
    </row>
    <row r="616" spans="2:13">
      <c r="B616" s="3">
        <v>42947</v>
      </c>
      <c r="C616" s="5">
        <v>45.84</v>
      </c>
      <c r="D616" s="5">
        <v>46</v>
      </c>
      <c r="E616" s="5">
        <v>46.08</v>
      </c>
      <c r="F616" s="5">
        <v>45.79</v>
      </c>
      <c r="G616" s="18" t="s">
        <v>328</v>
      </c>
      <c r="H616" s="2">
        <v>-3.7000000000000002E-3</v>
      </c>
      <c r="I616" s="16">
        <f t="shared" si="48"/>
        <v>-3.6948489458812129E-3</v>
      </c>
      <c r="J616" s="16">
        <f t="shared" si="49"/>
        <v>0.99630515105411876</v>
      </c>
      <c r="K616" s="16">
        <f t="shared" si="50"/>
        <v>44.880526315789481</v>
      </c>
      <c r="L616" s="16">
        <f t="shared" si="46"/>
        <v>45.097346938775502</v>
      </c>
      <c r="M616" s="25" t="str">
        <f t="shared" si="47"/>
        <v>HOLD</v>
      </c>
    </row>
    <row r="617" spans="2:13">
      <c r="B617" s="3">
        <v>42948</v>
      </c>
      <c r="C617" s="5">
        <v>45.7</v>
      </c>
      <c r="D617" s="5">
        <v>45.97</v>
      </c>
      <c r="E617" s="5">
        <v>46.06</v>
      </c>
      <c r="F617" s="5">
        <v>45.65</v>
      </c>
      <c r="G617" s="18" t="s">
        <v>1149</v>
      </c>
      <c r="H617" s="2">
        <v>-3.0999999999999999E-3</v>
      </c>
      <c r="I617" s="16">
        <f t="shared" si="48"/>
        <v>-3.0541012216405007E-3</v>
      </c>
      <c r="J617" s="16">
        <f t="shared" si="49"/>
        <v>0.99694589877835948</v>
      </c>
      <c r="K617" s="16">
        <f t="shared" si="50"/>
        <v>44.937368421052632</v>
      </c>
      <c r="L617" s="16">
        <f t="shared" si="46"/>
        <v>45.136938775510203</v>
      </c>
      <c r="M617" s="25" t="str">
        <f t="shared" si="47"/>
        <v>HOLD</v>
      </c>
    </row>
    <row r="618" spans="2:13">
      <c r="B618" s="3">
        <v>42949</v>
      </c>
      <c r="C618" s="5">
        <v>45.59</v>
      </c>
      <c r="D618" s="5">
        <v>45.6</v>
      </c>
      <c r="E618" s="5">
        <v>46</v>
      </c>
      <c r="F618" s="5">
        <v>45.38</v>
      </c>
      <c r="G618" s="18" t="s">
        <v>783</v>
      </c>
      <c r="H618" s="2">
        <v>-2.3999999999999998E-3</v>
      </c>
      <c r="I618" s="16">
        <f t="shared" si="48"/>
        <v>-2.407002188183795E-3</v>
      </c>
      <c r="J618" s="16">
        <f t="shared" si="49"/>
        <v>0.99759299781181621</v>
      </c>
      <c r="K618" s="16">
        <f t="shared" si="50"/>
        <v>44.983684210526327</v>
      </c>
      <c r="L618" s="16">
        <f t="shared" si="46"/>
        <v>45.167959183673467</v>
      </c>
      <c r="M618" s="25" t="str">
        <f t="shared" si="47"/>
        <v>HOLD</v>
      </c>
    </row>
    <row r="619" spans="2:13">
      <c r="B619" s="3">
        <v>42950</v>
      </c>
      <c r="C619" s="5">
        <v>45.67</v>
      </c>
      <c r="D619" s="5">
        <v>45.65</v>
      </c>
      <c r="E619" s="5">
        <v>45.95</v>
      </c>
      <c r="F619" s="5">
        <v>45.63</v>
      </c>
      <c r="G619" s="18" t="s">
        <v>905</v>
      </c>
      <c r="H619" s="2">
        <v>1.8E-3</v>
      </c>
      <c r="I619" s="16">
        <f t="shared" si="48"/>
        <v>1.7547707830664243E-3</v>
      </c>
      <c r="J619" s="16">
        <f t="shared" si="49"/>
        <v>1.0017547707830665</v>
      </c>
      <c r="K619" s="16">
        <f t="shared" si="50"/>
        <v>45.046315789473695</v>
      </c>
      <c r="L619" s="16">
        <f t="shared" si="46"/>
        <v>45.19244897959183</v>
      </c>
      <c r="M619" s="25" t="str">
        <f t="shared" si="47"/>
        <v>HOLD</v>
      </c>
    </row>
    <row r="620" spans="2:13">
      <c r="B620" s="3">
        <v>42951</v>
      </c>
      <c r="C620" s="5">
        <v>45.5</v>
      </c>
      <c r="D620" s="5">
        <v>45.67</v>
      </c>
      <c r="E620" s="5">
        <v>45.76</v>
      </c>
      <c r="F620" s="5">
        <v>45.47</v>
      </c>
      <c r="G620" s="18" t="s">
        <v>178</v>
      </c>
      <c r="H620" s="2">
        <v>-3.7000000000000002E-3</v>
      </c>
      <c r="I620" s="16">
        <f t="shared" si="48"/>
        <v>-3.7223560324064309E-3</v>
      </c>
      <c r="J620" s="16">
        <f t="shared" si="49"/>
        <v>0.99627764396759355</v>
      </c>
      <c r="K620" s="16">
        <f t="shared" si="50"/>
        <v>45.113684210526323</v>
      </c>
      <c r="L620" s="16">
        <f t="shared" si="46"/>
        <v>45.205510204081627</v>
      </c>
      <c r="M620" s="25" t="str">
        <f t="shared" si="47"/>
        <v>HOLD</v>
      </c>
    </row>
    <row r="621" spans="2:13">
      <c r="B621" s="3">
        <v>42954</v>
      </c>
      <c r="C621" s="5">
        <v>45.64</v>
      </c>
      <c r="D621" s="5">
        <v>45.52</v>
      </c>
      <c r="E621" s="5">
        <v>45.76</v>
      </c>
      <c r="F621" s="5">
        <v>45.5</v>
      </c>
      <c r="G621" s="18" t="s">
        <v>913</v>
      </c>
      <c r="H621" s="2">
        <v>3.0999999999999999E-3</v>
      </c>
      <c r="I621" s="16">
        <f t="shared" si="48"/>
        <v>3.0769230769230895E-3</v>
      </c>
      <c r="J621" s="16">
        <f t="shared" si="49"/>
        <v>1.0030769230769232</v>
      </c>
      <c r="K621" s="16">
        <f t="shared" si="50"/>
        <v>45.172631578947374</v>
      </c>
      <c r="L621" s="16">
        <f t="shared" si="46"/>
        <v>45.207346938775508</v>
      </c>
      <c r="M621" s="25" t="str">
        <f t="shared" si="47"/>
        <v>HOLD</v>
      </c>
    </row>
    <row r="622" spans="2:13">
      <c r="B622" s="3">
        <v>42955</v>
      </c>
      <c r="C622" s="5">
        <v>45.6</v>
      </c>
      <c r="D622" s="5">
        <v>45.64</v>
      </c>
      <c r="E622" s="5">
        <v>45.82</v>
      </c>
      <c r="F622" s="5">
        <v>45.55</v>
      </c>
      <c r="G622" s="18" t="s">
        <v>1148</v>
      </c>
      <c r="H622" s="2">
        <v>-8.9999999999999998E-4</v>
      </c>
      <c r="I622" s="16">
        <f t="shared" si="48"/>
        <v>-8.7642418930760615E-4</v>
      </c>
      <c r="J622" s="16">
        <f t="shared" si="49"/>
        <v>0.99912357581069244</v>
      </c>
      <c r="K622" s="16">
        <f t="shared" si="50"/>
        <v>45.241578947368424</v>
      </c>
      <c r="L622" s="16">
        <f t="shared" si="46"/>
        <v>45.212448979591834</v>
      </c>
      <c r="M622" s="25" t="str">
        <f t="shared" si="47"/>
        <v>BUY</v>
      </c>
    </row>
    <row r="623" spans="2:13">
      <c r="B623" s="3">
        <v>42956</v>
      </c>
      <c r="C623" s="5">
        <v>45.59</v>
      </c>
      <c r="D623" s="5">
        <v>45.56</v>
      </c>
      <c r="E623" s="5">
        <v>45.66</v>
      </c>
      <c r="F623" s="5">
        <v>45.33</v>
      </c>
      <c r="G623" s="18" t="s">
        <v>413</v>
      </c>
      <c r="H623" s="2">
        <v>-2.0000000000000001E-4</v>
      </c>
      <c r="I623" s="16">
        <f t="shared" si="48"/>
        <v>-2.1929824561399145E-4</v>
      </c>
      <c r="J623" s="16">
        <f t="shared" si="49"/>
        <v>0.99978070175438605</v>
      </c>
      <c r="K623" s="16">
        <f t="shared" si="50"/>
        <v>45.298947368421054</v>
      </c>
      <c r="L623" s="16">
        <f t="shared" si="46"/>
        <v>45.21591836734693</v>
      </c>
      <c r="M623" s="25" t="str">
        <f t="shared" si="47"/>
        <v>HOLD</v>
      </c>
    </row>
    <row r="624" spans="2:13">
      <c r="B624" s="3">
        <v>42957</v>
      </c>
      <c r="C624" s="5">
        <v>45.74</v>
      </c>
      <c r="D624" s="5">
        <v>45.56</v>
      </c>
      <c r="E624" s="5">
        <v>45.84</v>
      </c>
      <c r="F624" s="5">
        <v>45.46</v>
      </c>
      <c r="G624" s="18" t="s">
        <v>1147</v>
      </c>
      <c r="H624" s="2">
        <v>3.3E-3</v>
      </c>
      <c r="I624" s="16">
        <f t="shared" si="48"/>
        <v>3.2901952182495847E-3</v>
      </c>
      <c r="J624" s="16">
        <f t="shared" si="49"/>
        <v>1.0032901952182496</v>
      </c>
      <c r="K624" s="16">
        <f t="shared" si="50"/>
        <v>45.360000000000007</v>
      </c>
      <c r="L624" s="16">
        <f t="shared" si="46"/>
        <v>45.21836734693877</v>
      </c>
      <c r="M624" s="25" t="str">
        <f t="shared" si="47"/>
        <v>HOLD</v>
      </c>
    </row>
    <row r="625" spans="2:13">
      <c r="B625" s="3">
        <v>42958</v>
      </c>
      <c r="C625" s="5">
        <v>45.59</v>
      </c>
      <c r="D625" s="5">
        <v>45.86</v>
      </c>
      <c r="E625" s="5">
        <v>45.9</v>
      </c>
      <c r="F625" s="5">
        <v>45.57</v>
      </c>
      <c r="G625" s="18" t="s">
        <v>1146</v>
      </c>
      <c r="H625" s="2">
        <v>-3.3E-3</v>
      </c>
      <c r="I625" s="16">
        <f t="shared" si="48"/>
        <v>-3.2794053344993128E-3</v>
      </c>
      <c r="J625" s="16">
        <f t="shared" si="49"/>
        <v>0.99672059466550067</v>
      </c>
      <c r="K625" s="16">
        <f t="shared" si="50"/>
        <v>45.415789473684214</v>
      </c>
      <c r="L625" s="16">
        <f t="shared" si="46"/>
        <v>45.217346938775513</v>
      </c>
      <c r="M625" s="25" t="str">
        <f t="shared" si="47"/>
        <v>HOLD</v>
      </c>
    </row>
    <row r="626" spans="2:13">
      <c r="B626" s="3">
        <v>42961</v>
      </c>
      <c r="C626" s="5">
        <v>45.8</v>
      </c>
      <c r="D626" s="5">
        <v>45.67</v>
      </c>
      <c r="E626" s="5">
        <v>45.94</v>
      </c>
      <c r="F626" s="5">
        <v>45.62</v>
      </c>
      <c r="G626" s="18" t="s">
        <v>1085</v>
      </c>
      <c r="H626" s="2">
        <v>4.5999999999999999E-3</v>
      </c>
      <c r="I626" s="16">
        <f t="shared" si="48"/>
        <v>4.6062733055493247E-3</v>
      </c>
      <c r="J626" s="16">
        <f t="shared" si="49"/>
        <v>1.0046062733055494</v>
      </c>
      <c r="K626" s="16">
        <f t="shared" si="50"/>
        <v>45.461052631578944</v>
      </c>
      <c r="L626" s="16">
        <f t="shared" si="46"/>
        <v>45.211224489795924</v>
      </c>
      <c r="M626" s="25" t="str">
        <f t="shared" si="47"/>
        <v>HOLD</v>
      </c>
    </row>
    <row r="627" spans="2:13">
      <c r="B627" s="3">
        <v>42962</v>
      </c>
      <c r="C627" s="5">
        <v>46.19</v>
      </c>
      <c r="D627" s="5">
        <v>45.8</v>
      </c>
      <c r="E627" s="5">
        <v>46.25</v>
      </c>
      <c r="F627" s="5">
        <v>45.8</v>
      </c>
      <c r="G627" s="18" t="s">
        <v>413</v>
      </c>
      <c r="H627" s="2">
        <v>8.5000000000000006E-3</v>
      </c>
      <c r="I627" s="16">
        <f t="shared" si="48"/>
        <v>8.5152838427947734E-3</v>
      </c>
      <c r="J627" s="16">
        <f t="shared" si="49"/>
        <v>1.0085152838427949</v>
      </c>
      <c r="K627" s="16">
        <f t="shared" si="50"/>
        <v>45.520526315789475</v>
      </c>
      <c r="L627" s="16">
        <f t="shared" si="46"/>
        <v>45.207346938775515</v>
      </c>
      <c r="M627" s="25" t="str">
        <f t="shared" si="47"/>
        <v>HOLD</v>
      </c>
    </row>
    <row r="628" spans="2:13">
      <c r="B628" s="3">
        <v>42963</v>
      </c>
      <c r="C628" s="5">
        <v>46.2</v>
      </c>
      <c r="D628" s="5">
        <v>46.15</v>
      </c>
      <c r="E628" s="5">
        <v>46.34</v>
      </c>
      <c r="F628" s="5">
        <v>46.12</v>
      </c>
      <c r="G628" s="18" t="s">
        <v>939</v>
      </c>
      <c r="H628" s="2">
        <v>2.0000000000000001E-4</v>
      </c>
      <c r="I628" s="16">
        <f t="shared" si="48"/>
        <v>2.1649707728956736E-4</v>
      </c>
      <c r="J628" s="16">
        <f t="shared" si="49"/>
        <v>1.0002164970772895</v>
      </c>
      <c r="K628" s="16">
        <f t="shared" si="50"/>
        <v>45.592105263157897</v>
      </c>
      <c r="L628" s="16">
        <f t="shared" si="46"/>
        <v>45.211632653061223</v>
      </c>
      <c r="M628" s="25" t="str">
        <f t="shared" si="47"/>
        <v>HOLD</v>
      </c>
    </row>
    <row r="629" spans="2:13">
      <c r="B629" s="3">
        <v>42964</v>
      </c>
      <c r="C629" s="5">
        <v>45.86</v>
      </c>
      <c r="D629" s="5">
        <v>46.12</v>
      </c>
      <c r="E629" s="5">
        <v>46.33</v>
      </c>
      <c r="F629" s="5">
        <v>45.85</v>
      </c>
      <c r="G629" s="18" t="s">
        <v>347</v>
      </c>
      <c r="H629" s="2">
        <v>-7.4000000000000003E-3</v>
      </c>
      <c r="I629" s="16">
        <f t="shared" si="48"/>
        <v>-7.3593073593074326E-3</v>
      </c>
      <c r="J629" s="16">
        <f t="shared" si="49"/>
        <v>0.99264069264069255</v>
      </c>
      <c r="K629" s="16">
        <f t="shared" si="50"/>
        <v>45.66473684210527</v>
      </c>
      <c r="L629" s="16">
        <f t="shared" si="46"/>
        <v>45.225714285714282</v>
      </c>
      <c r="M629" s="25" t="str">
        <f t="shared" si="47"/>
        <v>HOLD</v>
      </c>
    </row>
    <row r="630" spans="2:13">
      <c r="B630" s="3">
        <v>42965</v>
      </c>
      <c r="C630" s="5">
        <v>45.67</v>
      </c>
      <c r="D630" s="5">
        <v>45.8</v>
      </c>
      <c r="E630" s="5">
        <v>45.9</v>
      </c>
      <c r="F630" s="5">
        <v>45.63</v>
      </c>
      <c r="G630" s="18" t="s">
        <v>1091</v>
      </c>
      <c r="H630" s="2">
        <v>-4.1000000000000003E-3</v>
      </c>
      <c r="I630" s="16">
        <f t="shared" si="48"/>
        <v>-4.1430440470998199E-3</v>
      </c>
      <c r="J630" s="16">
        <f t="shared" si="49"/>
        <v>0.99585695595290014</v>
      </c>
      <c r="K630" s="16">
        <f t="shared" si="50"/>
        <v>45.708421052631586</v>
      </c>
      <c r="L630" s="16">
        <f t="shared" si="46"/>
        <v>45.24061224489796</v>
      </c>
      <c r="M630" s="25" t="str">
        <f t="shared" si="47"/>
        <v>HOLD</v>
      </c>
    </row>
    <row r="631" spans="2:13">
      <c r="B631" s="3">
        <v>42968</v>
      </c>
      <c r="C631" s="5">
        <v>45.68</v>
      </c>
      <c r="D631" s="5">
        <v>45.67</v>
      </c>
      <c r="E631" s="5">
        <v>45.8</v>
      </c>
      <c r="F631" s="5">
        <v>45.56</v>
      </c>
      <c r="G631" s="18" t="s">
        <v>933</v>
      </c>
      <c r="H631" s="2">
        <v>2.0000000000000001E-4</v>
      </c>
      <c r="I631" s="16">
        <f t="shared" si="48"/>
        <v>2.189621195532737E-4</v>
      </c>
      <c r="J631" s="16">
        <f t="shared" si="49"/>
        <v>1.0002189621195532</v>
      </c>
      <c r="K631" s="16">
        <f t="shared" si="50"/>
        <v>45.752105263157894</v>
      </c>
      <c r="L631" s="16">
        <f t="shared" si="46"/>
        <v>45.247755102040813</v>
      </c>
      <c r="M631" s="25" t="str">
        <f t="shared" si="47"/>
        <v>HOLD</v>
      </c>
    </row>
    <row r="632" spans="2:13">
      <c r="B632" s="3">
        <v>42969</v>
      </c>
      <c r="C632" s="5">
        <v>45.6</v>
      </c>
      <c r="D632" s="5">
        <v>45.7</v>
      </c>
      <c r="E632" s="5">
        <v>45.75</v>
      </c>
      <c r="F632" s="5">
        <v>45.54</v>
      </c>
      <c r="G632" s="18" t="s">
        <v>679</v>
      </c>
      <c r="H632" s="2">
        <v>-1.8E-3</v>
      </c>
      <c r="I632" s="16">
        <f t="shared" si="48"/>
        <v>-1.7513134851137981E-3</v>
      </c>
      <c r="J632" s="16">
        <f t="shared" si="49"/>
        <v>0.99824868651488619</v>
      </c>
      <c r="K632" s="16">
        <f t="shared" si="50"/>
        <v>45.775263157894734</v>
      </c>
      <c r="L632" s="16">
        <f t="shared" si="46"/>
        <v>45.254897959183666</v>
      </c>
      <c r="M632" s="25" t="str">
        <f t="shared" si="47"/>
        <v>HOLD</v>
      </c>
    </row>
    <row r="633" spans="2:13">
      <c r="B633" s="3">
        <v>42970</v>
      </c>
      <c r="C633" s="5">
        <v>45.54</v>
      </c>
      <c r="D633" s="5">
        <v>45.63</v>
      </c>
      <c r="E633" s="5">
        <v>45.66</v>
      </c>
      <c r="F633" s="5">
        <v>45.44</v>
      </c>
      <c r="G633" s="18" t="s">
        <v>518</v>
      </c>
      <c r="H633" s="2">
        <v>-1.2999999999999999E-3</v>
      </c>
      <c r="I633" s="16">
        <f t="shared" si="48"/>
        <v>-1.3157894736842604E-3</v>
      </c>
      <c r="J633" s="16">
        <f t="shared" si="49"/>
        <v>0.99868421052631573</v>
      </c>
      <c r="K633" s="16">
        <f t="shared" si="50"/>
        <v>45.767894736842102</v>
      </c>
      <c r="L633" s="16">
        <f t="shared" ref="L633:L696" si="51">AVERAGE(C584:C632)</f>
        <v>45.266530612244885</v>
      </c>
      <c r="M633" s="25" t="str">
        <f t="shared" ref="M633:M696" si="52">IF(AND(K633&gt;L633,K632&lt;=L632),"BUY",IF(AND(K633&lt;L633,K632&gt;=L632),"SELL","HOLD"))</f>
        <v>HOLD</v>
      </c>
    </row>
    <row r="634" spans="2:13">
      <c r="B634" s="3">
        <v>42971</v>
      </c>
      <c r="C634" s="5">
        <v>45.41</v>
      </c>
      <c r="D634" s="5">
        <v>45.54</v>
      </c>
      <c r="E634" s="5">
        <v>45.61</v>
      </c>
      <c r="F634" s="5">
        <v>45.31</v>
      </c>
      <c r="G634" s="18" t="s">
        <v>1070</v>
      </c>
      <c r="H634" s="2">
        <v>-2.8999999999999998E-3</v>
      </c>
      <c r="I634" s="16">
        <f t="shared" si="48"/>
        <v>-2.8546332894159544E-3</v>
      </c>
      <c r="J634" s="16">
        <f t="shared" si="49"/>
        <v>0.99714536671058407</v>
      </c>
      <c r="K634" s="16">
        <f t="shared" si="50"/>
        <v>45.737368421052629</v>
      </c>
      <c r="L634" s="16">
        <f t="shared" si="51"/>
        <v>45.271428571428558</v>
      </c>
      <c r="M634" s="25" t="str">
        <f t="shared" si="52"/>
        <v>HOLD</v>
      </c>
    </row>
    <row r="635" spans="2:13">
      <c r="B635" s="3">
        <v>42972</v>
      </c>
      <c r="C635" s="5">
        <v>45.57</v>
      </c>
      <c r="D635" s="5">
        <v>45.6</v>
      </c>
      <c r="E635" s="5">
        <v>45.76</v>
      </c>
      <c r="F635" s="5">
        <v>45.56</v>
      </c>
      <c r="G635" s="18" t="s">
        <v>654</v>
      </c>
      <c r="H635" s="2">
        <v>3.5000000000000001E-3</v>
      </c>
      <c r="I635" s="16">
        <f t="shared" si="48"/>
        <v>3.5234529839243273E-3</v>
      </c>
      <c r="J635" s="16">
        <f t="shared" si="49"/>
        <v>1.0035234529839243</v>
      </c>
      <c r="K635" s="16">
        <f t="shared" si="50"/>
        <v>45.705789473684206</v>
      </c>
      <c r="L635" s="16">
        <f t="shared" si="51"/>
        <v>45.274693877551002</v>
      </c>
      <c r="M635" s="25" t="str">
        <f t="shared" si="52"/>
        <v>HOLD</v>
      </c>
    </row>
    <row r="636" spans="2:13">
      <c r="B636" s="3">
        <v>42975</v>
      </c>
      <c r="C636" s="5">
        <v>45.42</v>
      </c>
      <c r="D636" s="5">
        <v>45.63</v>
      </c>
      <c r="E636" s="5">
        <v>45.69</v>
      </c>
      <c r="F636" s="5">
        <v>45.38</v>
      </c>
      <c r="G636" s="18" t="s">
        <v>1124</v>
      </c>
      <c r="H636" s="2">
        <v>-3.3E-3</v>
      </c>
      <c r="I636" s="16">
        <f t="shared" si="48"/>
        <v>-3.291639236339666E-3</v>
      </c>
      <c r="J636" s="16">
        <f t="shared" si="49"/>
        <v>0.99670836076366032</v>
      </c>
      <c r="K636" s="16">
        <f t="shared" si="50"/>
        <v>45.691578947368427</v>
      </c>
      <c r="L636" s="16">
        <f t="shared" si="51"/>
        <v>45.279999999999994</v>
      </c>
      <c r="M636" s="25" t="str">
        <f t="shared" si="52"/>
        <v>HOLD</v>
      </c>
    </row>
    <row r="637" spans="2:13">
      <c r="B637" s="3">
        <v>42976</v>
      </c>
      <c r="C637" s="5">
        <v>45.45</v>
      </c>
      <c r="D637" s="5">
        <v>45.4</v>
      </c>
      <c r="E637" s="5">
        <v>45.57</v>
      </c>
      <c r="F637" s="5">
        <v>45.25</v>
      </c>
      <c r="G637" s="18" t="s">
        <v>1145</v>
      </c>
      <c r="H637" s="2">
        <v>6.9999999999999999E-4</v>
      </c>
      <c r="I637" s="16">
        <f t="shared" si="48"/>
        <v>6.6050198150596957E-4</v>
      </c>
      <c r="J637" s="16">
        <f t="shared" si="49"/>
        <v>1.000660501981506</v>
      </c>
      <c r="K637" s="16">
        <f t="shared" si="50"/>
        <v>45.676842105263148</v>
      </c>
      <c r="L637" s="16">
        <f t="shared" si="51"/>
        <v>45.280816326530605</v>
      </c>
      <c r="M637" s="25" t="str">
        <f t="shared" si="52"/>
        <v>HOLD</v>
      </c>
    </row>
    <row r="638" spans="2:13">
      <c r="B638" s="3">
        <v>42977</v>
      </c>
      <c r="C638" s="5">
        <v>45.39</v>
      </c>
      <c r="D638" s="5">
        <v>45.36</v>
      </c>
      <c r="E638" s="5">
        <v>45.54</v>
      </c>
      <c r="F638" s="5">
        <v>45.29</v>
      </c>
      <c r="G638" s="18" t="s">
        <v>960</v>
      </c>
      <c r="H638" s="2">
        <v>-1.2999999999999999E-3</v>
      </c>
      <c r="I638" s="16">
        <f t="shared" si="48"/>
        <v>-1.32013201320137E-3</v>
      </c>
      <c r="J638" s="16">
        <f t="shared" si="49"/>
        <v>0.99867986798679864</v>
      </c>
      <c r="K638" s="16">
        <f t="shared" si="50"/>
        <v>45.66947368421053</v>
      </c>
      <c r="L638" s="16">
        <f t="shared" si="51"/>
        <v>45.277551020408154</v>
      </c>
      <c r="M638" s="25" t="str">
        <f t="shared" si="52"/>
        <v>HOLD</v>
      </c>
    </row>
    <row r="639" spans="2:13">
      <c r="B639" s="3">
        <v>42978</v>
      </c>
      <c r="C639" s="5">
        <v>45.55</v>
      </c>
      <c r="D639" s="5">
        <v>45.4</v>
      </c>
      <c r="E639" s="5">
        <v>45.65</v>
      </c>
      <c r="F639" s="5">
        <v>45.34</v>
      </c>
      <c r="G639" s="18" t="s">
        <v>905</v>
      </c>
      <c r="H639" s="2">
        <v>3.5000000000000001E-3</v>
      </c>
      <c r="I639" s="16">
        <f t="shared" si="48"/>
        <v>3.5250055078210308E-3</v>
      </c>
      <c r="J639" s="16">
        <f t="shared" si="49"/>
        <v>1.0035250055078211</v>
      </c>
      <c r="K639" s="16">
        <f t="shared" si="50"/>
        <v>45.654736842105265</v>
      </c>
      <c r="L639" s="16">
        <f t="shared" si="51"/>
        <v>45.281020408163258</v>
      </c>
      <c r="M639" s="25" t="str">
        <f t="shared" si="52"/>
        <v>HOLD</v>
      </c>
    </row>
    <row r="640" spans="2:13">
      <c r="B640" s="3">
        <v>42979</v>
      </c>
      <c r="C640" s="5">
        <v>45.78</v>
      </c>
      <c r="D640" s="5">
        <v>45.64</v>
      </c>
      <c r="E640" s="5">
        <v>45.8</v>
      </c>
      <c r="F640" s="5">
        <v>45.54</v>
      </c>
      <c r="G640" s="18" t="s">
        <v>1144</v>
      </c>
      <c r="H640" s="2">
        <v>5.0000000000000001E-3</v>
      </c>
      <c r="I640" s="16">
        <f t="shared" si="48"/>
        <v>5.0493962678376291E-3</v>
      </c>
      <c r="J640" s="16">
        <f t="shared" si="49"/>
        <v>1.0050493962678377</v>
      </c>
      <c r="K640" s="16">
        <f t="shared" si="50"/>
        <v>45.657368421052631</v>
      </c>
      <c r="L640" s="16">
        <f t="shared" si="51"/>
        <v>45.290816326530603</v>
      </c>
      <c r="M640" s="25" t="str">
        <f t="shared" si="52"/>
        <v>HOLD</v>
      </c>
    </row>
    <row r="641" spans="2:13">
      <c r="B641" s="3">
        <v>42983</v>
      </c>
      <c r="C641" s="5">
        <v>45.92</v>
      </c>
      <c r="D641" s="5">
        <v>45.75</v>
      </c>
      <c r="E641" s="5">
        <v>45.93</v>
      </c>
      <c r="F641" s="5">
        <v>45.65</v>
      </c>
      <c r="G641" s="18" t="s">
        <v>1143</v>
      </c>
      <c r="H641" s="2">
        <v>3.0999999999999999E-3</v>
      </c>
      <c r="I641" s="16">
        <f t="shared" si="48"/>
        <v>3.0581039755351804E-3</v>
      </c>
      <c r="J641" s="16">
        <f t="shared" si="49"/>
        <v>1.0030581039755351</v>
      </c>
      <c r="K641" s="16">
        <f t="shared" si="50"/>
        <v>45.664736842105263</v>
      </c>
      <c r="L641" s="16">
        <f t="shared" si="51"/>
        <v>45.301632653061219</v>
      </c>
      <c r="M641" s="25" t="str">
        <f t="shared" si="52"/>
        <v>HOLD</v>
      </c>
    </row>
    <row r="642" spans="2:13">
      <c r="B642" s="3">
        <v>42984</v>
      </c>
      <c r="C642" s="5">
        <v>45.96</v>
      </c>
      <c r="D642" s="5">
        <v>45.98</v>
      </c>
      <c r="E642" s="5">
        <v>46.04</v>
      </c>
      <c r="F642" s="5">
        <v>45.79</v>
      </c>
      <c r="G642" s="18" t="s">
        <v>270</v>
      </c>
      <c r="H642" s="2">
        <v>8.9999999999999998E-4</v>
      </c>
      <c r="I642" s="16">
        <f t="shared" si="48"/>
        <v>8.7108013937280365E-4</v>
      </c>
      <c r="J642" s="16">
        <f t="shared" si="49"/>
        <v>1.0008710801393728</v>
      </c>
      <c r="K642" s="16">
        <f t="shared" si="50"/>
        <v>45.681578947368422</v>
      </c>
      <c r="L642" s="16">
        <f t="shared" si="51"/>
        <v>45.311632653061231</v>
      </c>
      <c r="M642" s="25" t="str">
        <f t="shared" si="52"/>
        <v>HOLD</v>
      </c>
    </row>
    <row r="643" spans="2:13">
      <c r="B643" s="3">
        <v>42985</v>
      </c>
      <c r="C643" s="5">
        <v>46.28</v>
      </c>
      <c r="D643" s="5">
        <v>46.01</v>
      </c>
      <c r="E643" s="5">
        <v>46.32</v>
      </c>
      <c r="F643" s="5">
        <v>45.96</v>
      </c>
      <c r="G643" s="18" t="s">
        <v>989</v>
      </c>
      <c r="H643" s="2">
        <v>7.0000000000000001E-3</v>
      </c>
      <c r="I643" s="16">
        <f t="shared" si="48"/>
        <v>6.9625761531766812E-3</v>
      </c>
      <c r="J643" s="16">
        <f t="shared" si="49"/>
        <v>1.0069625761531766</v>
      </c>
      <c r="K643" s="16">
        <f t="shared" si="50"/>
        <v>45.701052631578953</v>
      </c>
      <c r="L643" s="16">
        <f t="shared" si="51"/>
        <v>45.330204081632658</v>
      </c>
      <c r="M643" s="25" t="str">
        <f t="shared" si="52"/>
        <v>HOLD</v>
      </c>
    </row>
    <row r="644" spans="2:13">
      <c r="B644" s="3">
        <v>42986</v>
      </c>
      <c r="C644" s="5">
        <v>46.3</v>
      </c>
      <c r="D644" s="5">
        <v>46.19</v>
      </c>
      <c r="E644" s="5">
        <v>46.37</v>
      </c>
      <c r="F644" s="5">
        <v>46.02</v>
      </c>
      <c r="G644" s="18" t="s">
        <v>172</v>
      </c>
      <c r="H644" s="2">
        <v>4.0000000000000002E-4</v>
      </c>
      <c r="I644" s="16">
        <f t="shared" si="48"/>
        <v>4.3215211754529001E-4</v>
      </c>
      <c r="J644" s="16">
        <f t="shared" si="49"/>
        <v>1.0004321521175452</v>
      </c>
      <c r="K644" s="16">
        <f t="shared" si="50"/>
        <v>45.729473684210525</v>
      </c>
      <c r="L644" s="16">
        <f t="shared" si="51"/>
        <v>45.349795918367356</v>
      </c>
      <c r="M644" s="25" t="str">
        <f t="shared" si="52"/>
        <v>HOLD</v>
      </c>
    </row>
    <row r="645" spans="2:13">
      <c r="B645" s="3">
        <v>42989</v>
      </c>
      <c r="C645" s="5">
        <v>46.52</v>
      </c>
      <c r="D645" s="5">
        <v>46.35</v>
      </c>
      <c r="E645" s="5">
        <v>46.59</v>
      </c>
      <c r="F645" s="5">
        <v>46.22</v>
      </c>
      <c r="G645" s="18" t="s">
        <v>1142</v>
      </c>
      <c r="H645" s="2">
        <v>4.7999999999999996E-3</v>
      </c>
      <c r="I645" s="16">
        <f t="shared" si="48"/>
        <v>4.7516198704104966E-3</v>
      </c>
      <c r="J645" s="16">
        <f t="shared" si="49"/>
        <v>1.0047516198704105</v>
      </c>
      <c r="K645" s="16">
        <f t="shared" si="50"/>
        <v>45.766842105263152</v>
      </c>
      <c r="L645" s="16">
        <f t="shared" si="51"/>
        <v>45.379795918367357</v>
      </c>
      <c r="M645" s="25" t="str">
        <f t="shared" si="52"/>
        <v>HOLD</v>
      </c>
    </row>
    <row r="646" spans="2:13">
      <c r="B646" s="3">
        <v>42990</v>
      </c>
      <c r="C646" s="5">
        <v>46.72</v>
      </c>
      <c r="D646" s="5">
        <v>46.5</v>
      </c>
      <c r="E646" s="5">
        <v>46.75</v>
      </c>
      <c r="F646" s="5">
        <v>46.45</v>
      </c>
      <c r="G646" s="18" t="s">
        <v>727</v>
      </c>
      <c r="H646" s="2">
        <v>4.3E-3</v>
      </c>
      <c r="I646" s="16">
        <f t="shared" si="48"/>
        <v>4.299226139294835E-3</v>
      </c>
      <c r="J646" s="16">
        <f t="shared" si="49"/>
        <v>1.0042992261392949</v>
      </c>
      <c r="K646" s="16">
        <f t="shared" si="50"/>
        <v>45.804736842105264</v>
      </c>
      <c r="L646" s="16">
        <f t="shared" si="51"/>
        <v>45.41387755102042</v>
      </c>
      <c r="M646" s="25" t="str">
        <f t="shared" si="52"/>
        <v>HOLD</v>
      </c>
    </row>
    <row r="647" spans="2:13">
      <c r="B647" s="3">
        <v>42991</v>
      </c>
      <c r="C647" s="5">
        <v>46.87</v>
      </c>
      <c r="D647" s="5">
        <v>46.68</v>
      </c>
      <c r="E647" s="5">
        <v>46.98</v>
      </c>
      <c r="F647" s="5">
        <v>46.65</v>
      </c>
      <c r="G647" s="18" t="s">
        <v>1136</v>
      </c>
      <c r="H647" s="2">
        <v>3.2000000000000002E-3</v>
      </c>
      <c r="I647" s="16">
        <f t="shared" si="48"/>
        <v>3.2106164383561338E-3</v>
      </c>
      <c r="J647" s="16">
        <f t="shared" si="49"/>
        <v>1.0032106164383561</v>
      </c>
      <c r="K647" s="16">
        <f t="shared" si="50"/>
        <v>45.832631578947364</v>
      </c>
      <c r="L647" s="16">
        <f t="shared" si="51"/>
        <v>45.453877551020412</v>
      </c>
      <c r="M647" s="25" t="str">
        <f t="shared" si="52"/>
        <v>HOLD</v>
      </c>
    </row>
    <row r="648" spans="2:13">
      <c r="B648" s="3">
        <v>42992</v>
      </c>
      <c r="C648" s="5">
        <v>46.11</v>
      </c>
      <c r="D648" s="5">
        <v>46.4</v>
      </c>
      <c r="E648" s="5">
        <v>46.47</v>
      </c>
      <c r="F648" s="5">
        <v>45.94</v>
      </c>
      <c r="G648" s="18" t="s">
        <v>321</v>
      </c>
      <c r="H648" s="2">
        <v>-1.6199999999999999E-2</v>
      </c>
      <c r="I648" s="16">
        <f t="shared" si="48"/>
        <v>-1.6215062940046897E-2</v>
      </c>
      <c r="J648" s="16">
        <f t="shared" si="49"/>
        <v>0.98378493705995307</v>
      </c>
      <c r="K648" s="16">
        <f t="shared" si="50"/>
        <v>45.867894736842096</v>
      </c>
      <c r="L648" s="16">
        <f t="shared" si="51"/>
        <v>45.495714285714286</v>
      </c>
      <c r="M648" s="25" t="str">
        <f t="shared" si="52"/>
        <v>HOLD</v>
      </c>
    </row>
    <row r="649" spans="2:13">
      <c r="B649" s="3">
        <v>42993</v>
      </c>
      <c r="C649" s="5">
        <v>46.18</v>
      </c>
      <c r="D649" s="5">
        <v>46.3</v>
      </c>
      <c r="E649" s="5">
        <v>46.36</v>
      </c>
      <c r="F649" s="5">
        <v>46</v>
      </c>
      <c r="G649" s="18" t="s">
        <v>1141</v>
      </c>
      <c r="H649" s="2">
        <v>1.5E-3</v>
      </c>
      <c r="I649" s="16">
        <f t="shared" ref="I649:I712" si="53">(C649-C648)/C648</f>
        <v>1.5181088700932615E-3</v>
      </c>
      <c r="J649" s="16">
        <f t="shared" ref="J649:J712" si="54">C649/C648</f>
        <v>1.0015181088700933</v>
      </c>
      <c r="K649" s="16">
        <f t="shared" si="50"/>
        <v>45.881052631578939</v>
      </c>
      <c r="L649" s="16">
        <f t="shared" si="51"/>
        <v>45.530612244897959</v>
      </c>
      <c r="M649" s="25" t="str">
        <f t="shared" si="52"/>
        <v>HOLD</v>
      </c>
    </row>
    <row r="650" spans="2:13">
      <c r="B650" s="3">
        <v>42996</v>
      </c>
      <c r="C650" s="5">
        <v>46.11</v>
      </c>
      <c r="D650" s="5">
        <v>46.15</v>
      </c>
      <c r="E650" s="5">
        <v>46.24</v>
      </c>
      <c r="F650" s="5">
        <v>45.91</v>
      </c>
      <c r="G650" s="18" t="s">
        <v>48</v>
      </c>
      <c r="H650" s="2">
        <v>-1.5E-3</v>
      </c>
      <c r="I650" s="16">
        <f t="shared" si="53"/>
        <v>-1.5158077089649261E-3</v>
      </c>
      <c r="J650" s="16">
        <f t="shared" si="54"/>
        <v>0.99848419229103502</v>
      </c>
      <c r="K650" s="16">
        <f t="shared" si="50"/>
        <v>45.907894736842103</v>
      </c>
      <c r="L650" s="16">
        <f t="shared" si="51"/>
        <v>45.567142857142855</v>
      </c>
      <c r="M650" s="25" t="str">
        <f t="shared" si="52"/>
        <v>HOLD</v>
      </c>
    </row>
    <row r="651" spans="2:13">
      <c r="B651" s="3">
        <v>42997</v>
      </c>
      <c r="C651" s="5">
        <v>45.98</v>
      </c>
      <c r="D651" s="5">
        <v>46.14</v>
      </c>
      <c r="E651" s="5">
        <v>46.19</v>
      </c>
      <c r="F651" s="5">
        <v>45.89</v>
      </c>
      <c r="G651" s="18" t="s">
        <v>1140</v>
      </c>
      <c r="H651" s="2">
        <v>-2.8E-3</v>
      </c>
      <c r="I651" s="16">
        <f t="shared" si="53"/>
        <v>-2.8193450444589582E-3</v>
      </c>
      <c r="J651" s="16">
        <f t="shared" si="54"/>
        <v>0.99718065495554109</v>
      </c>
      <c r="K651" s="16">
        <f t="shared" si="50"/>
        <v>45.930526315789471</v>
      </c>
      <c r="L651" s="16">
        <f t="shared" si="51"/>
        <v>45.602448979591834</v>
      </c>
      <c r="M651" s="25" t="str">
        <f t="shared" si="52"/>
        <v>HOLD</v>
      </c>
    </row>
    <row r="652" spans="2:13">
      <c r="B652" s="3">
        <v>42998</v>
      </c>
      <c r="C652" s="5">
        <v>45.78</v>
      </c>
      <c r="D652" s="5">
        <v>45.76</v>
      </c>
      <c r="E652" s="5">
        <v>46.15</v>
      </c>
      <c r="F652" s="5">
        <v>45.55</v>
      </c>
      <c r="G652" s="18" t="s">
        <v>631</v>
      </c>
      <c r="H652" s="2">
        <v>-4.3E-3</v>
      </c>
      <c r="I652" s="16">
        <f t="shared" si="53"/>
        <v>-4.349717268377463E-3</v>
      </c>
      <c r="J652" s="16">
        <f t="shared" si="54"/>
        <v>0.99565028273162248</v>
      </c>
      <c r="K652" s="16">
        <f t="shared" si="50"/>
        <v>45.950526315789467</v>
      </c>
      <c r="L652" s="16">
        <f t="shared" si="51"/>
        <v>45.636122448979606</v>
      </c>
      <c r="M652" s="25" t="str">
        <f t="shared" si="52"/>
        <v>HOLD</v>
      </c>
    </row>
    <row r="653" spans="2:13">
      <c r="B653" s="3">
        <v>42999</v>
      </c>
      <c r="C653" s="5">
        <v>45.4</v>
      </c>
      <c r="D653" s="5">
        <v>45.71</v>
      </c>
      <c r="E653" s="5">
        <v>45.79</v>
      </c>
      <c r="F653" s="5">
        <v>45.36</v>
      </c>
      <c r="G653" s="18" t="s">
        <v>1139</v>
      </c>
      <c r="H653" s="2">
        <v>-8.3000000000000001E-3</v>
      </c>
      <c r="I653" s="16">
        <f t="shared" si="53"/>
        <v>-8.3005679335955117E-3</v>
      </c>
      <c r="J653" s="16">
        <f t="shared" si="54"/>
        <v>0.99169943206640454</v>
      </c>
      <c r="K653" s="16">
        <f t="shared" si="50"/>
        <v>45.963157894736838</v>
      </c>
      <c r="L653" s="16">
        <f t="shared" si="51"/>
        <v>45.662040816326538</v>
      </c>
      <c r="M653" s="25" t="str">
        <f t="shared" si="52"/>
        <v>HOLD</v>
      </c>
    </row>
    <row r="654" spans="2:13">
      <c r="B654" s="3">
        <v>43000</v>
      </c>
      <c r="C654" s="5">
        <v>45.49</v>
      </c>
      <c r="D654" s="5">
        <v>45.45</v>
      </c>
      <c r="E654" s="5">
        <v>45.63</v>
      </c>
      <c r="F654" s="5">
        <v>45.37</v>
      </c>
      <c r="G654" s="18" t="s">
        <v>1124</v>
      </c>
      <c r="H654" s="2">
        <v>2E-3</v>
      </c>
      <c r="I654" s="16">
        <f t="shared" si="53"/>
        <v>1.9823788546256258E-3</v>
      </c>
      <c r="J654" s="16">
        <f t="shared" si="54"/>
        <v>1.0019823788546256</v>
      </c>
      <c r="K654" s="16">
        <f t="shared" si="50"/>
        <v>45.962631578947359</v>
      </c>
      <c r="L654" s="16">
        <f t="shared" si="51"/>
        <v>45.681836734693881</v>
      </c>
      <c r="M654" s="25" t="str">
        <f t="shared" si="52"/>
        <v>HOLD</v>
      </c>
    </row>
    <row r="655" spans="2:13">
      <c r="B655" s="3">
        <v>43003</v>
      </c>
      <c r="C655" s="5">
        <v>45.69</v>
      </c>
      <c r="D655" s="5">
        <v>45.5</v>
      </c>
      <c r="E655" s="5">
        <v>45.76</v>
      </c>
      <c r="F655" s="5">
        <v>45.35</v>
      </c>
      <c r="G655" s="18" t="s">
        <v>680</v>
      </c>
      <c r="H655" s="2">
        <v>4.4000000000000003E-3</v>
      </c>
      <c r="I655" s="16">
        <f t="shared" si="53"/>
        <v>4.396570674873505E-3</v>
      </c>
      <c r="J655" s="16">
        <f t="shared" si="54"/>
        <v>1.0043965706748734</v>
      </c>
      <c r="K655" s="16">
        <f t="shared" si="50"/>
        <v>45.958421052631572</v>
      </c>
      <c r="L655" s="16">
        <f t="shared" si="51"/>
        <v>45.698367346938781</v>
      </c>
      <c r="M655" s="25" t="str">
        <f t="shared" si="52"/>
        <v>HOLD</v>
      </c>
    </row>
    <row r="656" spans="2:13">
      <c r="B656" s="3">
        <v>43004</v>
      </c>
      <c r="C656" s="5">
        <v>45.57</v>
      </c>
      <c r="D656" s="5">
        <v>45.69</v>
      </c>
      <c r="E656" s="5">
        <v>45.87</v>
      </c>
      <c r="F656" s="5">
        <v>45.56</v>
      </c>
      <c r="G656" s="18" t="s">
        <v>1138</v>
      </c>
      <c r="H656" s="2">
        <v>-2.5999999999999999E-3</v>
      </c>
      <c r="I656" s="16">
        <f t="shared" si="53"/>
        <v>-2.6263952724884538E-3</v>
      </c>
      <c r="J656" s="16">
        <f t="shared" si="54"/>
        <v>0.99737360472751158</v>
      </c>
      <c r="K656" s="16">
        <f t="shared" si="50"/>
        <v>45.972631578947357</v>
      </c>
      <c r="L656" s="16">
        <f t="shared" si="51"/>
        <v>45.717959183673464</v>
      </c>
      <c r="M656" s="25" t="str">
        <f t="shared" si="52"/>
        <v>HOLD</v>
      </c>
    </row>
    <row r="657" spans="2:13">
      <c r="B657" s="3">
        <v>43005</v>
      </c>
      <c r="C657" s="5">
        <v>44.64</v>
      </c>
      <c r="D657" s="5">
        <v>45.47</v>
      </c>
      <c r="E657" s="5">
        <v>45.5</v>
      </c>
      <c r="F657" s="5">
        <v>44.38</v>
      </c>
      <c r="G657" s="18" t="s">
        <v>504</v>
      </c>
      <c r="H657" s="2">
        <v>-2.0400000000000001E-2</v>
      </c>
      <c r="I657" s="16">
        <f t="shared" si="53"/>
        <v>-2.0408163265306117E-2</v>
      </c>
      <c r="J657" s="16">
        <f t="shared" si="54"/>
        <v>0.97959183673469385</v>
      </c>
      <c r="K657" s="16">
        <f t="shared" si="50"/>
        <v>45.978947368421053</v>
      </c>
      <c r="L657" s="16">
        <f t="shared" si="51"/>
        <v>45.736326530612246</v>
      </c>
      <c r="M657" s="25" t="str">
        <f t="shared" si="52"/>
        <v>HOLD</v>
      </c>
    </row>
    <row r="658" spans="2:13">
      <c r="B658" s="3">
        <v>43006</v>
      </c>
      <c r="C658" s="5">
        <v>44.91</v>
      </c>
      <c r="D658" s="5">
        <v>44.67</v>
      </c>
      <c r="E658" s="5">
        <v>45</v>
      </c>
      <c r="F658" s="5">
        <v>44.65</v>
      </c>
      <c r="G658" s="18" t="s">
        <v>99</v>
      </c>
      <c r="H658" s="2">
        <v>6.0000000000000001E-3</v>
      </c>
      <c r="I658" s="16">
        <f t="shared" si="53"/>
        <v>6.048387096774104E-3</v>
      </c>
      <c r="J658" s="16">
        <f t="shared" si="54"/>
        <v>1.006048387096774</v>
      </c>
      <c r="K658" s="16">
        <f t="shared" si="50"/>
        <v>45.939473684210519</v>
      </c>
      <c r="L658" s="16">
        <f t="shared" si="51"/>
        <v>45.732448979591837</v>
      </c>
      <c r="M658" s="25" t="str">
        <f t="shared" si="52"/>
        <v>HOLD</v>
      </c>
    </row>
    <row r="659" spans="2:13">
      <c r="B659" s="3">
        <v>43007</v>
      </c>
      <c r="C659" s="5">
        <v>45.01</v>
      </c>
      <c r="D659" s="5">
        <v>44.86</v>
      </c>
      <c r="E659" s="5">
        <v>45.11</v>
      </c>
      <c r="F659" s="5">
        <v>44.79</v>
      </c>
      <c r="G659" s="18" t="s">
        <v>481</v>
      </c>
      <c r="H659" s="2">
        <v>2.2000000000000001E-3</v>
      </c>
      <c r="I659" s="16">
        <f t="shared" si="53"/>
        <v>2.2266755733689921E-3</v>
      </c>
      <c r="J659" s="16">
        <f t="shared" si="54"/>
        <v>1.0022266755733691</v>
      </c>
      <c r="K659" s="16">
        <f t="shared" si="50"/>
        <v>45.905789473684209</v>
      </c>
      <c r="L659" s="16">
        <f t="shared" si="51"/>
        <v>45.734285714285711</v>
      </c>
      <c r="M659" s="25" t="str">
        <f t="shared" si="52"/>
        <v>HOLD</v>
      </c>
    </row>
    <row r="660" spans="2:13">
      <c r="B660" s="3">
        <v>43010</v>
      </c>
      <c r="C660" s="5">
        <v>44.8</v>
      </c>
      <c r="D660" s="5">
        <v>45.05</v>
      </c>
      <c r="E660" s="5">
        <v>45.27</v>
      </c>
      <c r="F660" s="5">
        <v>44.74</v>
      </c>
      <c r="G660" s="18" t="s">
        <v>407</v>
      </c>
      <c r="H660" s="2">
        <v>-4.7000000000000002E-3</v>
      </c>
      <c r="I660" s="16">
        <f t="shared" si="53"/>
        <v>-4.6656298600311237E-3</v>
      </c>
      <c r="J660" s="16">
        <f t="shared" si="54"/>
        <v>0.99533437013996884</v>
      </c>
      <c r="K660" s="16">
        <f t="shared" si="50"/>
        <v>45.865263157894731</v>
      </c>
      <c r="L660" s="16">
        <f t="shared" si="51"/>
        <v>45.733877551020406</v>
      </c>
      <c r="M660" s="25" t="str">
        <f t="shared" si="52"/>
        <v>HOLD</v>
      </c>
    </row>
    <row r="661" spans="2:13">
      <c r="B661" s="3">
        <v>43011</v>
      </c>
      <c r="C661" s="5">
        <v>45.19</v>
      </c>
      <c r="D661" s="5">
        <v>44.86</v>
      </c>
      <c r="E661" s="5">
        <v>45.26</v>
      </c>
      <c r="F661" s="5">
        <v>44.76</v>
      </c>
      <c r="G661" s="18" t="s">
        <v>673</v>
      </c>
      <c r="H661" s="2">
        <v>8.6999999999999994E-3</v>
      </c>
      <c r="I661" s="16">
        <f t="shared" si="53"/>
        <v>8.7053571428571553E-3</v>
      </c>
      <c r="J661" s="16">
        <f t="shared" si="54"/>
        <v>1.0087053571428573</v>
      </c>
      <c r="K661" s="16">
        <f t="shared" si="50"/>
        <v>45.806315789473686</v>
      </c>
      <c r="L661" s="16">
        <f t="shared" si="51"/>
        <v>45.733061224489795</v>
      </c>
      <c r="M661" s="25" t="str">
        <f t="shared" si="52"/>
        <v>HOLD</v>
      </c>
    </row>
    <row r="662" spans="2:13">
      <c r="B662" s="3">
        <v>43012</v>
      </c>
      <c r="C662" s="5">
        <v>45.5</v>
      </c>
      <c r="D662" s="5">
        <v>45.11</v>
      </c>
      <c r="E662" s="5">
        <v>45.56</v>
      </c>
      <c r="F662" s="5">
        <v>44.94</v>
      </c>
      <c r="G662" s="18" t="s">
        <v>1137</v>
      </c>
      <c r="H662" s="2">
        <v>6.8999999999999999E-3</v>
      </c>
      <c r="I662" s="16">
        <f t="shared" si="53"/>
        <v>6.8599247621155632E-3</v>
      </c>
      <c r="J662" s="16">
        <f t="shared" si="54"/>
        <v>1.0068599247621155</v>
      </c>
      <c r="K662" s="16">
        <f t="shared" si="50"/>
        <v>45.765789473684208</v>
      </c>
      <c r="L662" s="16">
        <f t="shared" si="51"/>
        <v>45.732040816326538</v>
      </c>
      <c r="M662" s="25" t="str">
        <f t="shared" si="52"/>
        <v>HOLD</v>
      </c>
    </row>
    <row r="663" spans="2:13">
      <c r="B663" s="3">
        <v>43013</v>
      </c>
      <c r="C663" s="5">
        <v>45.52</v>
      </c>
      <c r="D663" s="5">
        <v>45.51</v>
      </c>
      <c r="E663" s="5">
        <v>45.74</v>
      </c>
      <c r="F663" s="5">
        <v>45.5</v>
      </c>
      <c r="G663" s="18" t="s">
        <v>1136</v>
      </c>
      <c r="H663" s="2">
        <v>4.0000000000000002E-4</v>
      </c>
      <c r="I663" s="16">
        <f t="shared" si="53"/>
        <v>4.395604395605083E-4</v>
      </c>
      <c r="J663" s="16">
        <f t="shared" si="54"/>
        <v>1.0004395604395606</v>
      </c>
      <c r="K663" s="16">
        <f t="shared" si="50"/>
        <v>45.724736842105266</v>
      </c>
      <c r="L663" s="16">
        <f t="shared" si="51"/>
        <v>45.727142857142866</v>
      </c>
      <c r="M663" s="25" t="str">
        <f t="shared" si="52"/>
        <v>SELL</v>
      </c>
    </row>
    <row r="664" spans="2:13">
      <c r="B664" s="3">
        <v>43014</v>
      </c>
      <c r="C664" s="5">
        <v>45.49</v>
      </c>
      <c r="D664" s="5">
        <v>45.39</v>
      </c>
      <c r="E664" s="5">
        <v>45.52</v>
      </c>
      <c r="F664" s="5">
        <v>45.28</v>
      </c>
      <c r="G664" s="18" t="s">
        <v>1135</v>
      </c>
      <c r="H664" s="2">
        <v>-6.9999999999999999E-4</v>
      </c>
      <c r="I664" s="16">
        <f t="shared" si="53"/>
        <v>-6.5905096660810931E-4</v>
      </c>
      <c r="J664" s="16">
        <f t="shared" si="54"/>
        <v>0.99934094903339188</v>
      </c>
      <c r="K664" s="16">
        <f t="shared" si="50"/>
        <v>45.683684210526316</v>
      </c>
      <c r="L664" s="16">
        <f t="shared" si="51"/>
        <v>45.714897959183681</v>
      </c>
      <c r="M664" s="25" t="str">
        <f t="shared" si="52"/>
        <v>HOLD</v>
      </c>
    </row>
    <row r="665" spans="2:13">
      <c r="B665" s="3">
        <v>43017</v>
      </c>
      <c r="C665" s="5">
        <v>45.41</v>
      </c>
      <c r="D665" s="5">
        <v>45.55</v>
      </c>
      <c r="E665" s="5">
        <v>45.65</v>
      </c>
      <c r="F665" s="5">
        <v>45.34</v>
      </c>
      <c r="G665" s="18" t="s">
        <v>1134</v>
      </c>
      <c r="H665" s="2">
        <v>-1.8E-3</v>
      </c>
      <c r="I665" s="16">
        <f t="shared" si="53"/>
        <v>-1.7586282699495581E-3</v>
      </c>
      <c r="J665" s="16">
        <f t="shared" si="54"/>
        <v>0.99824137173005045</v>
      </c>
      <c r="K665" s="16">
        <f t="shared" si="50"/>
        <v>45.629473684210517</v>
      </c>
      <c r="L665" s="16">
        <f t="shared" si="51"/>
        <v>45.70428571428571</v>
      </c>
      <c r="M665" s="25" t="str">
        <f t="shared" si="52"/>
        <v>HOLD</v>
      </c>
    </row>
    <row r="666" spans="2:13">
      <c r="B666" s="3">
        <v>43018</v>
      </c>
      <c r="C666" s="5">
        <v>45.87</v>
      </c>
      <c r="D666" s="5">
        <v>45.6</v>
      </c>
      <c r="E666" s="5">
        <v>45.9</v>
      </c>
      <c r="F666" s="5">
        <v>45.52</v>
      </c>
      <c r="G666" s="18" t="s">
        <v>1133</v>
      </c>
      <c r="H666" s="2">
        <v>1.01E-2</v>
      </c>
      <c r="I666" s="16">
        <f t="shared" si="53"/>
        <v>1.0129927328782226E-2</v>
      </c>
      <c r="J666" s="16">
        <f t="shared" si="54"/>
        <v>1.0101299273287823</v>
      </c>
      <c r="K666" s="16">
        <f t="shared" si="50"/>
        <v>45.56052631578946</v>
      </c>
      <c r="L666" s="16">
        <f t="shared" si="51"/>
        <v>45.695510204081621</v>
      </c>
      <c r="M666" s="25" t="str">
        <f t="shared" si="52"/>
        <v>HOLD</v>
      </c>
    </row>
    <row r="667" spans="2:13">
      <c r="B667" s="3">
        <v>43019</v>
      </c>
      <c r="C667" s="5">
        <v>46.1</v>
      </c>
      <c r="D667" s="5">
        <v>45.88</v>
      </c>
      <c r="E667" s="5">
        <v>46.2</v>
      </c>
      <c r="F667" s="5">
        <v>45.87</v>
      </c>
      <c r="G667" s="18" t="s">
        <v>1132</v>
      </c>
      <c r="H667" s="2">
        <v>5.0000000000000001E-3</v>
      </c>
      <c r="I667" s="16">
        <f t="shared" si="53"/>
        <v>5.0141704817964683E-3</v>
      </c>
      <c r="J667" s="16">
        <f t="shared" si="54"/>
        <v>1.0050141704817965</v>
      </c>
      <c r="K667" s="16">
        <f t="shared" ref="K667:K730" si="55">AVERAGE(C648:C666)</f>
        <v>45.507894736842097</v>
      </c>
      <c r="L667" s="16">
        <f t="shared" si="51"/>
        <v>45.698979591836725</v>
      </c>
      <c r="M667" s="25" t="str">
        <f t="shared" si="52"/>
        <v>HOLD</v>
      </c>
    </row>
    <row r="668" spans="2:13">
      <c r="B668" s="3">
        <v>43020</v>
      </c>
      <c r="C668" s="5">
        <v>46.11</v>
      </c>
      <c r="D668" s="5">
        <v>45.98</v>
      </c>
      <c r="E668" s="5">
        <v>46.14</v>
      </c>
      <c r="F668" s="5">
        <v>45.94</v>
      </c>
      <c r="G668" s="18" t="s">
        <v>684</v>
      </c>
      <c r="H668" s="2">
        <v>2.0000000000000001E-4</v>
      </c>
      <c r="I668" s="16">
        <f t="shared" si="53"/>
        <v>2.169197396962692E-4</v>
      </c>
      <c r="J668" s="16">
        <f t="shared" si="54"/>
        <v>1.0002169197396962</v>
      </c>
      <c r="K668" s="16">
        <f t="shared" si="55"/>
        <v>45.507368421052632</v>
      </c>
      <c r="L668" s="16">
        <f t="shared" si="51"/>
        <v>45.709387755102028</v>
      </c>
      <c r="M668" s="25" t="str">
        <f t="shared" si="52"/>
        <v>HOLD</v>
      </c>
    </row>
    <row r="669" spans="2:13">
      <c r="B669" s="3">
        <v>43021</v>
      </c>
      <c r="C669" s="5">
        <v>46.18</v>
      </c>
      <c r="D669" s="5">
        <v>46.25</v>
      </c>
      <c r="E669" s="5">
        <v>46.38</v>
      </c>
      <c r="F669" s="5">
        <v>46.15</v>
      </c>
      <c r="G669" s="18" t="s">
        <v>960</v>
      </c>
      <c r="H669" s="2">
        <v>1.5E-3</v>
      </c>
      <c r="I669" s="16">
        <f t="shared" si="53"/>
        <v>1.5181088700932615E-3</v>
      </c>
      <c r="J669" s="16">
        <f t="shared" si="54"/>
        <v>1.0015181088700933</v>
      </c>
      <c r="K669" s="16">
        <f t="shared" si="55"/>
        <v>45.503684210526316</v>
      </c>
      <c r="L669" s="16">
        <f t="shared" si="51"/>
        <v>45.718367346938763</v>
      </c>
      <c r="M669" s="25" t="str">
        <f t="shared" si="52"/>
        <v>HOLD</v>
      </c>
    </row>
    <row r="670" spans="2:13">
      <c r="B670" s="3">
        <v>43024</v>
      </c>
      <c r="C670" s="5">
        <v>46.62</v>
      </c>
      <c r="D670" s="5">
        <v>46.12</v>
      </c>
      <c r="E670" s="5">
        <v>46.75</v>
      </c>
      <c r="F670" s="5">
        <v>46.1</v>
      </c>
      <c r="G670" s="18" t="s">
        <v>1096</v>
      </c>
      <c r="H670" s="2">
        <v>9.4999999999999998E-3</v>
      </c>
      <c r="I670" s="16">
        <f t="shared" si="53"/>
        <v>9.52793417063659E-3</v>
      </c>
      <c r="J670" s="16">
        <f t="shared" si="54"/>
        <v>1.0095279341706367</v>
      </c>
      <c r="K670" s="16">
        <f t="shared" si="55"/>
        <v>45.507368421052632</v>
      </c>
      <c r="L670" s="16">
        <f t="shared" si="51"/>
        <v>45.732244897959177</v>
      </c>
      <c r="M670" s="25" t="str">
        <f t="shared" si="52"/>
        <v>HOLD</v>
      </c>
    </row>
    <row r="671" spans="2:13">
      <c r="B671" s="3">
        <v>43025</v>
      </c>
      <c r="C671" s="5">
        <v>46.52</v>
      </c>
      <c r="D671" s="5">
        <v>46.53</v>
      </c>
      <c r="E671" s="5">
        <v>46.63</v>
      </c>
      <c r="F671" s="5">
        <v>46.31</v>
      </c>
      <c r="G671" s="18" t="s">
        <v>629</v>
      </c>
      <c r="H671" s="2">
        <v>-2.0999999999999999E-3</v>
      </c>
      <c r="I671" s="16">
        <f t="shared" si="53"/>
        <v>-2.145002145002023E-3</v>
      </c>
      <c r="J671" s="16">
        <f t="shared" si="54"/>
        <v>0.99785499785499798</v>
      </c>
      <c r="K671" s="16">
        <f t="shared" si="55"/>
        <v>45.541052631578943</v>
      </c>
      <c r="L671" s="16">
        <f t="shared" si="51"/>
        <v>45.75224489795918</v>
      </c>
      <c r="M671" s="25" t="str">
        <f t="shared" si="52"/>
        <v>HOLD</v>
      </c>
    </row>
    <row r="672" spans="2:13">
      <c r="B672" s="3">
        <v>43026</v>
      </c>
      <c r="C672" s="5">
        <v>46.4</v>
      </c>
      <c r="D672" s="5">
        <v>46.41</v>
      </c>
      <c r="E672" s="5">
        <v>46.53</v>
      </c>
      <c r="F672" s="5">
        <v>46.24</v>
      </c>
      <c r="G672" s="18" t="s">
        <v>892</v>
      </c>
      <c r="H672" s="2">
        <v>-2.5999999999999999E-3</v>
      </c>
      <c r="I672" s="16">
        <f t="shared" si="53"/>
        <v>-2.5795356835770539E-3</v>
      </c>
      <c r="J672" s="16">
        <f t="shared" si="54"/>
        <v>0.99742046431642295</v>
      </c>
      <c r="K672" s="16">
        <f t="shared" si="55"/>
        <v>45.579999999999991</v>
      </c>
      <c r="L672" s="16">
        <f t="shared" si="51"/>
        <v>45.77102040816326</v>
      </c>
      <c r="M672" s="25" t="str">
        <f t="shared" si="52"/>
        <v>HOLD</v>
      </c>
    </row>
    <row r="673" spans="2:13">
      <c r="B673" s="3">
        <v>43027</v>
      </c>
      <c r="C673" s="5">
        <v>46.59</v>
      </c>
      <c r="D673" s="5">
        <v>46.37</v>
      </c>
      <c r="E673" s="5">
        <v>46.79</v>
      </c>
      <c r="F673" s="5">
        <v>46.32</v>
      </c>
      <c r="G673" s="18" t="s">
        <v>1131</v>
      </c>
      <c r="H673" s="2">
        <v>4.1000000000000003E-3</v>
      </c>
      <c r="I673" s="16">
        <f t="shared" si="53"/>
        <v>4.094827586207001E-3</v>
      </c>
      <c r="J673" s="16">
        <f t="shared" si="54"/>
        <v>1.0040948275862069</v>
      </c>
      <c r="K673" s="16">
        <f t="shared" si="55"/>
        <v>45.632631578947368</v>
      </c>
      <c r="L673" s="16">
        <f t="shared" si="51"/>
        <v>45.787551020408159</v>
      </c>
      <c r="M673" s="25" t="str">
        <f t="shared" si="52"/>
        <v>HOLD</v>
      </c>
    </row>
    <row r="674" spans="2:13">
      <c r="B674" s="3">
        <v>43028</v>
      </c>
      <c r="C674" s="5">
        <v>46.38</v>
      </c>
      <c r="D674" s="5">
        <v>46.58</v>
      </c>
      <c r="E674" s="5">
        <v>46.59</v>
      </c>
      <c r="F674" s="5">
        <v>46.28</v>
      </c>
      <c r="G674" s="18" t="s">
        <v>981</v>
      </c>
      <c r="H674" s="2">
        <v>-4.4999999999999997E-3</v>
      </c>
      <c r="I674" s="16">
        <f t="shared" si="53"/>
        <v>-4.5074050225370433E-3</v>
      </c>
      <c r="J674" s="16">
        <f t="shared" si="54"/>
        <v>0.99549259497746301</v>
      </c>
      <c r="K674" s="16">
        <f t="shared" si="55"/>
        <v>45.690526315789469</v>
      </c>
      <c r="L674" s="16">
        <f t="shared" si="51"/>
        <v>45.804897959183677</v>
      </c>
      <c r="M674" s="25" t="str">
        <f t="shared" si="52"/>
        <v>HOLD</v>
      </c>
    </row>
    <row r="675" spans="2:13">
      <c r="B675" s="3">
        <v>43031</v>
      </c>
      <c r="C675" s="5">
        <v>46.32</v>
      </c>
      <c r="D675" s="5">
        <v>46.38</v>
      </c>
      <c r="E675" s="5">
        <v>46.65</v>
      </c>
      <c r="F675" s="5">
        <v>46.23</v>
      </c>
      <c r="G675" s="18" t="s">
        <v>1130</v>
      </c>
      <c r="H675" s="2">
        <v>-1.2999999999999999E-3</v>
      </c>
      <c r="I675" s="16">
        <f t="shared" si="53"/>
        <v>-1.2936610608021188E-3</v>
      </c>
      <c r="J675" s="16">
        <f t="shared" si="54"/>
        <v>0.99870633893919791</v>
      </c>
      <c r="K675" s="16">
        <f t="shared" si="55"/>
        <v>45.726842105263152</v>
      </c>
      <c r="L675" s="16">
        <f t="shared" si="51"/>
        <v>45.821020408163278</v>
      </c>
      <c r="M675" s="25" t="str">
        <f t="shared" si="52"/>
        <v>HOLD</v>
      </c>
    </row>
    <row r="676" spans="2:13">
      <c r="B676" s="3">
        <v>43032</v>
      </c>
      <c r="C676" s="5">
        <v>46.18</v>
      </c>
      <c r="D676" s="5">
        <v>46.26</v>
      </c>
      <c r="E676" s="5">
        <v>46.29</v>
      </c>
      <c r="F676" s="5">
        <v>45.95</v>
      </c>
      <c r="G676" s="18" t="s">
        <v>917</v>
      </c>
      <c r="H676" s="2">
        <v>-3.0000000000000001E-3</v>
      </c>
      <c r="I676" s="16">
        <f t="shared" si="53"/>
        <v>-3.0224525043178016E-3</v>
      </c>
      <c r="J676" s="16">
        <f t="shared" si="54"/>
        <v>0.99697754749568224</v>
      </c>
      <c r="K676" s="16">
        <f t="shared" si="55"/>
        <v>45.766315789473687</v>
      </c>
      <c r="L676" s="16">
        <f t="shared" si="51"/>
        <v>45.831632653061234</v>
      </c>
      <c r="M676" s="25" t="str">
        <f t="shared" si="52"/>
        <v>HOLD</v>
      </c>
    </row>
    <row r="677" spans="2:13">
      <c r="B677" s="3">
        <v>43033</v>
      </c>
      <c r="C677" s="5">
        <v>46.05</v>
      </c>
      <c r="D677" s="5">
        <v>46.37</v>
      </c>
      <c r="E677" s="5">
        <v>46.76</v>
      </c>
      <c r="F677" s="5">
        <v>45.93</v>
      </c>
      <c r="G677" s="18" t="s">
        <v>577</v>
      </c>
      <c r="H677" s="2">
        <v>-2.8E-3</v>
      </c>
      <c r="I677" s="16">
        <f t="shared" si="53"/>
        <v>-2.815071459506335E-3</v>
      </c>
      <c r="J677" s="16">
        <f t="shared" si="54"/>
        <v>0.99718492854049368</v>
      </c>
      <c r="K677" s="16">
        <f t="shared" si="55"/>
        <v>45.847368421052629</v>
      </c>
      <c r="L677" s="16">
        <f t="shared" si="51"/>
        <v>45.831428571428575</v>
      </c>
      <c r="M677" s="25" t="str">
        <f t="shared" si="52"/>
        <v>BUY</v>
      </c>
    </row>
    <row r="678" spans="2:13">
      <c r="B678" s="3">
        <v>43034</v>
      </c>
      <c r="C678" s="5">
        <v>46.23</v>
      </c>
      <c r="D678" s="5">
        <v>46.32</v>
      </c>
      <c r="E678" s="5">
        <v>46.75</v>
      </c>
      <c r="F678" s="5">
        <v>46.22</v>
      </c>
      <c r="G678" s="18" t="s">
        <v>672</v>
      </c>
      <c r="H678" s="2">
        <v>3.8999999999999998E-3</v>
      </c>
      <c r="I678" s="16">
        <f t="shared" si="53"/>
        <v>3.9087947882736097E-3</v>
      </c>
      <c r="J678" s="16">
        <f t="shared" si="54"/>
        <v>1.0039087947882737</v>
      </c>
      <c r="K678" s="16">
        <f t="shared" si="55"/>
        <v>45.907368421052624</v>
      </c>
      <c r="L678" s="16">
        <f t="shared" si="51"/>
        <v>45.828367346938776</v>
      </c>
      <c r="M678" s="25" t="str">
        <f t="shared" si="52"/>
        <v>HOLD</v>
      </c>
    </row>
    <row r="679" spans="2:13">
      <c r="B679" s="3">
        <v>43035</v>
      </c>
      <c r="C679" s="5">
        <v>46.07</v>
      </c>
      <c r="D679" s="5">
        <v>46.13</v>
      </c>
      <c r="E679" s="5">
        <v>46.33</v>
      </c>
      <c r="F679" s="5">
        <v>45.91</v>
      </c>
      <c r="G679" s="18" t="s">
        <v>451</v>
      </c>
      <c r="H679" s="2">
        <v>-3.5000000000000001E-3</v>
      </c>
      <c r="I679" s="16">
        <f t="shared" si="53"/>
        <v>-3.4609560891195458E-3</v>
      </c>
      <c r="J679" s="16">
        <f t="shared" si="54"/>
        <v>0.99653904391088044</v>
      </c>
      <c r="K679" s="16">
        <f t="shared" si="55"/>
        <v>45.971578947368421</v>
      </c>
      <c r="L679" s="16">
        <f t="shared" si="51"/>
        <v>45.835918367346942</v>
      </c>
      <c r="M679" s="25" t="str">
        <f t="shared" si="52"/>
        <v>HOLD</v>
      </c>
    </row>
    <row r="680" spans="2:13">
      <c r="B680" s="3">
        <v>43038</v>
      </c>
      <c r="C680" s="5">
        <v>45.86</v>
      </c>
      <c r="D680" s="5">
        <v>46</v>
      </c>
      <c r="E680" s="5">
        <v>46.07</v>
      </c>
      <c r="F680" s="5">
        <v>45.82</v>
      </c>
      <c r="G680" s="18" t="s">
        <v>1129</v>
      </c>
      <c r="H680" s="2">
        <v>-4.5999999999999999E-3</v>
      </c>
      <c r="I680" s="16">
        <f t="shared" si="53"/>
        <v>-4.5582808769264347E-3</v>
      </c>
      <c r="J680" s="16">
        <f t="shared" si="54"/>
        <v>0.99544171912307355</v>
      </c>
      <c r="K680" s="16">
        <f t="shared" si="55"/>
        <v>46.038421052631584</v>
      </c>
      <c r="L680" s="16">
        <f t="shared" si="51"/>
        <v>45.844081632653065</v>
      </c>
      <c r="M680" s="25" t="str">
        <f t="shared" si="52"/>
        <v>HOLD</v>
      </c>
    </row>
    <row r="681" spans="2:13">
      <c r="B681" s="3">
        <v>43039</v>
      </c>
      <c r="C681" s="5">
        <v>45.98</v>
      </c>
      <c r="D681" s="5">
        <v>45.92</v>
      </c>
      <c r="E681" s="5">
        <v>46.17</v>
      </c>
      <c r="F681" s="5">
        <v>45.84</v>
      </c>
      <c r="G681" s="18" t="s">
        <v>1128</v>
      </c>
      <c r="H681" s="2">
        <v>2.5999999999999999E-3</v>
      </c>
      <c r="I681" s="16">
        <f t="shared" si="53"/>
        <v>2.6166593981682825E-3</v>
      </c>
      <c r="J681" s="16">
        <f t="shared" si="54"/>
        <v>1.0026166593981682</v>
      </c>
      <c r="K681" s="16">
        <f t="shared" si="55"/>
        <v>46.073684210526324</v>
      </c>
      <c r="L681" s="16">
        <f t="shared" si="51"/>
        <v>45.847755102040821</v>
      </c>
      <c r="M681" s="25" t="str">
        <f t="shared" si="52"/>
        <v>HOLD</v>
      </c>
    </row>
    <row r="682" spans="2:13">
      <c r="B682" s="3">
        <v>43040</v>
      </c>
      <c r="C682" s="5">
        <v>45.8</v>
      </c>
      <c r="D682" s="5">
        <v>45.75</v>
      </c>
      <c r="E682" s="5">
        <v>46.09</v>
      </c>
      <c r="F682" s="5">
        <v>45.63</v>
      </c>
      <c r="G682" s="18" t="s">
        <v>1109</v>
      </c>
      <c r="H682" s="2">
        <v>-3.8999999999999998E-3</v>
      </c>
      <c r="I682" s="16">
        <f t="shared" si="53"/>
        <v>-3.9147455415397938E-3</v>
      </c>
      <c r="J682" s="16">
        <f t="shared" si="54"/>
        <v>0.99608525445846019</v>
      </c>
      <c r="K682" s="16">
        <f t="shared" si="55"/>
        <v>46.098947368421051</v>
      </c>
      <c r="L682" s="16">
        <f t="shared" si="51"/>
        <v>45.855510204081632</v>
      </c>
      <c r="M682" s="25" t="str">
        <f t="shared" si="52"/>
        <v>HOLD</v>
      </c>
    </row>
    <row r="683" spans="2:13">
      <c r="B683" s="3">
        <v>43041</v>
      </c>
      <c r="C683" s="5">
        <v>45.88</v>
      </c>
      <c r="D683" s="5">
        <v>45.81</v>
      </c>
      <c r="E683" s="5">
        <v>45.95</v>
      </c>
      <c r="F683" s="5">
        <v>45.74</v>
      </c>
      <c r="G683" s="18" t="s">
        <v>772</v>
      </c>
      <c r="H683" s="2">
        <v>1.6999999999999999E-3</v>
      </c>
      <c r="I683" s="16">
        <f t="shared" si="53"/>
        <v>1.7467248908298123E-3</v>
      </c>
      <c r="J683" s="16">
        <f t="shared" si="54"/>
        <v>1.0017467248908298</v>
      </c>
      <c r="K683" s="16">
        <f t="shared" si="55"/>
        <v>46.113684210526316</v>
      </c>
      <c r="L683" s="16">
        <f t="shared" si="51"/>
        <v>45.860816326530617</v>
      </c>
      <c r="M683" s="25" t="str">
        <f t="shared" si="52"/>
        <v>HOLD</v>
      </c>
    </row>
    <row r="684" spans="2:13">
      <c r="B684" s="3">
        <v>43042</v>
      </c>
      <c r="C684" s="5">
        <v>45.97</v>
      </c>
      <c r="D684" s="5">
        <v>45.97</v>
      </c>
      <c r="E684" s="5">
        <v>46.16</v>
      </c>
      <c r="F684" s="5">
        <v>45.92</v>
      </c>
      <c r="G684" s="18" t="s">
        <v>1127</v>
      </c>
      <c r="H684" s="2">
        <v>2E-3</v>
      </c>
      <c r="I684" s="16">
        <f t="shared" si="53"/>
        <v>1.9616390584131713E-3</v>
      </c>
      <c r="J684" s="16">
        <f t="shared" si="54"/>
        <v>1.0019616390584132</v>
      </c>
      <c r="K684" s="16">
        <f t="shared" si="55"/>
        <v>46.13421052631579</v>
      </c>
      <c r="L684" s="16">
        <f t="shared" si="51"/>
        <v>45.87040816326531</v>
      </c>
      <c r="M684" s="25" t="str">
        <f t="shared" si="52"/>
        <v>HOLD</v>
      </c>
    </row>
    <row r="685" spans="2:13">
      <c r="B685" s="3">
        <v>43045</v>
      </c>
      <c r="C685" s="5">
        <v>45.47</v>
      </c>
      <c r="D685" s="5">
        <v>45.91</v>
      </c>
      <c r="E685" s="5">
        <v>45.92</v>
      </c>
      <c r="F685" s="5">
        <v>45.42</v>
      </c>
      <c r="G685" s="18" t="s">
        <v>1126</v>
      </c>
      <c r="H685" s="2">
        <v>-1.09E-2</v>
      </c>
      <c r="I685" s="16">
        <f t="shared" si="53"/>
        <v>-1.0876658690450293E-2</v>
      </c>
      <c r="J685" s="16">
        <f t="shared" si="54"/>
        <v>0.98912334130954971</v>
      </c>
      <c r="K685" s="16">
        <f t="shared" si="55"/>
        <v>46.16368421052632</v>
      </c>
      <c r="L685" s="16">
        <f t="shared" si="51"/>
        <v>45.878571428571426</v>
      </c>
      <c r="M685" s="25" t="str">
        <f t="shared" si="52"/>
        <v>HOLD</v>
      </c>
    </row>
    <row r="686" spans="2:13">
      <c r="B686" s="3">
        <v>43046</v>
      </c>
      <c r="C686" s="5">
        <v>45.94</v>
      </c>
      <c r="D686" s="5">
        <v>45.41</v>
      </c>
      <c r="E686" s="5">
        <v>45.95</v>
      </c>
      <c r="F686" s="5">
        <v>45.31</v>
      </c>
      <c r="G686" s="18" t="s">
        <v>410</v>
      </c>
      <c r="H686" s="2">
        <v>1.03E-2</v>
      </c>
      <c r="I686" s="16">
        <f t="shared" si="53"/>
        <v>1.033648559489771E-2</v>
      </c>
      <c r="J686" s="16">
        <f t="shared" si="54"/>
        <v>1.0103364855948977</v>
      </c>
      <c r="K686" s="16">
        <f t="shared" si="55"/>
        <v>46.142631578947373</v>
      </c>
      <c r="L686" s="16">
        <f t="shared" si="51"/>
        <v>45.879591836734683</v>
      </c>
      <c r="M686" s="25" t="str">
        <f t="shared" si="52"/>
        <v>HOLD</v>
      </c>
    </row>
    <row r="687" spans="2:13">
      <c r="B687" s="3">
        <v>43047</v>
      </c>
      <c r="C687" s="5">
        <v>46.18</v>
      </c>
      <c r="D687" s="5">
        <v>45.98</v>
      </c>
      <c r="E687" s="5">
        <v>46.19</v>
      </c>
      <c r="F687" s="5">
        <v>45.87</v>
      </c>
      <c r="G687" s="18" t="s">
        <v>1125</v>
      </c>
      <c r="H687" s="2">
        <v>5.1999999999999998E-3</v>
      </c>
      <c r="I687" s="16">
        <f t="shared" si="53"/>
        <v>5.224205485415803E-3</v>
      </c>
      <c r="J687" s="16">
        <f t="shared" si="54"/>
        <v>1.0052242054854159</v>
      </c>
      <c r="K687" s="16">
        <f t="shared" si="55"/>
        <v>46.134210526315798</v>
      </c>
      <c r="L687" s="16">
        <f t="shared" si="51"/>
        <v>45.889591836734688</v>
      </c>
      <c r="M687" s="25" t="str">
        <f t="shared" si="52"/>
        <v>HOLD</v>
      </c>
    </row>
    <row r="688" spans="2:13">
      <c r="B688" s="3">
        <v>43048</v>
      </c>
      <c r="C688" s="5">
        <v>46.23</v>
      </c>
      <c r="D688" s="5">
        <v>46.12</v>
      </c>
      <c r="E688" s="5">
        <v>46.38</v>
      </c>
      <c r="F688" s="5">
        <v>46.02</v>
      </c>
      <c r="G688" s="18" t="s">
        <v>518</v>
      </c>
      <c r="H688" s="2">
        <v>1.1000000000000001E-3</v>
      </c>
      <c r="I688" s="16">
        <f t="shared" si="53"/>
        <v>1.0827197921177384E-3</v>
      </c>
      <c r="J688" s="16">
        <f t="shared" si="54"/>
        <v>1.0010827197921177</v>
      </c>
      <c r="K688" s="16">
        <f t="shared" si="55"/>
        <v>46.137894736842107</v>
      </c>
      <c r="L688" s="16">
        <f t="shared" si="51"/>
        <v>45.905714285714261</v>
      </c>
      <c r="M688" s="25" t="str">
        <f t="shared" si="52"/>
        <v>HOLD</v>
      </c>
    </row>
    <row r="689" spans="2:13">
      <c r="B689" s="3">
        <v>43049</v>
      </c>
      <c r="C689" s="5">
        <v>46.54</v>
      </c>
      <c r="D689" s="5">
        <v>46.2</v>
      </c>
      <c r="E689" s="5">
        <v>46.64</v>
      </c>
      <c r="F689" s="5">
        <v>46.13</v>
      </c>
      <c r="G689" s="18" t="s">
        <v>1124</v>
      </c>
      <c r="H689" s="2">
        <v>6.7000000000000002E-3</v>
      </c>
      <c r="I689" s="16">
        <f t="shared" si="53"/>
        <v>6.7056024226693116E-3</v>
      </c>
      <c r="J689" s="16">
        <f t="shared" si="54"/>
        <v>1.0067056024226693</v>
      </c>
      <c r="K689" s="16">
        <f t="shared" si="55"/>
        <v>46.140526315789472</v>
      </c>
      <c r="L689" s="16">
        <f t="shared" si="51"/>
        <v>45.919591836734675</v>
      </c>
      <c r="M689" s="25" t="str">
        <f t="shared" si="52"/>
        <v>HOLD</v>
      </c>
    </row>
    <row r="690" spans="2:13">
      <c r="B690" s="3">
        <v>43052</v>
      </c>
      <c r="C690" s="5">
        <v>46.72</v>
      </c>
      <c r="D690" s="5">
        <v>46.6</v>
      </c>
      <c r="E690" s="5">
        <v>46.81</v>
      </c>
      <c r="F690" s="5">
        <v>46.54</v>
      </c>
      <c r="G690" s="18" t="s">
        <v>454</v>
      </c>
      <c r="H690" s="2">
        <v>3.8999999999999998E-3</v>
      </c>
      <c r="I690" s="16">
        <f t="shared" si="53"/>
        <v>3.8676407391491129E-3</v>
      </c>
      <c r="J690" s="16">
        <f t="shared" si="54"/>
        <v>1.0038676407391491</v>
      </c>
      <c r="K690" s="16">
        <f t="shared" si="55"/>
        <v>46.136315789473684</v>
      </c>
      <c r="L690" s="16">
        <f t="shared" si="51"/>
        <v>45.935102040816311</v>
      </c>
      <c r="M690" s="25" t="str">
        <f t="shared" si="52"/>
        <v>HOLD</v>
      </c>
    </row>
    <row r="691" spans="2:13">
      <c r="B691" s="3">
        <v>43053</v>
      </c>
      <c r="C691" s="5">
        <v>47.43</v>
      </c>
      <c r="D691" s="5">
        <v>46.71</v>
      </c>
      <c r="E691" s="5">
        <v>47.48</v>
      </c>
      <c r="F691" s="5">
        <v>46.62</v>
      </c>
      <c r="G691" s="18" t="s">
        <v>128</v>
      </c>
      <c r="H691" s="2">
        <v>1.52E-2</v>
      </c>
      <c r="I691" s="16">
        <f t="shared" si="53"/>
        <v>1.5196917808219197E-2</v>
      </c>
      <c r="J691" s="16">
        <f t="shared" si="54"/>
        <v>1.0151969178082192</v>
      </c>
      <c r="K691" s="16">
        <f t="shared" si="55"/>
        <v>46.146842105263161</v>
      </c>
      <c r="L691" s="16">
        <f t="shared" si="51"/>
        <v>45.951428571428558</v>
      </c>
      <c r="M691" s="25" t="str">
        <f t="shared" si="52"/>
        <v>HOLD</v>
      </c>
    </row>
    <row r="692" spans="2:13">
      <c r="B692" s="3">
        <v>43054</v>
      </c>
      <c r="C692" s="5">
        <v>46.81</v>
      </c>
      <c r="D692" s="5">
        <v>47.32</v>
      </c>
      <c r="E692" s="5">
        <v>47.46</v>
      </c>
      <c r="F692" s="5">
        <v>46.78</v>
      </c>
      <c r="G692" s="18" t="s">
        <v>1040</v>
      </c>
      <c r="H692" s="2">
        <v>-1.3100000000000001E-2</v>
      </c>
      <c r="I692" s="16">
        <f t="shared" si="53"/>
        <v>-1.3071895424836548E-2</v>
      </c>
      <c r="J692" s="16">
        <f t="shared" si="54"/>
        <v>0.98692810457516345</v>
      </c>
      <c r="K692" s="16">
        <f t="shared" si="55"/>
        <v>46.201052631578946</v>
      </c>
      <c r="L692" s="16">
        <f t="shared" si="51"/>
        <v>45.981428571428559</v>
      </c>
      <c r="M692" s="25" t="str">
        <f t="shared" si="52"/>
        <v>HOLD</v>
      </c>
    </row>
    <row r="693" spans="2:13">
      <c r="B693" s="3">
        <v>43055</v>
      </c>
      <c r="C693" s="5">
        <v>46.55</v>
      </c>
      <c r="D693" s="5">
        <v>46.95</v>
      </c>
      <c r="E693" s="5">
        <v>46.98</v>
      </c>
      <c r="F693" s="5">
        <v>46.51</v>
      </c>
      <c r="G693" s="18" t="s">
        <v>133</v>
      </c>
      <c r="H693" s="2">
        <v>-5.5999999999999999E-3</v>
      </c>
      <c r="I693" s="16">
        <f t="shared" si="53"/>
        <v>-5.5543687246315983E-3</v>
      </c>
      <c r="J693" s="16">
        <f t="shared" si="54"/>
        <v>0.99444563127536845</v>
      </c>
      <c r="K693" s="16">
        <f t="shared" si="55"/>
        <v>46.212631578947367</v>
      </c>
      <c r="L693" s="16">
        <f t="shared" si="51"/>
        <v>45.992244897959175</v>
      </c>
      <c r="M693" s="25" t="str">
        <f t="shared" si="52"/>
        <v>HOLD</v>
      </c>
    </row>
    <row r="694" spans="2:13">
      <c r="B694" s="3">
        <v>43056</v>
      </c>
      <c r="C694" s="5">
        <v>45.71</v>
      </c>
      <c r="D694" s="5">
        <v>46.34</v>
      </c>
      <c r="E694" s="5">
        <v>46.38</v>
      </c>
      <c r="F694" s="5">
        <v>45.25</v>
      </c>
      <c r="G694" s="18" t="s">
        <v>1123</v>
      </c>
      <c r="H694" s="2">
        <v>-1.7999999999999999E-2</v>
      </c>
      <c r="I694" s="16">
        <f t="shared" si="53"/>
        <v>-1.8045112781954809E-2</v>
      </c>
      <c r="J694" s="16">
        <f t="shared" si="54"/>
        <v>0.98195488721804514</v>
      </c>
      <c r="K694" s="16">
        <f t="shared" si="55"/>
        <v>46.221578947368414</v>
      </c>
      <c r="L694" s="16">
        <f t="shared" si="51"/>
        <v>45.997346938775507</v>
      </c>
      <c r="M694" s="25" t="str">
        <f t="shared" si="52"/>
        <v>HOLD</v>
      </c>
    </row>
    <row r="695" spans="2:13">
      <c r="B695" s="3">
        <v>43059</v>
      </c>
      <c r="C695" s="5">
        <v>45.46</v>
      </c>
      <c r="D695" s="5">
        <v>45.65</v>
      </c>
      <c r="E695" s="5">
        <v>45.88</v>
      </c>
      <c r="F695" s="5">
        <v>45.42</v>
      </c>
      <c r="G695" s="18" t="s">
        <v>1122</v>
      </c>
      <c r="H695" s="2">
        <v>-5.4999999999999997E-3</v>
      </c>
      <c r="I695" s="16">
        <f t="shared" si="53"/>
        <v>-5.4692627433821916E-3</v>
      </c>
      <c r="J695" s="16">
        <f t="shared" si="54"/>
        <v>0.99453073725661778</v>
      </c>
      <c r="K695" s="16">
        <f t="shared" si="55"/>
        <v>46.189473684210519</v>
      </c>
      <c r="L695" s="16">
        <f t="shared" si="51"/>
        <v>45.980816326530608</v>
      </c>
      <c r="M695" s="25" t="str">
        <f t="shared" si="52"/>
        <v>HOLD</v>
      </c>
    </row>
    <row r="696" spans="2:13">
      <c r="B696" s="3">
        <v>43060</v>
      </c>
      <c r="C696" s="5">
        <v>45.78</v>
      </c>
      <c r="D696" s="5">
        <v>45.56</v>
      </c>
      <c r="E696" s="5">
        <v>45.95</v>
      </c>
      <c r="F696" s="5">
        <v>45.54</v>
      </c>
      <c r="G696" s="18" t="s">
        <v>121</v>
      </c>
      <c r="H696" s="2">
        <v>7.0000000000000001E-3</v>
      </c>
      <c r="I696" s="16">
        <f t="shared" si="53"/>
        <v>7.0391553013638428E-3</v>
      </c>
      <c r="J696" s="16">
        <f t="shared" si="54"/>
        <v>1.0070391553013638</v>
      </c>
      <c r="K696" s="16">
        <f t="shared" si="55"/>
        <v>46.151578947368414</v>
      </c>
      <c r="L696" s="16">
        <f t="shared" si="51"/>
        <v>45.955102040816328</v>
      </c>
      <c r="M696" s="25" t="str">
        <f t="shared" si="52"/>
        <v>HOLD</v>
      </c>
    </row>
    <row r="697" spans="2:13">
      <c r="B697" s="3">
        <v>43061</v>
      </c>
      <c r="C697" s="5">
        <v>45.84</v>
      </c>
      <c r="D697" s="5">
        <v>45.89</v>
      </c>
      <c r="E697" s="5">
        <v>45.93</v>
      </c>
      <c r="F697" s="5">
        <v>45.54</v>
      </c>
      <c r="G697" s="18" t="s">
        <v>1119</v>
      </c>
      <c r="H697" s="2">
        <v>1.2999999999999999E-3</v>
      </c>
      <c r="I697" s="16">
        <f t="shared" si="53"/>
        <v>1.3106159895151218E-3</v>
      </c>
      <c r="J697" s="16">
        <f t="shared" si="54"/>
        <v>1.0013106159895151</v>
      </c>
      <c r="K697" s="16">
        <f t="shared" si="55"/>
        <v>46.137368421052628</v>
      </c>
      <c r="L697" s="16">
        <f t="shared" ref="L697:L760" si="56">AVERAGE(C648:C696)</f>
        <v>45.932857142857152</v>
      </c>
      <c r="M697" s="25" t="str">
        <f t="shared" ref="M697:M760" si="57">IF(AND(K697&gt;L697,K696&lt;=L696),"BUY",IF(AND(K697&lt;L697,K696&gt;=L696),"SELL","HOLD"))</f>
        <v>HOLD</v>
      </c>
    </row>
    <row r="698" spans="2:13">
      <c r="B698" s="3">
        <v>43063</v>
      </c>
      <c r="C698" s="5">
        <v>45.88</v>
      </c>
      <c r="D698" s="5">
        <v>45.89</v>
      </c>
      <c r="E698" s="5">
        <v>46.05</v>
      </c>
      <c r="F698" s="5">
        <v>45.86</v>
      </c>
      <c r="G698" s="18" t="s">
        <v>1121</v>
      </c>
      <c r="H698" s="2">
        <v>8.9999999999999998E-4</v>
      </c>
      <c r="I698" s="16">
        <f t="shared" si="53"/>
        <v>8.7260034904012098E-4</v>
      </c>
      <c r="J698" s="16">
        <f t="shared" si="54"/>
        <v>1.00087260034904</v>
      </c>
      <c r="K698" s="16">
        <f t="shared" si="55"/>
        <v>46.116842105263153</v>
      </c>
      <c r="L698" s="16">
        <f t="shared" si="56"/>
        <v>45.927346938775521</v>
      </c>
      <c r="M698" s="25" t="str">
        <f t="shared" si="57"/>
        <v>HOLD</v>
      </c>
    </row>
    <row r="699" spans="2:13">
      <c r="B699" s="3">
        <v>43066</v>
      </c>
      <c r="C699" s="5">
        <v>45.9</v>
      </c>
      <c r="D699" s="5">
        <v>45.88</v>
      </c>
      <c r="E699" s="5">
        <v>45.99</v>
      </c>
      <c r="F699" s="5">
        <v>45.81</v>
      </c>
      <c r="G699" s="18" t="s">
        <v>1120</v>
      </c>
      <c r="H699" s="2">
        <v>4.0000000000000002E-4</v>
      </c>
      <c r="I699" s="16">
        <f t="shared" si="53"/>
        <v>4.3591979075841366E-4</v>
      </c>
      <c r="J699" s="16">
        <f t="shared" si="54"/>
        <v>1.0004359197907584</v>
      </c>
      <c r="K699" s="16">
        <f t="shared" si="55"/>
        <v>46.106842105263155</v>
      </c>
      <c r="L699" s="16">
        <f t="shared" si="56"/>
        <v>45.921224489795925</v>
      </c>
      <c r="M699" s="25" t="str">
        <f t="shared" si="57"/>
        <v>HOLD</v>
      </c>
    </row>
    <row r="700" spans="2:13">
      <c r="B700" s="3">
        <v>43067</v>
      </c>
      <c r="C700" s="5">
        <v>45.83</v>
      </c>
      <c r="D700" s="5">
        <v>45.99</v>
      </c>
      <c r="E700" s="5">
        <v>46.15</v>
      </c>
      <c r="F700" s="5">
        <v>45.78</v>
      </c>
      <c r="G700" s="18" t="s">
        <v>1119</v>
      </c>
      <c r="H700" s="2">
        <v>-1.5E-3</v>
      </c>
      <c r="I700" s="16">
        <f t="shared" si="53"/>
        <v>-1.525054466230943E-3</v>
      </c>
      <c r="J700" s="16">
        <f t="shared" si="54"/>
        <v>0.99847494553376903</v>
      </c>
      <c r="K700" s="16">
        <f t="shared" si="55"/>
        <v>46.108947368421056</v>
      </c>
      <c r="L700" s="16">
        <f t="shared" si="56"/>
        <v>45.916938775510218</v>
      </c>
      <c r="M700" s="25" t="str">
        <f t="shared" si="57"/>
        <v>HOLD</v>
      </c>
    </row>
    <row r="701" spans="2:13">
      <c r="B701" s="3">
        <v>43068</v>
      </c>
      <c r="C701" s="5">
        <v>45.5</v>
      </c>
      <c r="D701" s="5">
        <v>45.77</v>
      </c>
      <c r="E701" s="5">
        <v>45.82</v>
      </c>
      <c r="F701" s="5">
        <v>45.21</v>
      </c>
      <c r="G701" s="18" t="s">
        <v>66</v>
      </c>
      <c r="H701" s="2">
        <v>-7.1999999999999998E-3</v>
      </c>
      <c r="I701" s="16">
        <f t="shared" si="53"/>
        <v>-7.2005236744490135E-3</v>
      </c>
      <c r="J701" s="16">
        <f t="shared" si="54"/>
        <v>0.99279947632555099</v>
      </c>
      <c r="K701" s="16">
        <f t="shared" si="55"/>
        <v>46.101052631578952</v>
      </c>
      <c r="L701" s="16">
        <f t="shared" si="56"/>
        <v>45.91387755102042</v>
      </c>
      <c r="M701" s="25" t="str">
        <f t="shared" si="57"/>
        <v>HOLD</v>
      </c>
    </row>
    <row r="702" spans="2:13">
      <c r="B702" s="3">
        <v>43069</v>
      </c>
      <c r="C702" s="5">
        <v>45.77</v>
      </c>
      <c r="D702" s="5">
        <v>45.14</v>
      </c>
      <c r="E702" s="5">
        <v>45.84</v>
      </c>
      <c r="F702" s="5">
        <v>45.03</v>
      </c>
      <c r="G702" s="18" t="s">
        <v>358</v>
      </c>
      <c r="H702" s="2">
        <v>5.8999999999999999E-3</v>
      </c>
      <c r="I702" s="16">
        <f t="shared" si="53"/>
        <v>5.934065934066003E-3</v>
      </c>
      <c r="J702" s="16">
        <f t="shared" si="54"/>
        <v>1.0059340659340661</v>
      </c>
      <c r="K702" s="16">
        <f t="shared" si="55"/>
        <v>46.085263157894744</v>
      </c>
      <c r="L702" s="16">
        <f t="shared" si="56"/>
        <v>45.908163265306122</v>
      </c>
      <c r="M702" s="25" t="str">
        <f t="shared" si="57"/>
        <v>HOLD</v>
      </c>
    </row>
    <row r="703" spans="2:13">
      <c r="B703" s="3">
        <v>43070</v>
      </c>
      <c r="C703" s="5">
        <v>45.97</v>
      </c>
      <c r="D703" s="5">
        <v>45.8</v>
      </c>
      <c r="E703" s="5">
        <v>46.02</v>
      </c>
      <c r="F703" s="5">
        <v>45.21</v>
      </c>
      <c r="G703" s="18" t="s">
        <v>334</v>
      </c>
      <c r="H703" s="2">
        <v>4.4000000000000003E-3</v>
      </c>
      <c r="I703" s="16">
        <f t="shared" si="53"/>
        <v>4.3696744592526919E-3</v>
      </c>
      <c r="J703" s="16">
        <f t="shared" si="54"/>
        <v>1.0043696744592527</v>
      </c>
      <c r="K703" s="16">
        <f t="shared" si="55"/>
        <v>46.079473684210527</v>
      </c>
      <c r="L703" s="16">
        <f t="shared" si="56"/>
        <v>45.91571428571428</v>
      </c>
      <c r="M703" s="25" t="str">
        <f t="shared" si="57"/>
        <v>HOLD</v>
      </c>
    </row>
    <row r="704" spans="2:13">
      <c r="B704" s="3">
        <v>43073</v>
      </c>
      <c r="C704" s="5">
        <v>46.23</v>
      </c>
      <c r="D704" s="5">
        <v>45.99</v>
      </c>
      <c r="E704" s="5">
        <v>46.38</v>
      </c>
      <c r="F704" s="5">
        <v>45.77</v>
      </c>
      <c r="G704" s="18" t="s">
        <v>464</v>
      </c>
      <c r="H704" s="2">
        <v>5.7000000000000002E-3</v>
      </c>
      <c r="I704" s="16">
        <f t="shared" si="53"/>
        <v>5.6558625190341093E-3</v>
      </c>
      <c r="J704" s="16">
        <f t="shared" si="54"/>
        <v>1.0056558625190342</v>
      </c>
      <c r="K704" s="16">
        <f t="shared" si="55"/>
        <v>46.079473684210527</v>
      </c>
      <c r="L704" s="16">
        <f t="shared" si="56"/>
        <v>45.925510204081633</v>
      </c>
      <c r="M704" s="25" t="str">
        <f t="shared" si="57"/>
        <v>HOLD</v>
      </c>
    </row>
    <row r="705" spans="2:13">
      <c r="B705" s="3">
        <v>43074</v>
      </c>
      <c r="C705" s="5">
        <v>46.26</v>
      </c>
      <c r="D705" s="5">
        <v>46.25</v>
      </c>
      <c r="E705" s="5">
        <v>46.44</v>
      </c>
      <c r="F705" s="5">
        <v>46.06</v>
      </c>
      <c r="G705" s="18" t="s">
        <v>214</v>
      </c>
      <c r="H705" s="2">
        <v>5.9999999999999995E-4</v>
      </c>
      <c r="I705" s="16">
        <f t="shared" si="53"/>
        <v>6.489292667099533E-4</v>
      </c>
      <c r="J705" s="16">
        <f t="shared" si="54"/>
        <v>1.00064892926671</v>
      </c>
      <c r="K705" s="16">
        <f t="shared" si="55"/>
        <v>46.119473684210526</v>
      </c>
      <c r="L705" s="16">
        <f t="shared" si="56"/>
        <v>45.936530612244894</v>
      </c>
      <c r="M705" s="25" t="str">
        <f t="shared" si="57"/>
        <v>HOLD</v>
      </c>
    </row>
    <row r="706" spans="2:13">
      <c r="B706" s="3">
        <v>43075</v>
      </c>
      <c r="C706" s="5">
        <v>46.45</v>
      </c>
      <c r="D706" s="5">
        <v>46.33</v>
      </c>
      <c r="E706" s="5">
        <v>46.48</v>
      </c>
      <c r="F706" s="5">
        <v>46.26</v>
      </c>
      <c r="G706" s="18" t="s">
        <v>396</v>
      </c>
      <c r="H706" s="2">
        <v>4.1000000000000003E-3</v>
      </c>
      <c r="I706" s="16">
        <f t="shared" si="53"/>
        <v>4.1072200605275578E-3</v>
      </c>
      <c r="J706" s="16">
        <f t="shared" si="54"/>
        <v>1.0041072200605277</v>
      </c>
      <c r="K706" s="16">
        <f t="shared" si="55"/>
        <v>46.136315789473684</v>
      </c>
      <c r="L706" s="16">
        <f t="shared" si="56"/>
        <v>45.950612244897968</v>
      </c>
      <c r="M706" s="25" t="str">
        <f t="shared" si="57"/>
        <v>HOLD</v>
      </c>
    </row>
    <row r="707" spans="2:13">
      <c r="B707" s="3">
        <v>43076</v>
      </c>
      <c r="C707" s="5">
        <v>45.78</v>
      </c>
      <c r="D707" s="5">
        <v>46.29</v>
      </c>
      <c r="E707" s="5">
        <v>46.32</v>
      </c>
      <c r="F707" s="5">
        <v>45.72</v>
      </c>
      <c r="G707" s="18" t="s">
        <v>195</v>
      </c>
      <c r="H707" s="2">
        <v>-1.44E-2</v>
      </c>
      <c r="I707" s="16">
        <f t="shared" si="53"/>
        <v>-1.4424111948331575E-2</v>
      </c>
      <c r="J707" s="16">
        <f t="shared" si="54"/>
        <v>0.9855758880516684</v>
      </c>
      <c r="K707" s="16">
        <f t="shared" si="55"/>
        <v>46.150526315789477</v>
      </c>
      <c r="L707" s="16">
        <f t="shared" si="56"/>
        <v>45.987551020408169</v>
      </c>
      <c r="M707" s="25" t="str">
        <f t="shared" si="57"/>
        <v>HOLD</v>
      </c>
    </row>
    <row r="708" spans="2:13">
      <c r="B708" s="3">
        <v>43077</v>
      </c>
      <c r="C708" s="5">
        <v>45.31</v>
      </c>
      <c r="D708" s="5">
        <v>45.7</v>
      </c>
      <c r="E708" s="5">
        <v>45.73</v>
      </c>
      <c r="F708" s="5">
        <v>45.05</v>
      </c>
      <c r="G708" s="18" t="s">
        <v>149</v>
      </c>
      <c r="H708" s="2">
        <v>-1.03E-2</v>
      </c>
      <c r="I708" s="16">
        <f t="shared" si="53"/>
        <v>-1.0266491917868039E-2</v>
      </c>
      <c r="J708" s="16">
        <f t="shared" si="54"/>
        <v>0.98973350808213201</v>
      </c>
      <c r="K708" s="16">
        <f t="shared" si="55"/>
        <v>46.126842105263165</v>
      </c>
      <c r="L708" s="16">
        <f t="shared" si="56"/>
        <v>46.005306122448985</v>
      </c>
      <c r="M708" s="25" t="str">
        <f t="shared" si="57"/>
        <v>HOLD</v>
      </c>
    </row>
    <row r="709" spans="2:13">
      <c r="B709" s="3">
        <v>43080</v>
      </c>
      <c r="C709" s="5">
        <v>45.33</v>
      </c>
      <c r="D709" s="5">
        <v>45.18</v>
      </c>
      <c r="E709" s="5">
        <v>45.41</v>
      </c>
      <c r="F709" s="5">
        <v>44.92</v>
      </c>
      <c r="G709" s="18" t="s">
        <v>729</v>
      </c>
      <c r="H709" s="2">
        <v>4.0000000000000002E-4</v>
      </c>
      <c r="I709" s="16">
        <f t="shared" si="53"/>
        <v>4.4140366365032045E-4</v>
      </c>
      <c r="J709" s="16">
        <f t="shared" si="54"/>
        <v>1.0004414036636504</v>
      </c>
      <c r="K709" s="16">
        <f t="shared" si="55"/>
        <v>46.062105263157896</v>
      </c>
      <c r="L709" s="16">
        <f t="shared" si="56"/>
        <v>46.011428571428581</v>
      </c>
      <c r="M709" s="25" t="str">
        <f t="shared" si="57"/>
        <v>HOLD</v>
      </c>
    </row>
    <row r="710" spans="2:13">
      <c r="B710" s="3">
        <v>43081</v>
      </c>
      <c r="C710" s="5">
        <v>45.29</v>
      </c>
      <c r="D710" s="5">
        <v>45.25</v>
      </c>
      <c r="E710" s="5">
        <v>45.52</v>
      </c>
      <c r="F710" s="5">
        <v>45.06</v>
      </c>
      <c r="G710" s="18" t="s">
        <v>227</v>
      </c>
      <c r="H710" s="2">
        <v>-8.9999999999999998E-4</v>
      </c>
      <c r="I710" s="16">
        <f t="shared" si="53"/>
        <v>-8.8241782484004298E-4</v>
      </c>
      <c r="J710" s="16">
        <f t="shared" si="54"/>
        <v>0.99911758217516</v>
      </c>
      <c r="K710" s="16">
        <f t="shared" si="55"/>
        <v>45.988947368421059</v>
      </c>
      <c r="L710" s="16">
        <f t="shared" si="56"/>
        <v>46.022244897959197</v>
      </c>
      <c r="M710" s="25" t="str">
        <f t="shared" si="57"/>
        <v>SELL</v>
      </c>
    </row>
    <row r="711" spans="2:13">
      <c r="B711" s="3">
        <v>43082</v>
      </c>
      <c r="C711" s="5">
        <v>45.9</v>
      </c>
      <c r="D711" s="5">
        <v>45.45</v>
      </c>
      <c r="E711" s="5">
        <v>46.05</v>
      </c>
      <c r="F711" s="5">
        <v>45.4</v>
      </c>
      <c r="G711" s="18" t="s">
        <v>1040</v>
      </c>
      <c r="H711" s="2">
        <v>1.35E-2</v>
      </c>
      <c r="I711" s="16">
        <f t="shared" si="53"/>
        <v>1.3468756899977908E-2</v>
      </c>
      <c r="J711" s="16">
        <f t="shared" si="54"/>
        <v>1.0134687568999778</v>
      </c>
      <c r="K711" s="16">
        <f t="shared" si="55"/>
        <v>45.876315789473686</v>
      </c>
      <c r="L711" s="16">
        <f t="shared" si="56"/>
        <v>46.024285714285718</v>
      </c>
      <c r="M711" s="25" t="str">
        <f t="shared" si="57"/>
        <v>HOLD</v>
      </c>
    </row>
    <row r="712" spans="2:13">
      <c r="B712" s="3">
        <v>43083</v>
      </c>
      <c r="C712" s="5">
        <v>46.03</v>
      </c>
      <c r="D712" s="5">
        <v>45.81</v>
      </c>
      <c r="E712" s="5">
        <v>46.17</v>
      </c>
      <c r="F712" s="5">
        <v>45.8</v>
      </c>
      <c r="G712" s="18" t="s">
        <v>154</v>
      </c>
      <c r="H712" s="2">
        <v>2.8E-3</v>
      </c>
      <c r="I712" s="16">
        <f t="shared" si="53"/>
        <v>2.832244008714653E-3</v>
      </c>
      <c r="J712" s="16">
        <f t="shared" si="54"/>
        <v>1.0028322440087147</v>
      </c>
      <c r="K712" s="16">
        <f t="shared" si="55"/>
        <v>45.828421052631576</v>
      </c>
      <c r="L712" s="16">
        <f t="shared" si="56"/>
        <v>46.032448979591841</v>
      </c>
      <c r="M712" s="25" t="str">
        <f t="shared" si="57"/>
        <v>HOLD</v>
      </c>
    </row>
    <row r="713" spans="2:13">
      <c r="B713" s="3">
        <v>43084</v>
      </c>
      <c r="C713" s="5">
        <v>46.19</v>
      </c>
      <c r="D713" s="5">
        <v>46.29</v>
      </c>
      <c r="E713" s="5">
        <v>46.42</v>
      </c>
      <c r="F713" s="5">
        <v>46.04</v>
      </c>
      <c r="G713" s="18" t="s">
        <v>1118</v>
      </c>
      <c r="H713" s="2">
        <v>3.5000000000000001E-3</v>
      </c>
      <c r="I713" s="16">
        <f t="shared" ref="I713:I776" si="58">(C713-C712)/C712</f>
        <v>3.4759939170105709E-3</v>
      </c>
      <c r="J713" s="16">
        <f t="shared" ref="J713:J776" si="59">C713/C712</f>
        <v>1.0034759939170106</v>
      </c>
      <c r="K713" s="16">
        <f t="shared" si="55"/>
        <v>45.801052631578948</v>
      </c>
      <c r="L713" s="16">
        <f t="shared" si="56"/>
        <v>46.042857142857152</v>
      </c>
      <c r="M713" s="25" t="str">
        <f t="shared" si="57"/>
        <v>HOLD</v>
      </c>
    </row>
    <row r="714" spans="2:13">
      <c r="B714" s="3">
        <v>43087</v>
      </c>
      <c r="C714" s="5">
        <v>45.93</v>
      </c>
      <c r="D714" s="5">
        <v>46.2</v>
      </c>
      <c r="E714" s="5">
        <v>46.38</v>
      </c>
      <c r="F714" s="5">
        <v>45.91</v>
      </c>
      <c r="G714" s="18" t="s">
        <v>212</v>
      </c>
      <c r="H714" s="2">
        <v>-5.5999999999999999E-3</v>
      </c>
      <c r="I714" s="16">
        <f t="shared" si="58"/>
        <v>-5.6289240095258285E-3</v>
      </c>
      <c r="J714" s="16">
        <f t="shared" si="59"/>
        <v>0.99437107599047414</v>
      </c>
      <c r="K714" s="16">
        <f t="shared" si="55"/>
        <v>45.826315789473689</v>
      </c>
      <c r="L714" s="16">
        <f t="shared" si="56"/>
        <v>46.057142857142871</v>
      </c>
      <c r="M714" s="25" t="str">
        <f t="shared" si="57"/>
        <v>HOLD</v>
      </c>
    </row>
    <row r="715" spans="2:13">
      <c r="B715" s="3">
        <v>43088</v>
      </c>
      <c r="C715" s="5">
        <v>46.13</v>
      </c>
      <c r="D715" s="5">
        <v>46.04</v>
      </c>
      <c r="E715" s="5">
        <v>46.38</v>
      </c>
      <c r="F715" s="5">
        <v>45.91</v>
      </c>
      <c r="G715" s="18" t="s">
        <v>1117</v>
      </c>
      <c r="H715" s="2">
        <v>4.4000000000000003E-3</v>
      </c>
      <c r="I715" s="16">
        <f t="shared" si="58"/>
        <v>4.3544524276072907E-3</v>
      </c>
      <c r="J715" s="16">
        <f t="shared" si="59"/>
        <v>1.0043544524276073</v>
      </c>
      <c r="K715" s="16">
        <f t="shared" si="55"/>
        <v>45.851052631578945</v>
      </c>
      <c r="L715" s="16">
        <f t="shared" si="56"/>
        <v>46.06775510204082</v>
      </c>
      <c r="M715" s="25" t="str">
        <f t="shared" si="57"/>
        <v>HOLD</v>
      </c>
    </row>
    <row r="716" spans="2:13">
      <c r="B716" s="3">
        <v>43089</v>
      </c>
      <c r="C716" s="5">
        <v>46.08</v>
      </c>
      <c r="D716" s="5">
        <v>46.21</v>
      </c>
      <c r="E716" s="5">
        <v>46.3</v>
      </c>
      <c r="F716" s="5">
        <v>45.95</v>
      </c>
      <c r="G716" s="18" t="s">
        <v>1116</v>
      </c>
      <c r="H716" s="2">
        <v>-1.1000000000000001E-3</v>
      </c>
      <c r="I716" s="16">
        <f t="shared" si="58"/>
        <v>-1.0838933448949547E-3</v>
      </c>
      <c r="J716" s="16">
        <f t="shared" si="59"/>
        <v>0.998916106655105</v>
      </c>
      <c r="K716" s="16">
        <f t="shared" si="55"/>
        <v>45.869473684210526</v>
      </c>
      <c r="L716" s="16">
        <f t="shared" si="56"/>
        <v>46.073061224489805</v>
      </c>
      <c r="M716" s="25" t="str">
        <f t="shared" si="57"/>
        <v>HOLD</v>
      </c>
    </row>
    <row r="717" spans="2:13">
      <c r="B717" s="3">
        <v>43090</v>
      </c>
      <c r="C717" s="5">
        <v>45.6</v>
      </c>
      <c r="D717" s="5">
        <v>46.14</v>
      </c>
      <c r="E717" s="5">
        <v>46.22</v>
      </c>
      <c r="F717" s="5">
        <v>45.56</v>
      </c>
      <c r="G717" s="18" t="s">
        <v>1115</v>
      </c>
      <c r="H717" s="2">
        <v>-1.04E-2</v>
      </c>
      <c r="I717" s="16">
        <f t="shared" si="58"/>
        <v>-1.0416666666666598E-2</v>
      </c>
      <c r="J717" s="16">
        <f t="shared" si="59"/>
        <v>0.98958333333333337</v>
      </c>
      <c r="K717" s="16">
        <f t="shared" si="55"/>
        <v>45.882105263157889</v>
      </c>
      <c r="L717" s="16">
        <f t="shared" si="56"/>
        <v>46.072653061224486</v>
      </c>
      <c r="M717" s="25" t="str">
        <f t="shared" si="57"/>
        <v>HOLD</v>
      </c>
    </row>
    <row r="718" spans="2:13">
      <c r="B718" s="3">
        <v>43091</v>
      </c>
      <c r="C718" s="5">
        <v>45.59</v>
      </c>
      <c r="D718" s="5">
        <v>45.69</v>
      </c>
      <c r="E718" s="5">
        <v>45.73</v>
      </c>
      <c r="F718" s="5">
        <v>45.55</v>
      </c>
      <c r="G718" s="18" t="s">
        <v>1114</v>
      </c>
      <c r="H718" s="2">
        <v>-2.0000000000000001E-4</v>
      </c>
      <c r="I718" s="16">
        <f t="shared" si="58"/>
        <v>-2.1929824561399145E-4</v>
      </c>
      <c r="J718" s="16">
        <f t="shared" si="59"/>
        <v>0.99978070175438605</v>
      </c>
      <c r="K718" s="16">
        <f t="shared" si="55"/>
        <v>45.867368421052618</v>
      </c>
      <c r="L718" s="16">
        <f t="shared" si="56"/>
        <v>46.062244897959175</v>
      </c>
      <c r="M718" s="25" t="str">
        <f t="shared" si="57"/>
        <v>HOLD</v>
      </c>
    </row>
    <row r="719" spans="2:13">
      <c r="B719" s="3">
        <v>43095</v>
      </c>
      <c r="C719" s="5">
        <v>45.81</v>
      </c>
      <c r="D719" s="5">
        <v>45.7</v>
      </c>
      <c r="E719" s="5">
        <v>45.85</v>
      </c>
      <c r="F719" s="5">
        <v>45.61</v>
      </c>
      <c r="G719" s="18" t="s">
        <v>1113</v>
      </c>
      <c r="H719" s="2">
        <v>4.7999999999999996E-3</v>
      </c>
      <c r="I719" s="16">
        <f t="shared" si="58"/>
        <v>4.8256196534327452E-3</v>
      </c>
      <c r="J719" s="16">
        <f t="shared" si="59"/>
        <v>1.0048256196534326</v>
      </c>
      <c r="K719" s="16">
        <f t="shared" si="55"/>
        <v>45.851052631578945</v>
      </c>
      <c r="L719" s="16">
        <f t="shared" si="56"/>
        <v>46.050204081632657</v>
      </c>
      <c r="M719" s="25" t="str">
        <f t="shared" si="57"/>
        <v>HOLD</v>
      </c>
    </row>
    <row r="720" spans="2:13">
      <c r="B720" s="3">
        <v>43096</v>
      </c>
      <c r="C720" s="5">
        <v>45.93</v>
      </c>
      <c r="D720" s="5">
        <v>45.9</v>
      </c>
      <c r="E720" s="5">
        <v>45.94</v>
      </c>
      <c r="F720" s="5">
        <v>45.72</v>
      </c>
      <c r="G720" s="18" t="s">
        <v>1112</v>
      </c>
      <c r="H720" s="2">
        <v>2.5999999999999999E-3</v>
      </c>
      <c r="I720" s="16">
        <f t="shared" si="58"/>
        <v>2.6195153896528584E-3</v>
      </c>
      <c r="J720" s="16">
        <f t="shared" si="59"/>
        <v>1.0026195153896529</v>
      </c>
      <c r="K720" s="16">
        <f t="shared" si="55"/>
        <v>45.85</v>
      </c>
      <c r="L720" s="16">
        <f t="shared" si="56"/>
        <v>46.033673469387757</v>
      </c>
      <c r="M720" s="25" t="str">
        <f t="shared" si="57"/>
        <v>HOLD</v>
      </c>
    </row>
    <row r="721" spans="2:13">
      <c r="B721" s="3">
        <v>43097</v>
      </c>
      <c r="C721" s="5">
        <v>45.72</v>
      </c>
      <c r="D721" s="5">
        <v>45.91</v>
      </c>
      <c r="E721" s="5">
        <v>45.99</v>
      </c>
      <c r="F721" s="5">
        <v>45.64</v>
      </c>
      <c r="G721" s="18" t="s">
        <v>1111</v>
      </c>
      <c r="H721" s="2">
        <v>-4.5999999999999999E-3</v>
      </c>
      <c r="I721" s="16">
        <f t="shared" si="58"/>
        <v>-4.5721750489876086E-3</v>
      </c>
      <c r="J721" s="16">
        <f t="shared" si="59"/>
        <v>0.99542782495101234</v>
      </c>
      <c r="K721" s="16">
        <f t="shared" si="55"/>
        <v>45.87263157894737</v>
      </c>
      <c r="L721" s="16">
        <f t="shared" si="56"/>
        <v>46.021632653061225</v>
      </c>
      <c r="M721" s="25" t="str">
        <f t="shared" si="57"/>
        <v>HOLD</v>
      </c>
    </row>
    <row r="722" spans="2:13">
      <c r="B722" s="3">
        <v>43098</v>
      </c>
      <c r="C722" s="5">
        <v>45.88</v>
      </c>
      <c r="D722" s="5">
        <v>45.7</v>
      </c>
      <c r="E722" s="5">
        <v>46.18</v>
      </c>
      <c r="F722" s="5">
        <v>45.69</v>
      </c>
      <c r="G722" s="18" t="s">
        <v>194</v>
      </c>
      <c r="H722" s="2">
        <v>3.5000000000000001E-3</v>
      </c>
      <c r="I722" s="16">
        <f t="shared" si="58"/>
        <v>3.4995625546807457E-3</v>
      </c>
      <c r="J722" s="16">
        <f t="shared" si="59"/>
        <v>1.0034995625546808</v>
      </c>
      <c r="K722" s="16">
        <f t="shared" si="55"/>
        <v>45.870000000000005</v>
      </c>
      <c r="L722" s="16">
        <f t="shared" si="56"/>
        <v>46.007755102040811</v>
      </c>
      <c r="M722" s="25" t="str">
        <f t="shared" si="57"/>
        <v>HOLD</v>
      </c>
    </row>
    <row r="723" spans="2:13">
      <c r="B723" s="3">
        <v>43102</v>
      </c>
      <c r="C723" s="5">
        <v>45.54</v>
      </c>
      <c r="D723" s="5">
        <v>45.91</v>
      </c>
      <c r="E723" s="5">
        <v>45.94</v>
      </c>
      <c r="F723" s="5">
        <v>45.51</v>
      </c>
      <c r="G723" s="18" t="s">
        <v>720</v>
      </c>
      <c r="H723" s="2">
        <v>-7.4000000000000003E-3</v>
      </c>
      <c r="I723" s="16">
        <f t="shared" si="58"/>
        <v>-7.4106364428945812E-3</v>
      </c>
      <c r="J723" s="16">
        <f t="shared" si="59"/>
        <v>0.99258936355710536</v>
      </c>
      <c r="K723" s="16">
        <f t="shared" si="55"/>
        <v>45.865263157894738</v>
      </c>
      <c r="L723" s="16">
        <f t="shared" si="56"/>
        <v>45.993265306122439</v>
      </c>
      <c r="M723" s="25" t="str">
        <f t="shared" si="57"/>
        <v>HOLD</v>
      </c>
    </row>
    <row r="724" spans="2:13">
      <c r="B724" s="3">
        <v>43103</v>
      </c>
      <c r="C724" s="5">
        <v>45.44</v>
      </c>
      <c r="D724" s="5">
        <v>45.49</v>
      </c>
      <c r="E724" s="5">
        <v>45.69</v>
      </c>
      <c r="F724" s="5">
        <v>45.34</v>
      </c>
      <c r="G724" s="18" t="s">
        <v>330</v>
      </c>
      <c r="H724" s="2">
        <v>-2.2000000000000001E-3</v>
      </c>
      <c r="I724" s="16">
        <f t="shared" si="58"/>
        <v>-2.1958717610891837E-3</v>
      </c>
      <c r="J724" s="16">
        <f t="shared" si="59"/>
        <v>0.99780412823891085</v>
      </c>
      <c r="K724" s="16">
        <f t="shared" si="55"/>
        <v>45.828947368421055</v>
      </c>
      <c r="L724" s="16">
        <f t="shared" si="56"/>
        <v>45.976122448979581</v>
      </c>
      <c r="M724" s="25" t="str">
        <f t="shared" si="57"/>
        <v>HOLD</v>
      </c>
    </row>
    <row r="725" spans="2:13">
      <c r="B725" s="3">
        <v>43104</v>
      </c>
      <c r="C725" s="5">
        <v>46.08</v>
      </c>
      <c r="D725" s="5">
        <v>45.56</v>
      </c>
      <c r="E725" s="5">
        <v>46.22</v>
      </c>
      <c r="F725" s="5">
        <v>45.45</v>
      </c>
      <c r="G725" s="18" t="s">
        <v>1096</v>
      </c>
      <c r="H725" s="2">
        <v>1.41E-2</v>
      </c>
      <c r="I725" s="16">
        <f t="shared" si="58"/>
        <v>1.4084507042253534E-2</v>
      </c>
      <c r="J725" s="16">
        <f t="shared" si="59"/>
        <v>1.0140845070422535</v>
      </c>
      <c r="K725" s="16">
        <f t="shared" si="55"/>
        <v>45.785789473684211</v>
      </c>
      <c r="L725" s="16">
        <f t="shared" si="56"/>
        <v>45.958163265306119</v>
      </c>
      <c r="M725" s="25" t="str">
        <f t="shared" si="57"/>
        <v>HOLD</v>
      </c>
    </row>
    <row r="726" spans="2:13">
      <c r="B726" s="3">
        <v>43105</v>
      </c>
      <c r="C726" s="5">
        <v>46.07</v>
      </c>
      <c r="D726" s="5">
        <v>46.02</v>
      </c>
      <c r="E726" s="5">
        <v>46.2</v>
      </c>
      <c r="F726" s="5">
        <v>45.79</v>
      </c>
      <c r="G726" s="18" t="s">
        <v>1110</v>
      </c>
      <c r="H726" s="2">
        <v>-2.0000000000000001E-4</v>
      </c>
      <c r="I726" s="16">
        <f t="shared" si="58"/>
        <v>-2.1701388888884573E-4</v>
      </c>
      <c r="J726" s="16">
        <f t="shared" si="59"/>
        <v>0.99978298611111116</v>
      </c>
      <c r="K726" s="16">
        <f t="shared" si="55"/>
        <v>45.766315789473687</v>
      </c>
      <c r="L726" s="16">
        <f t="shared" si="56"/>
        <v>45.956122448979592</v>
      </c>
      <c r="M726" s="25" t="str">
        <f t="shared" si="57"/>
        <v>HOLD</v>
      </c>
    </row>
    <row r="727" spans="2:13">
      <c r="B727" s="3">
        <v>43108</v>
      </c>
      <c r="C727" s="5">
        <v>46</v>
      </c>
      <c r="D727" s="5">
        <v>45.95</v>
      </c>
      <c r="E727" s="5">
        <v>46.1</v>
      </c>
      <c r="F727" s="5">
        <v>45.88</v>
      </c>
      <c r="G727" s="18" t="s">
        <v>1109</v>
      </c>
      <c r="H727" s="2">
        <v>-1.5E-3</v>
      </c>
      <c r="I727" s="16">
        <f t="shared" si="58"/>
        <v>-1.5194269589754782E-3</v>
      </c>
      <c r="J727" s="16">
        <f t="shared" si="59"/>
        <v>0.99848057304102456</v>
      </c>
      <c r="K727" s="16">
        <f t="shared" si="55"/>
        <v>45.78157894736843</v>
      </c>
      <c r="L727" s="16">
        <f t="shared" si="56"/>
        <v>45.956530612244897</v>
      </c>
      <c r="M727" s="25" t="str">
        <f t="shared" si="57"/>
        <v>HOLD</v>
      </c>
    </row>
    <row r="728" spans="2:13">
      <c r="B728" s="3">
        <v>43109</v>
      </c>
      <c r="C728" s="5">
        <v>46.23</v>
      </c>
      <c r="D728" s="5">
        <v>46</v>
      </c>
      <c r="E728" s="5">
        <v>46.36</v>
      </c>
      <c r="F728" s="5">
        <v>45.94</v>
      </c>
      <c r="G728" s="18" t="s">
        <v>795</v>
      </c>
      <c r="H728" s="2">
        <v>5.0000000000000001E-3</v>
      </c>
      <c r="I728" s="16">
        <f t="shared" si="58"/>
        <v>4.9999999999999324E-3</v>
      </c>
      <c r="J728" s="16">
        <f t="shared" si="59"/>
        <v>1.0049999999999999</v>
      </c>
      <c r="K728" s="16">
        <f t="shared" si="55"/>
        <v>45.817894736842113</v>
      </c>
      <c r="L728" s="16">
        <f t="shared" si="56"/>
        <v>45.951836734693885</v>
      </c>
      <c r="M728" s="25" t="str">
        <f t="shared" si="57"/>
        <v>HOLD</v>
      </c>
    </row>
    <row r="729" spans="2:13">
      <c r="B729" s="3">
        <v>43110</v>
      </c>
      <c r="C729" s="5">
        <v>46.07</v>
      </c>
      <c r="D729" s="5">
        <v>46.23</v>
      </c>
      <c r="E729" s="5">
        <v>46.26</v>
      </c>
      <c r="F729" s="5">
        <v>45.93</v>
      </c>
      <c r="G729" s="18" t="s">
        <v>1108</v>
      </c>
      <c r="H729" s="2">
        <v>-3.5000000000000001E-3</v>
      </c>
      <c r="I729" s="16">
        <f t="shared" si="58"/>
        <v>-3.4609560891195458E-3</v>
      </c>
      <c r="J729" s="16">
        <f t="shared" si="59"/>
        <v>0.99653904391088044</v>
      </c>
      <c r="K729" s="16">
        <f t="shared" si="55"/>
        <v>45.865263157894738</v>
      </c>
      <c r="L729" s="16">
        <f t="shared" si="56"/>
        <v>45.955102040816328</v>
      </c>
      <c r="M729" s="25" t="str">
        <f t="shared" si="57"/>
        <v>HOLD</v>
      </c>
    </row>
    <row r="730" spans="2:13">
      <c r="B730" s="3">
        <v>43111</v>
      </c>
      <c r="C730" s="5">
        <v>46.04</v>
      </c>
      <c r="D730" s="5">
        <v>46.23</v>
      </c>
      <c r="E730" s="5">
        <v>46.23</v>
      </c>
      <c r="F730" s="5">
        <v>45.86</v>
      </c>
      <c r="G730" s="18" t="s">
        <v>1107</v>
      </c>
      <c r="H730" s="2">
        <v>-6.9999999999999999E-4</v>
      </c>
      <c r="I730" s="16">
        <f t="shared" si="58"/>
        <v>-6.511829824180841E-4</v>
      </c>
      <c r="J730" s="16">
        <f t="shared" si="59"/>
        <v>0.99934881701758194</v>
      </c>
      <c r="K730" s="16">
        <f t="shared" si="55"/>
        <v>45.906315789473695</v>
      </c>
      <c r="L730" s="16">
        <f t="shared" si="56"/>
        <v>45.959387755102057</v>
      </c>
      <c r="M730" s="25" t="str">
        <f t="shared" si="57"/>
        <v>HOLD</v>
      </c>
    </row>
    <row r="731" spans="2:13">
      <c r="B731" s="3">
        <v>43112</v>
      </c>
      <c r="C731" s="5">
        <v>46.15</v>
      </c>
      <c r="D731" s="5">
        <v>46.28</v>
      </c>
      <c r="E731" s="5">
        <v>46.39</v>
      </c>
      <c r="F731" s="5">
        <v>46.03</v>
      </c>
      <c r="G731" s="18" t="s">
        <v>367</v>
      </c>
      <c r="H731" s="2">
        <v>2.3999999999999998E-3</v>
      </c>
      <c r="I731" s="16">
        <f t="shared" si="58"/>
        <v>2.3892267593396922E-3</v>
      </c>
      <c r="J731" s="16">
        <f t="shared" si="59"/>
        <v>1.0023892267593397</v>
      </c>
      <c r="K731" s="16">
        <f t="shared" ref="K731:K794" si="60">AVERAGE(C712:C730)</f>
        <v>45.913684210526327</v>
      </c>
      <c r="L731" s="16">
        <f t="shared" si="56"/>
        <v>45.960612244897959</v>
      </c>
      <c r="M731" s="25" t="str">
        <f t="shared" si="57"/>
        <v>HOLD</v>
      </c>
    </row>
    <row r="732" spans="2:13">
      <c r="B732" s="3">
        <v>43116</v>
      </c>
      <c r="C732" s="5">
        <v>46.53</v>
      </c>
      <c r="D732" s="5">
        <v>46.15</v>
      </c>
      <c r="E732" s="5">
        <v>46.62</v>
      </c>
      <c r="F732" s="5">
        <v>46.14</v>
      </c>
      <c r="G732" s="18" t="s">
        <v>310</v>
      </c>
      <c r="H732" s="2">
        <v>8.2000000000000007E-3</v>
      </c>
      <c r="I732" s="16">
        <f t="shared" si="58"/>
        <v>8.2340195016251914E-3</v>
      </c>
      <c r="J732" s="16">
        <f t="shared" si="59"/>
        <v>1.0082340195016253</v>
      </c>
      <c r="K732" s="16">
        <f t="shared" si="60"/>
        <v>45.920000000000009</v>
      </c>
      <c r="L732" s="16">
        <f t="shared" si="56"/>
        <v>45.967755102040826</v>
      </c>
      <c r="M732" s="25" t="str">
        <f t="shared" si="57"/>
        <v>HOLD</v>
      </c>
    </row>
    <row r="733" spans="2:13">
      <c r="B733" s="3">
        <v>43117</v>
      </c>
      <c r="C733" s="5">
        <v>46.82</v>
      </c>
      <c r="D733" s="5">
        <v>46.58</v>
      </c>
      <c r="E733" s="5">
        <v>47</v>
      </c>
      <c r="F733" s="5">
        <v>46.55</v>
      </c>
      <c r="G733" s="18" t="s">
        <v>146</v>
      </c>
      <c r="H733" s="2">
        <v>6.1999999999999998E-3</v>
      </c>
      <c r="I733" s="16">
        <f t="shared" si="58"/>
        <v>6.2325381474317458E-3</v>
      </c>
      <c r="J733" s="16">
        <f t="shared" si="59"/>
        <v>1.0062325381474317</v>
      </c>
      <c r="K733" s="16">
        <f t="shared" si="60"/>
        <v>45.937894736842111</v>
      </c>
      <c r="L733" s="16">
        <f t="shared" si="56"/>
        <v>45.981020408163268</v>
      </c>
      <c r="M733" s="25" t="str">
        <f t="shared" si="57"/>
        <v>HOLD</v>
      </c>
    </row>
    <row r="734" spans="2:13">
      <c r="B734" s="3">
        <v>43118</v>
      </c>
      <c r="C734" s="5">
        <v>46.88</v>
      </c>
      <c r="D734" s="5">
        <v>46.75</v>
      </c>
      <c r="E734" s="5">
        <v>47.07</v>
      </c>
      <c r="F734" s="5">
        <v>46.61</v>
      </c>
      <c r="G734" s="18" t="s">
        <v>1071</v>
      </c>
      <c r="H734" s="2">
        <v>1.2999999999999999E-3</v>
      </c>
      <c r="I734" s="16">
        <f t="shared" si="58"/>
        <v>1.2815036309270029E-3</v>
      </c>
      <c r="J734" s="16">
        <f t="shared" si="59"/>
        <v>1.001281503630927</v>
      </c>
      <c r="K734" s="16">
        <f t="shared" si="60"/>
        <v>45.984736842105264</v>
      </c>
      <c r="L734" s="16">
        <f t="shared" si="56"/>
        <v>45.998367346938785</v>
      </c>
      <c r="M734" s="25" t="str">
        <f t="shared" si="57"/>
        <v>HOLD</v>
      </c>
    </row>
    <row r="735" spans="2:13">
      <c r="B735" s="3">
        <v>43119</v>
      </c>
      <c r="C735" s="5">
        <v>47.16</v>
      </c>
      <c r="D735" s="5">
        <v>46.99</v>
      </c>
      <c r="E735" s="5">
        <v>47.25</v>
      </c>
      <c r="F735" s="5">
        <v>46.87</v>
      </c>
      <c r="G735" s="18" t="s">
        <v>37</v>
      </c>
      <c r="H735" s="2">
        <v>6.0000000000000001E-3</v>
      </c>
      <c r="I735" s="16">
        <f t="shared" si="58"/>
        <v>5.9726962457336604E-3</v>
      </c>
      <c r="J735" s="16">
        <f t="shared" si="59"/>
        <v>1.0059726962457336</v>
      </c>
      <c r="K735" s="16">
        <f t="shared" si="60"/>
        <v>46.024210526315791</v>
      </c>
      <c r="L735" s="16">
        <f t="shared" si="56"/>
        <v>46.027142857142863</v>
      </c>
      <c r="M735" s="25" t="str">
        <f t="shared" si="57"/>
        <v>HOLD</v>
      </c>
    </row>
    <row r="736" spans="2:13">
      <c r="B736" s="3">
        <v>43122</v>
      </c>
      <c r="C736" s="5">
        <v>47.38</v>
      </c>
      <c r="D736" s="5">
        <v>47.14</v>
      </c>
      <c r="E736" s="5">
        <v>47.5</v>
      </c>
      <c r="F736" s="5">
        <v>47.09</v>
      </c>
      <c r="G736" s="18" t="s">
        <v>398</v>
      </c>
      <c r="H736" s="2">
        <v>4.7000000000000002E-3</v>
      </c>
      <c r="I736" s="16">
        <f t="shared" si="58"/>
        <v>4.6649703138254024E-3</v>
      </c>
      <c r="J736" s="16">
        <f t="shared" si="59"/>
        <v>1.0046649703138255</v>
      </c>
      <c r="K736" s="16">
        <f t="shared" si="60"/>
        <v>46.081052631578949</v>
      </c>
      <c r="L736" s="16">
        <f t="shared" si="56"/>
        <v>46.052040816326532</v>
      </c>
      <c r="M736" s="25" t="str">
        <f t="shared" si="57"/>
        <v>BUY</v>
      </c>
    </row>
    <row r="737" spans="2:13">
      <c r="B737" s="3">
        <v>43123</v>
      </c>
      <c r="C737" s="5">
        <v>47.45</v>
      </c>
      <c r="D737" s="5">
        <v>47.21</v>
      </c>
      <c r="E737" s="5">
        <v>47.7</v>
      </c>
      <c r="F737" s="5">
        <v>47.13</v>
      </c>
      <c r="G737" s="18" t="s">
        <v>1057</v>
      </c>
      <c r="H737" s="2">
        <v>1.5E-3</v>
      </c>
      <c r="I737" s="16">
        <f t="shared" si="58"/>
        <v>1.4774166314900862E-3</v>
      </c>
      <c r="J737" s="16">
        <f t="shared" si="59"/>
        <v>1.0014774166314901</v>
      </c>
      <c r="K737" s="16">
        <f t="shared" si="60"/>
        <v>46.174736842105261</v>
      </c>
      <c r="L737" s="16">
        <f t="shared" si="56"/>
        <v>46.076530612244909</v>
      </c>
      <c r="M737" s="25" t="str">
        <f t="shared" si="57"/>
        <v>HOLD</v>
      </c>
    </row>
    <row r="738" spans="2:13">
      <c r="B738" s="3">
        <v>43124</v>
      </c>
      <c r="C738" s="5">
        <v>47.83</v>
      </c>
      <c r="D738" s="5">
        <v>47.53</v>
      </c>
      <c r="E738" s="5">
        <v>47.95</v>
      </c>
      <c r="F738" s="5">
        <v>47.48</v>
      </c>
      <c r="G738" s="18" t="s">
        <v>1106</v>
      </c>
      <c r="H738" s="2">
        <v>8.0000000000000002E-3</v>
      </c>
      <c r="I738" s="16">
        <f t="shared" si="58"/>
        <v>8.008429926238049E-3</v>
      </c>
      <c r="J738" s="16">
        <f t="shared" si="59"/>
        <v>1.008008429926238</v>
      </c>
      <c r="K738" s="16">
        <f t="shared" si="60"/>
        <v>46.272631578947369</v>
      </c>
      <c r="L738" s="16">
        <f t="shared" si="56"/>
        <v>46.101428571428571</v>
      </c>
      <c r="M738" s="25" t="str">
        <f t="shared" si="57"/>
        <v>HOLD</v>
      </c>
    </row>
    <row r="739" spans="2:13">
      <c r="B739" s="3">
        <v>43125</v>
      </c>
      <c r="C739" s="5">
        <v>47.84</v>
      </c>
      <c r="D739" s="5">
        <v>47.7</v>
      </c>
      <c r="E739" s="5">
        <v>48</v>
      </c>
      <c r="F739" s="5">
        <v>47.7</v>
      </c>
      <c r="G739" s="18" t="s">
        <v>748</v>
      </c>
      <c r="H739" s="2">
        <v>2.0000000000000001E-4</v>
      </c>
      <c r="I739" s="16">
        <f t="shared" si="58"/>
        <v>2.090738030525845E-4</v>
      </c>
      <c r="J739" s="16">
        <f t="shared" si="59"/>
        <v>1.0002090738030527</v>
      </c>
      <c r="K739" s="16">
        <f t="shared" si="60"/>
        <v>46.378947368421052</v>
      </c>
      <c r="L739" s="16">
        <f t="shared" si="56"/>
        <v>46.127755102040808</v>
      </c>
      <c r="M739" s="25" t="str">
        <f t="shared" si="57"/>
        <v>HOLD</v>
      </c>
    </row>
    <row r="740" spans="2:13">
      <c r="B740" s="3">
        <v>43126</v>
      </c>
      <c r="C740" s="5">
        <v>48.53</v>
      </c>
      <c r="D740" s="5">
        <v>47.78</v>
      </c>
      <c r="E740" s="5">
        <v>48.62</v>
      </c>
      <c r="F740" s="5">
        <v>47.74</v>
      </c>
      <c r="G740" s="18" t="s">
        <v>1105</v>
      </c>
      <c r="H740" s="2">
        <v>1.44E-2</v>
      </c>
      <c r="I740" s="16">
        <f t="shared" si="58"/>
        <v>1.4423076923076875E-2</v>
      </c>
      <c r="J740" s="16">
        <f t="shared" si="59"/>
        <v>1.0144230769230769</v>
      </c>
      <c r="K740" s="16">
        <f t="shared" si="60"/>
        <v>46.479473684210532</v>
      </c>
      <c r="L740" s="16">
        <f t="shared" si="56"/>
        <v>46.150612244897964</v>
      </c>
      <c r="M740" s="25" t="str">
        <f t="shared" si="57"/>
        <v>HOLD</v>
      </c>
    </row>
    <row r="741" spans="2:13">
      <c r="B741" s="3">
        <v>43129</v>
      </c>
      <c r="C741" s="5">
        <v>47.7</v>
      </c>
      <c r="D741" s="5">
        <v>48.21</v>
      </c>
      <c r="E741" s="5">
        <v>48.46</v>
      </c>
      <c r="F741" s="5">
        <v>47.58</v>
      </c>
      <c r="G741" s="18" t="s">
        <v>159</v>
      </c>
      <c r="H741" s="2">
        <v>-1.7100000000000001E-2</v>
      </c>
      <c r="I741" s="16">
        <f t="shared" si="58"/>
        <v>-1.7102822996084861E-2</v>
      </c>
      <c r="J741" s="16">
        <f t="shared" si="59"/>
        <v>0.9828971770039151</v>
      </c>
      <c r="K741" s="16">
        <f t="shared" si="60"/>
        <v>46.627368421052637</v>
      </c>
      <c r="L741" s="16">
        <f t="shared" si="56"/>
        <v>46.1730612244898</v>
      </c>
      <c r="M741" s="25" t="str">
        <f t="shared" si="57"/>
        <v>HOLD</v>
      </c>
    </row>
    <row r="742" spans="2:13">
      <c r="B742" s="3">
        <v>43130</v>
      </c>
      <c r="C742" s="5">
        <v>47.41</v>
      </c>
      <c r="D742" s="5">
        <v>47.73</v>
      </c>
      <c r="E742" s="5">
        <v>48.16</v>
      </c>
      <c r="F742" s="5">
        <v>47.4</v>
      </c>
      <c r="G742" s="18" t="s">
        <v>1028</v>
      </c>
      <c r="H742" s="2">
        <v>-6.1000000000000004E-3</v>
      </c>
      <c r="I742" s="16">
        <f t="shared" si="58"/>
        <v>-6.0796645702307387E-3</v>
      </c>
      <c r="J742" s="16">
        <f t="shared" si="59"/>
        <v>0.99392033542976921</v>
      </c>
      <c r="K742" s="16">
        <f t="shared" si="60"/>
        <v>46.72315789473685</v>
      </c>
      <c r="L742" s="16">
        <f t="shared" si="56"/>
        <v>46.191224489795914</v>
      </c>
      <c r="M742" s="25" t="str">
        <f t="shared" si="57"/>
        <v>HOLD</v>
      </c>
    </row>
    <row r="743" spans="2:13">
      <c r="B743" s="3">
        <v>43131</v>
      </c>
      <c r="C743" s="5">
        <v>47.59</v>
      </c>
      <c r="D743" s="5">
        <v>47.45</v>
      </c>
      <c r="E743" s="5">
        <v>47.9</v>
      </c>
      <c r="F743" s="5">
        <v>47.37</v>
      </c>
      <c r="G743" s="18" t="s">
        <v>1104</v>
      </c>
      <c r="H743" s="2">
        <v>3.8E-3</v>
      </c>
      <c r="I743" s="16">
        <f t="shared" si="58"/>
        <v>3.7966673697533608E-3</v>
      </c>
      <c r="J743" s="16">
        <f t="shared" si="59"/>
        <v>1.0037966673697534</v>
      </c>
      <c r="K743" s="16">
        <f t="shared" si="60"/>
        <v>46.82157894736843</v>
      </c>
      <c r="L743" s="16">
        <f t="shared" si="56"/>
        <v>46.208775510204084</v>
      </c>
      <c r="M743" s="25" t="str">
        <f t="shared" si="57"/>
        <v>HOLD</v>
      </c>
    </row>
    <row r="744" spans="2:13">
      <c r="B744" s="3">
        <v>43132</v>
      </c>
      <c r="C744" s="5">
        <v>47.45</v>
      </c>
      <c r="D744" s="5">
        <v>47.41</v>
      </c>
      <c r="E744" s="5">
        <v>47.73</v>
      </c>
      <c r="F744" s="5">
        <v>47.11</v>
      </c>
      <c r="G744" s="18" t="s">
        <v>121</v>
      </c>
      <c r="H744" s="2">
        <v>-2.8999999999999998E-3</v>
      </c>
      <c r="I744" s="16">
        <f t="shared" si="58"/>
        <v>-2.9417944946417431E-3</v>
      </c>
      <c r="J744" s="16">
        <f t="shared" si="59"/>
        <v>0.99705820550535829</v>
      </c>
      <c r="K744" s="16">
        <f t="shared" si="60"/>
        <v>46.934736842105266</v>
      </c>
      <c r="L744" s="16">
        <f t="shared" si="56"/>
        <v>46.247142857142862</v>
      </c>
      <c r="M744" s="25" t="str">
        <f t="shared" si="57"/>
        <v>HOLD</v>
      </c>
    </row>
    <row r="745" spans="2:13">
      <c r="B745" s="3">
        <v>43133</v>
      </c>
      <c r="C745" s="5">
        <v>46.73</v>
      </c>
      <c r="D745" s="5">
        <v>47.35</v>
      </c>
      <c r="E745" s="5">
        <v>47.41</v>
      </c>
      <c r="F745" s="5">
        <v>46.63</v>
      </c>
      <c r="G745" s="18" t="s">
        <v>131</v>
      </c>
      <c r="H745" s="2">
        <v>-1.52E-2</v>
      </c>
      <c r="I745" s="16">
        <f t="shared" si="58"/>
        <v>-1.5173867228661875E-2</v>
      </c>
      <c r="J745" s="16">
        <f t="shared" si="59"/>
        <v>0.98482613277133813</v>
      </c>
      <c r="K745" s="16">
        <f t="shared" si="60"/>
        <v>47.006842105263161</v>
      </c>
      <c r="L745" s="16">
        <f t="shared" si="56"/>
        <v>46.287755102040812</v>
      </c>
      <c r="M745" s="25" t="str">
        <f t="shared" si="57"/>
        <v>HOLD</v>
      </c>
    </row>
    <row r="746" spans="2:13">
      <c r="B746" s="3">
        <v>43136</v>
      </c>
      <c r="C746" s="5">
        <v>44.89</v>
      </c>
      <c r="D746" s="5">
        <v>46.65</v>
      </c>
      <c r="E746" s="5">
        <v>46.92</v>
      </c>
      <c r="F746" s="5">
        <v>44.41</v>
      </c>
      <c r="G746" s="18" t="s">
        <v>1103</v>
      </c>
      <c r="H746" s="2">
        <v>-3.9399999999999998E-2</v>
      </c>
      <c r="I746" s="16">
        <f t="shared" si="58"/>
        <v>-3.9375133747057485E-2</v>
      </c>
      <c r="J746" s="16">
        <f t="shared" si="59"/>
        <v>0.96062486625294252</v>
      </c>
      <c r="K746" s="16">
        <f t="shared" si="60"/>
        <v>47.041578947368428</v>
      </c>
      <c r="L746" s="16">
        <f t="shared" si="56"/>
        <v>46.307142857142864</v>
      </c>
      <c r="M746" s="25" t="str">
        <f t="shared" si="57"/>
        <v>HOLD</v>
      </c>
    </row>
    <row r="747" spans="2:13">
      <c r="B747" s="3">
        <v>43137</v>
      </c>
      <c r="C747" s="5">
        <v>44.67</v>
      </c>
      <c r="D747" s="5">
        <v>43.87</v>
      </c>
      <c r="E747" s="5">
        <v>44.74</v>
      </c>
      <c r="F747" s="5">
        <v>43.44</v>
      </c>
      <c r="G747" s="18" t="s">
        <v>1102</v>
      </c>
      <c r="H747" s="2">
        <v>-4.8999999999999998E-3</v>
      </c>
      <c r="I747" s="16">
        <f t="shared" si="58"/>
        <v>-4.9008687903764501E-3</v>
      </c>
      <c r="J747" s="16">
        <f t="shared" si="59"/>
        <v>0.99509913120962357</v>
      </c>
      <c r="K747" s="16">
        <f t="shared" si="60"/>
        <v>46.983157894736848</v>
      </c>
      <c r="L747" s="16">
        <f t="shared" si="56"/>
        <v>46.287755102040812</v>
      </c>
      <c r="M747" s="25" t="str">
        <f t="shared" si="57"/>
        <v>HOLD</v>
      </c>
    </row>
    <row r="748" spans="2:13">
      <c r="B748" s="3">
        <v>43138</v>
      </c>
      <c r="C748" s="5">
        <v>44.56</v>
      </c>
      <c r="D748" s="5">
        <v>44.58</v>
      </c>
      <c r="E748" s="5">
        <v>45.49</v>
      </c>
      <c r="F748" s="5">
        <v>44.28</v>
      </c>
      <c r="G748" s="18" t="s">
        <v>1101</v>
      </c>
      <c r="H748" s="2">
        <v>-2.5000000000000001E-3</v>
      </c>
      <c r="I748" s="16">
        <f t="shared" si="58"/>
        <v>-2.4625027982986217E-3</v>
      </c>
      <c r="J748" s="16">
        <f t="shared" si="59"/>
        <v>0.99753749720170137</v>
      </c>
      <c r="K748" s="16">
        <f t="shared" si="60"/>
        <v>46.901052631578949</v>
      </c>
      <c r="L748" s="16">
        <f t="shared" si="56"/>
        <v>46.263061224489796</v>
      </c>
      <c r="M748" s="25" t="str">
        <f t="shared" si="57"/>
        <v>HOLD</v>
      </c>
    </row>
    <row r="749" spans="2:13">
      <c r="B749" s="3">
        <v>43139</v>
      </c>
      <c r="C749" s="5">
        <v>43.1</v>
      </c>
      <c r="D749" s="5">
        <v>44.62</v>
      </c>
      <c r="E749" s="5">
        <v>44.62</v>
      </c>
      <c r="F749" s="5">
        <v>43.07</v>
      </c>
      <c r="G749" s="18" t="s">
        <v>870</v>
      </c>
      <c r="H749" s="2">
        <v>-3.2800000000000003E-2</v>
      </c>
      <c r="I749" s="16">
        <f t="shared" si="58"/>
        <v>-3.2764811490125688E-2</v>
      </c>
      <c r="J749" s="16">
        <f t="shared" si="59"/>
        <v>0.96723518850987433</v>
      </c>
      <c r="K749" s="16">
        <f t="shared" si="60"/>
        <v>46.821578947368415</v>
      </c>
      <c r="L749" s="16">
        <f t="shared" si="56"/>
        <v>46.23571428571428</v>
      </c>
      <c r="M749" s="25" t="str">
        <f t="shared" si="57"/>
        <v>HOLD</v>
      </c>
    </row>
    <row r="750" spans="2:13">
      <c r="B750" s="3">
        <v>43140</v>
      </c>
      <c r="C750" s="5">
        <v>43.13</v>
      </c>
      <c r="D750" s="5">
        <v>43.36</v>
      </c>
      <c r="E750" s="5">
        <v>43.46</v>
      </c>
      <c r="F750" s="5">
        <v>42.19</v>
      </c>
      <c r="G750" s="18" t="s">
        <v>865</v>
      </c>
      <c r="H750" s="2">
        <v>6.9999999999999999E-4</v>
      </c>
      <c r="I750" s="16">
        <f t="shared" si="58"/>
        <v>6.9605568445478278E-4</v>
      </c>
      <c r="J750" s="16">
        <f t="shared" si="59"/>
        <v>1.0006960556844549</v>
      </c>
      <c r="K750" s="16">
        <f t="shared" si="60"/>
        <v>46.666842105263157</v>
      </c>
      <c r="L750" s="16">
        <f t="shared" si="56"/>
        <v>46.179999999999993</v>
      </c>
      <c r="M750" s="25" t="str">
        <f t="shared" si="57"/>
        <v>HOLD</v>
      </c>
    </row>
    <row r="751" spans="2:13">
      <c r="B751" s="3">
        <v>43143</v>
      </c>
      <c r="C751" s="5">
        <v>43.97</v>
      </c>
      <c r="D751" s="5">
        <v>43.56</v>
      </c>
      <c r="E751" s="5">
        <v>44.23</v>
      </c>
      <c r="F751" s="5">
        <v>43.37</v>
      </c>
      <c r="G751" s="18" t="s">
        <v>1081</v>
      </c>
      <c r="H751" s="2">
        <v>1.95E-2</v>
      </c>
      <c r="I751" s="16">
        <f t="shared" si="58"/>
        <v>1.9476002782286023E-2</v>
      </c>
      <c r="J751" s="16">
        <f t="shared" si="59"/>
        <v>1.019476002782286</v>
      </c>
      <c r="K751" s="16">
        <f t="shared" si="60"/>
        <v>46.507894736842111</v>
      </c>
      <c r="L751" s="16">
        <f t="shared" si="56"/>
        <v>46.131632653061232</v>
      </c>
      <c r="M751" s="25" t="str">
        <f t="shared" si="57"/>
        <v>HOLD</v>
      </c>
    </row>
    <row r="752" spans="2:13">
      <c r="B752" s="3">
        <v>43144</v>
      </c>
      <c r="C752" s="5">
        <v>44.19</v>
      </c>
      <c r="D752" s="5">
        <v>43.92</v>
      </c>
      <c r="E752" s="5">
        <v>44.41</v>
      </c>
      <c r="F752" s="5">
        <v>43.69</v>
      </c>
      <c r="G752" s="18" t="s">
        <v>1100</v>
      </c>
      <c r="H752" s="2">
        <v>5.0000000000000001E-3</v>
      </c>
      <c r="I752" s="16">
        <f t="shared" si="58"/>
        <v>5.0034114168751162E-3</v>
      </c>
      <c r="J752" s="16">
        <f t="shared" si="59"/>
        <v>1.0050034114168751</v>
      </c>
      <c r="K752" s="16">
        <f t="shared" si="60"/>
        <v>46.373157894736849</v>
      </c>
      <c r="L752" s="16">
        <f t="shared" si="56"/>
        <v>46.094897959183676</v>
      </c>
      <c r="M752" s="25" t="str">
        <f t="shared" si="57"/>
        <v>HOLD</v>
      </c>
    </row>
    <row r="753" spans="2:13">
      <c r="B753" s="3">
        <v>43145</v>
      </c>
      <c r="C753" s="5">
        <v>44.1</v>
      </c>
      <c r="D753" s="5">
        <v>44.02</v>
      </c>
      <c r="E753" s="5">
        <v>44.19</v>
      </c>
      <c r="F753" s="5">
        <v>43.63</v>
      </c>
      <c r="G753" s="18" t="s">
        <v>1099</v>
      </c>
      <c r="H753" s="2">
        <v>-2E-3</v>
      </c>
      <c r="I753" s="16">
        <f t="shared" si="58"/>
        <v>-2.0366598778003239E-3</v>
      </c>
      <c r="J753" s="16">
        <f t="shared" si="59"/>
        <v>0.99796334012219967</v>
      </c>
      <c r="K753" s="16">
        <f t="shared" si="60"/>
        <v>46.234736842105264</v>
      </c>
      <c r="L753" s="16">
        <f t="shared" si="56"/>
        <v>46.058571428571433</v>
      </c>
      <c r="M753" s="25" t="str">
        <f t="shared" si="57"/>
        <v>HOLD</v>
      </c>
    </row>
    <row r="754" spans="2:13">
      <c r="B754" s="3">
        <v>43146</v>
      </c>
      <c r="C754" s="5">
        <v>44.78</v>
      </c>
      <c r="D754" s="5">
        <v>44.25</v>
      </c>
      <c r="E754" s="5">
        <v>44.83</v>
      </c>
      <c r="F754" s="5">
        <v>44.12</v>
      </c>
      <c r="G754" s="18" t="s">
        <v>1098</v>
      </c>
      <c r="H754" s="2">
        <v>1.54E-2</v>
      </c>
      <c r="I754" s="16">
        <f t="shared" si="58"/>
        <v>1.5419501133786841E-2</v>
      </c>
      <c r="J754" s="16">
        <f t="shared" si="59"/>
        <v>1.0154195011337868</v>
      </c>
      <c r="K754" s="16">
        <f t="shared" si="60"/>
        <v>46.088421052631574</v>
      </c>
      <c r="L754" s="16">
        <f t="shared" si="56"/>
        <v>46.01510204081633</v>
      </c>
      <c r="M754" s="25" t="str">
        <f t="shared" si="57"/>
        <v>HOLD</v>
      </c>
    </row>
    <row r="755" spans="2:13">
      <c r="B755" s="3">
        <v>43147</v>
      </c>
      <c r="C755" s="5">
        <v>44.98</v>
      </c>
      <c r="D755" s="5">
        <v>45.57</v>
      </c>
      <c r="E755" s="5">
        <v>45.64</v>
      </c>
      <c r="F755" s="5">
        <v>44.72</v>
      </c>
      <c r="G755" s="18" t="s">
        <v>128</v>
      </c>
      <c r="H755" s="2">
        <v>4.4999999999999997E-3</v>
      </c>
      <c r="I755" s="16">
        <f t="shared" si="58"/>
        <v>4.4662795891021829E-3</v>
      </c>
      <c r="J755" s="16">
        <f t="shared" si="59"/>
        <v>1.0044662795891022</v>
      </c>
      <c r="K755" s="16">
        <f t="shared" si="60"/>
        <v>45.963157894736845</v>
      </c>
      <c r="L755" s="16">
        <f t="shared" si="56"/>
        <v>45.984897959183677</v>
      </c>
      <c r="M755" s="25" t="str">
        <f t="shared" si="57"/>
        <v>SELL</v>
      </c>
    </row>
    <row r="756" spans="2:13">
      <c r="B756" s="3">
        <v>43151</v>
      </c>
      <c r="C756" s="5">
        <v>43.99</v>
      </c>
      <c r="D756" s="5">
        <v>44.75</v>
      </c>
      <c r="E756" s="5">
        <v>44.83</v>
      </c>
      <c r="F756" s="5">
        <v>43.94</v>
      </c>
      <c r="G756" s="18" t="s">
        <v>819</v>
      </c>
      <c r="H756" s="2">
        <v>-2.1999999999999999E-2</v>
      </c>
      <c r="I756" s="16">
        <f t="shared" si="58"/>
        <v>-2.2009782125388951E-2</v>
      </c>
      <c r="J756" s="16">
        <f t="shared" si="59"/>
        <v>0.97799021787461105</v>
      </c>
      <c r="K756" s="16">
        <f t="shared" si="60"/>
        <v>45.836842105263166</v>
      </c>
      <c r="L756" s="16">
        <f t="shared" si="56"/>
        <v>45.954897959183683</v>
      </c>
      <c r="M756" s="25" t="str">
        <f t="shared" si="57"/>
        <v>HOLD</v>
      </c>
    </row>
    <row r="757" spans="2:13">
      <c r="B757" s="3">
        <v>43152</v>
      </c>
      <c r="C757" s="5">
        <v>43.34</v>
      </c>
      <c r="D757" s="5">
        <v>44.11</v>
      </c>
      <c r="E757" s="5">
        <v>44.26</v>
      </c>
      <c r="F757" s="5">
        <v>43.33</v>
      </c>
      <c r="G757" s="18" t="s">
        <v>414</v>
      </c>
      <c r="H757" s="2">
        <v>-1.4800000000000001E-2</v>
      </c>
      <c r="I757" s="16">
        <f t="shared" si="58"/>
        <v>-1.4776085473971324E-2</v>
      </c>
      <c r="J757" s="16">
        <f t="shared" si="59"/>
        <v>0.98522391452602864</v>
      </c>
      <c r="K757" s="16">
        <f t="shared" si="60"/>
        <v>45.654736842105272</v>
      </c>
      <c r="L757" s="16">
        <f t="shared" si="56"/>
        <v>45.918367346938787</v>
      </c>
      <c r="M757" s="25" t="str">
        <f t="shared" si="57"/>
        <v>HOLD</v>
      </c>
    </row>
    <row r="758" spans="2:13">
      <c r="B758" s="3">
        <v>43153</v>
      </c>
      <c r="C758" s="5">
        <v>43.52</v>
      </c>
      <c r="D758" s="5">
        <v>43.43</v>
      </c>
      <c r="E758" s="5">
        <v>43.82</v>
      </c>
      <c r="F758" s="5">
        <v>43.22</v>
      </c>
      <c r="G758" s="18" t="s">
        <v>231</v>
      </c>
      <c r="H758" s="2">
        <v>4.1999999999999997E-3</v>
      </c>
      <c r="I758" s="16">
        <f t="shared" si="58"/>
        <v>4.153207198892471E-3</v>
      </c>
      <c r="J758" s="16">
        <f t="shared" si="59"/>
        <v>1.0041532071988926</v>
      </c>
      <c r="K758" s="16">
        <f t="shared" si="60"/>
        <v>45.418421052631579</v>
      </c>
      <c r="L758" s="16">
        <f t="shared" si="56"/>
        <v>45.878163265306135</v>
      </c>
      <c r="M758" s="25" t="str">
        <f t="shared" si="57"/>
        <v>HOLD</v>
      </c>
    </row>
    <row r="759" spans="2:13">
      <c r="B759" s="3">
        <v>43154</v>
      </c>
      <c r="C759" s="5">
        <v>44.04</v>
      </c>
      <c r="D759" s="5">
        <v>43.58</v>
      </c>
      <c r="E759" s="5">
        <v>44.06</v>
      </c>
      <c r="F759" s="5">
        <v>43.42</v>
      </c>
      <c r="G759" s="18" t="s">
        <v>1097</v>
      </c>
      <c r="H759" s="2">
        <v>1.1900000000000001E-2</v>
      </c>
      <c r="I759" s="16">
        <f t="shared" si="58"/>
        <v>1.1948529411764613E-2</v>
      </c>
      <c r="J759" s="16">
        <f t="shared" si="59"/>
        <v>1.0119485294117647</v>
      </c>
      <c r="K759" s="16">
        <f t="shared" si="60"/>
        <v>45.191052631578955</v>
      </c>
      <c r="L759" s="16">
        <f t="shared" si="56"/>
        <v>45.841224489795927</v>
      </c>
      <c r="M759" s="25" t="str">
        <f t="shared" si="57"/>
        <v>HOLD</v>
      </c>
    </row>
    <row r="760" spans="2:13">
      <c r="B760" s="3">
        <v>43157</v>
      </c>
      <c r="C760" s="5">
        <v>44.03</v>
      </c>
      <c r="D760" s="5">
        <v>44.23</v>
      </c>
      <c r="E760" s="5">
        <v>44.39</v>
      </c>
      <c r="F760" s="5">
        <v>43.81</v>
      </c>
      <c r="G760" s="18" t="s">
        <v>1096</v>
      </c>
      <c r="H760" s="2">
        <v>-2.0000000000000001E-4</v>
      </c>
      <c r="I760" s="16">
        <f t="shared" si="58"/>
        <v>-2.2706630336053612E-4</v>
      </c>
      <c r="J760" s="16">
        <f t="shared" si="59"/>
        <v>0.99977293369663944</v>
      </c>
      <c r="K760" s="16">
        <f t="shared" si="60"/>
        <v>44.95473684210527</v>
      </c>
      <c r="L760" s="16">
        <f t="shared" si="56"/>
        <v>45.815714285714293</v>
      </c>
      <c r="M760" s="25" t="str">
        <f t="shared" si="57"/>
        <v>HOLD</v>
      </c>
    </row>
    <row r="761" spans="2:13">
      <c r="B761" s="3">
        <v>43158</v>
      </c>
      <c r="C761" s="5">
        <v>43.62</v>
      </c>
      <c r="D761" s="5">
        <v>44.15</v>
      </c>
      <c r="E761" s="5">
        <v>44.31</v>
      </c>
      <c r="F761" s="5">
        <v>43.62</v>
      </c>
      <c r="G761" s="18" t="s">
        <v>1095</v>
      </c>
      <c r="H761" s="2">
        <v>-9.2999999999999992E-3</v>
      </c>
      <c r="I761" s="16">
        <f t="shared" si="58"/>
        <v>-9.3118328412446893E-3</v>
      </c>
      <c r="J761" s="16">
        <f t="shared" si="59"/>
        <v>0.9906881671587553</v>
      </c>
      <c r="K761" s="16">
        <f t="shared" si="60"/>
        <v>44.761578947368413</v>
      </c>
      <c r="L761" s="16">
        <f t="shared" ref="L761:L824" si="61">AVERAGE(C712:C760)</f>
        <v>45.777551020408183</v>
      </c>
      <c r="M761" s="25" t="str">
        <f t="shared" ref="M761:M824" si="62">IF(AND(K761&gt;L761,K760&lt;=L760),"BUY",IF(AND(K761&lt;L761,K760&gt;=L760),"SELL","HOLD"))</f>
        <v>HOLD</v>
      </c>
    </row>
    <row r="762" spans="2:13">
      <c r="B762" s="3">
        <v>43159</v>
      </c>
      <c r="C762" s="5">
        <v>43.22</v>
      </c>
      <c r="D762" s="5">
        <v>43.83</v>
      </c>
      <c r="E762" s="5">
        <v>43.91</v>
      </c>
      <c r="F762" s="5">
        <v>43.22</v>
      </c>
      <c r="G762" s="18" t="s">
        <v>158</v>
      </c>
      <c r="H762" s="2">
        <v>-9.1999999999999998E-3</v>
      </c>
      <c r="I762" s="16">
        <f t="shared" si="58"/>
        <v>-9.1701054562127148E-3</v>
      </c>
      <c r="J762" s="16">
        <f t="shared" si="59"/>
        <v>0.99082989454378734</v>
      </c>
      <c r="K762" s="16">
        <f t="shared" si="60"/>
        <v>44.562105263157896</v>
      </c>
      <c r="L762" s="16">
        <f t="shared" si="61"/>
        <v>45.728367346938789</v>
      </c>
      <c r="M762" s="25" t="str">
        <f t="shared" si="62"/>
        <v>HOLD</v>
      </c>
    </row>
    <row r="763" spans="2:13">
      <c r="B763" s="3">
        <v>43160</v>
      </c>
      <c r="C763" s="5">
        <v>43.43</v>
      </c>
      <c r="D763" s="5">
        <v>43.1</v>
      </c>
      <c r="E763" s="5">
        <v>43.64</v>
      </c>
      <c r="F763" s="5">
        <v>42.82</v>
      </c>
      <c r="G763" s="18" t="s">
        <v>1094</v>
      </c>
      <c r="H763" s="2">
        <v>4.8999999999999998E-3</v>
      </c>
      <c r="I763" s="16">
        <f t="shared" si="58"/>
        <v>4.8588616381305154E-3</v>
      </c>
      <c r="J763" s="16">
        <f t="shared" si="59"/>
        <v>1.0048588616381304</v>
      </c>
      <c r="K763" s="16">
        <f t="shared" si="60"/>
        <v>44.332105263157899</v>
      </c>
      <c r="L763" s="16">
        <f t="shared" si="61"/>
        <v>45.667755102040822</v>
      </c>
      <c r="M763" s="25" t="str">
        <f t="shared" si="62"/>
        <v>HOLD</v>
      </c>
    </row>
    <row r="764" spans="2:13">
      <c r="B764" s="3">
        <v>43161</v>
      </c>
      <c r="C764" s="5">
        <v>43.72</v>
      </c>
      <c r="D764" s="5">
        <v>43.25</v>
      </c>
      <c r="E764" s="5">
        <v>43.8</v>
      </c>
      <c r="F764" s="5">
        <v>43.24</v>
      </c>
      <c r="G764" s="18" t="s">
        <v>1093</v>
      </c>
      <c r="H764" s="2">
        <v>6.7000000000000002E-3</v>
      </c>
      <c r="I764" s="16">
        <f t="shared" si="58"/>
        <v>6.6774119272392162E-3</v>
      </c>
      <c r="J764" s="16">
        <f t="shared" si="59"/>
        <v>1.0066774119272393</v>
      </c>
      <c r="K764" s="16">
        <f t="shared" si="60"/>
        <v>44.120526315789476</v>
      </c>
      <c r="L764" s="16">
        <f t="shared" si="61"/>
        <v>45.616734693877547</v>
      </c>
      <c r="M764" s="25" t="str">
        <f t="shared" si="62"/>
        <v>HOLD</v>
      </c>
    </row>
    <row r="765" spans="2:13">
      <c r="B765" s="3">
        <v>43164</v>
      </c>
      <c r="C765" s="5">
        <v>43.89</v>
      </c>
      <c r="D765" s="5">
        <v>43.57</v>
      </c>
      <c r="E765" s="5">
        <v>43.94</v>
      </c>
      <c r="F765" s="5">
        <v>43.5</v>
      </c>
      <c r="G765" s="18" t="s">
        <v>577</v>
      </c>
      <c r="H765" s="2">
        <v>3.8999999999999998E-3</v>
      </c>
      <c r="I765" s="16">
        <f t="shared" si="58"/>
        <v>3.8883806038426741E-3</v>
      </c>
      <c r="J765" s="16">
        <f t="shared" si="59"/>
        <v>1.0038883806038428</v>
      </c>
      <c r="K765" s="16">
        <f t="shared" si="60"/>
        <v>43.962105263157895</v>
      </c>
      <c r="L765" s="16">
        <f t="shared" si="61"/>
        <v>45.567551020408153</v>
      </c>
      <c r="M765" s="25" t="str">
        <f t="shared" si="62"/>
        <v>HOLD</v>
      </c>
    </row>
    <row r="766" spans="2:13">
      <c r="B766" s="3">
        <v>43165</v>
      </c>
      <c r="C766" s="5">
        <v>43.93</v>
      </c>
      <c r="D766" s="5">
        <v>43.95</v>
      </c>
      <c r="E766" s="5">
        <v>44.05</v>
      </c>
      <c r="F766" s="5">
        <v>43.59</v>
      </c>
      <c r="G766" s="18" t="s">
        <v>1092</v>
      </c>
      <c r="H766" s="2">
        <v>8.9999999999999998E-4</v>
      </c>
      <c r="I766" s="16">
        <f t="shared" si="58"/>
        <v>9.1136933242194455E-4</v>
      </c>
      <c r="J766" s="16">
        <f t="shared" si="59"/>
        <v>1.0009113693324219</v>
      </c>
      <c r="K766" s="16">
        <f t="shared" si="60"/>
        <v>43.909473684210525</v>
      </c>
      <c r="L766" s="16">
        <f t="shared" si="61"/>
        <v>45.522857142857134</v>
      </c>
      <c r="M766" s="25" t="str">
        <f t="shared" si="62"/>
        <v>HOLD</v>
      </c>
    </row>
    <row r="767" spans="2:13">
      <c r="B767" s="3">
        <v>43166</v>
      </c>
      <c r="C767" s="5">
        <v>43.82</v>
      </c>
      <c r="D767" s="5">
        <v>43.59</v>
      </c>
      <c r="E767" s="5">
        <v>43.92</v>
      </c>
      <c r="F767" s="5">
        <v>43.47</v>
      </c>
      <c r="G767" s="18" t="s">
        <v>1091</v>
      </c>
      <c r="H767" s="2">
        <v>-2.5000000000000001E-3</v>
      </c>
      <c r="I767" s="16">
        <f t="shared" si="58"/>
        <v>-2.5039836102890836E-3</v>
      </c>
      <c r="J767" s="16">
        <f t="shared" si="59"/>
        <v>0.99749601638971097</v>
      </c>
      <c r="K767" s="16">
        <f t="shared" si="60"/>
        <v>43.870526315789469</v>
      </c>
      <c r="L767" s="16">
        <f t="shared" si="61"/>
        <v>45.488775510204071</v>
      </c>
      <c r="M767" s="25" t="str">
        <f t="shared" si="62"/>
        <v>HOLD</v>
      </c>
    </row>
    <row r="768" spans="2:13">
      <c r="B768" s="3">
        <v>43167</v>
      </c>
      <c r="C768" s="5">
        <v>44.45</v>
      </c>
      <c r="D768" s="5">
        <v>43.9</v>
      </c>
      <c r="E768" s="5">
        <v>44.46</v>
      </c>
      <c r="F768" s="5">
        <v>43.8</v>
      </c>
      <c r="G768" s="18" t="s">
        <v>323</v>
      </c>
      <c r="H768" s="2">
        <v>1.44E-2</v>
      </c>
      <c r="I768" s="16">
        <f t="shared" si="58"/>
        <v>1.4376996805111879E-2</v>
      </c>
      <c r="J768" s="16">
        <f t="shared" si="59"/>
        <v>1.014376996805112</v>
      </c>
      <c r="K768" s="16">
        <f t="shared" si="60"/>
        <v>43.831578947368428</v>
      </c>
      <c r="L768" s="16">
        <f t="shared" si="61"/>
        <v>45.452653061224474</v>
      </c>
      <c r="M768" s="25" t="str">
        <f t="shared" si="62"/>
        <v>HOLD</v>
      </c>
    </row>
    <row r="769" spans="2:13">
      <c r="B769" s="3">
        <v>43168</v>
      </c>
      <c r="C769" s="5">
        <v>44.82</v>
      </c>
      <c r="D769" s="5">
        <v>44.57</v>
      </c>
      <c r="E769" s="5">
        <v>44.82</v>
      </c>
      <c r="F769" s="5">
        <v>44.39</v>
      </c>
      <c r="G769" s="18" t="s">
        <v>688</v>
      </c>
      <c r="H769" s="2">
        <v>8.3000000000000001E-3</v>
      </c>
      <c r="I769" s="16">
        <f t="shared" si="58"/>
        <v>8.3239595050618089E-3</v>
      </c>
      <c r="J769" s="16">
        <f t="shared" si="59"/>
        <v>1.0083239595050617</v>
      </c>
      <c r="K769" s="16">
        <f t="shared" si="60"/>
        <v>43.902631578947371</v>
      </c>
      <c r="L769" s="16">
        <f t="shared" si="61"/>
        <v>45.424897959183667</v>
      </c>
      <c r="M769" s="25" t="str">
        <f t="shared" si="62"/>
        <v>HOLD</v>
      </c>
    </row>
    <row r="770" spans="2:13">
      <c r="B770" s="3">
        <v>43171</v>
      </c>
      <c r="C770" s="5">
        <v>44.53</v>
      </c>
      <c r="D770" s="5">
        <v>44.95</v>
      </c>
      <c r="E770" s="5">
        <v>45.09</v>
      </c>
      <c r="F770" s="5">
        <v>44.33</v>
      </c>
      <c r="G770" s="18" t="s">
        <v>183</v>
      </c>
      <c r="H770" s="2">
        <v>-6.4999999999999997E-3</v>
      </c>
      <c r="I770" s="16">
        <f t="shared" si="58"/>
        <v>-6.4703257474341622E-3</v>
      </c>
      <c r="J770" s="16">
        <f t="shared" si="59"/>
        <v>0.99352967425256589</v>
      </c>
      <c r="K770" s="16">
        <f t="shared" si="60"/>
        <v>43.991578947368431</v>
      </c>
      <c r="L770" s="16">
        <f t="shared" si="61"/>
        <v>45.402244897959193</v>
      </c>
      <c r="M770" s="25" t="str">
        <f t="shared" si="62"/>
        <v>HOLD</v>
      </c>
    </row>
    <row r="771" spans="2:13">
      <c r="B771" s="3">
        <v>43172</v>
      </c>
      <c r="C771" s="5">
        <v>44.57</v>
      </c>
      <c r="D771" s="5">
        <v>44.67</v>
      </c>
      <c r="E771" s="5">
        <v>44.83</v>
      </c>
      <c r="F771" s="5">
        <v>44.4</v>
      </c>
      <c r="G771" s="18" t="s">
        <v>1015</v>
      </c>
      <c r="H771" s="2">
        <v>8.9999999999999998E-4</v>
      </c>
      <c r="I771" s="16">
        <f t="shared" si="58"/>
        <v>8.9827082865482028E-4</v>
      </c>
      <c r="J771" s="16">
        <f t="shared" si="59"/>
        <v>1.0008982708286549</v>
      </c>
      <c r="K771" s="16">
        <f t="shared" si="60"/>
        <v>44.021052631578954</v>
      </c>
      <c r="L771" s="16">
        <f t="shared" si="61"/>
        <v>45.377959183673475</v>
      </c>
      <c r="M771" s="25" t="str">
        <f t="shared" si="62"/>
        <v>HOLD</v>
      </c>
    </row>
    <row r="772" spans="2:13">
      <c r="B772" s="3">
        <v>43173</v>
      </c>
      <c r="C772" s="5">
        <v>43.78</v>
      </c>
      <c r="D772" s="5">
        <v>44.38</v>
      </c>
      <c r="E772" s="5">
        <v>44.43</v>
      </c>
      <c r="F772" s="5">
        <v>43.73</v>
      </c>
      <c r="G772" s="18" t="s">
        <v>1090</v>
      </c>
      <c r="H772" s="2">
        <v>-1.77E-2</v>
      </c>
      <c r="I772" s="16">
        <f t="shared" si="58"/>
        <v>-1.7724927080996166E-2</v>
      </c>
      <c r="J772" s="16">
        <f t="shared" si="59"/>
        <v>0.98227507291900384</v>
      </c>
      <c r="K772" s="16">
        <f t="shared" si="60"/>
        <v>44.04105263157895</v>
      </c>
      <c r="L772" s="16">
        <f t="shared" si="61"/>
        <v>45.351224489795925</v>
      </c>
      <c r="M772" s="25" t="str">
        <f t="shared" si="62"/>
        <v>HOLD</v>
      </c>
    </row>
    <row r="773" spans="2:13">
      <c r="B773" s="3">
        <v>43174</v>
      </c>
      <c r="C773" s="5">
        <v>43.67</v>
      </c>
      <c r="D773" s="5">
        <v>43.88</v>
      </c>
      <c r="E773" s="5">
        <v>44</v>
      </c>
      <c r="F773" s="5">
        <v>43.55</v>
      </c>
      <c r="G773" s="18" t="s">
        <v>1089</v>
      </c>
      <c r="H773" s="2">
        <v>-2.5000000000000001E-3</v>
      </c>
      <c r="I773" s="16">
        <f t="shared" si="58"/>
        <v>-2.5125628140703388E-3</v>
      </c>
      <c r="J773" s="16">
        <f t="shared" si="59"/>
        <v>0.99748743718592969</v>
      </c>
      <c r="K773" s="16">
        <f t="shared" si="60"/>
        <v>44.024210526315798</v>
      </c>
      <c r="L773" s="16">
        <f t="shared" si="61"/>
        <v>45.315306122448995</v>
      </c>
      <c r="M773" s="25" t="str">
        <f t="shared" si="62"/>
        <v>HOLD</v>
      </c>
    </row>
    <row r="774" spans="2:13">
      <c r="B774" s="3">
        <v>43175</v>
      </c>
      <c r="C774" s="5">
        <v>43.46</v>
      </c>
      <c r="D774" s="5">
        <v>43.7</v>
      </c>
      <c r="E774" s="5">
        <v>44.02</v>
      </c>
      <c r="F774" s="5">
        <v>43.45</v>
      </c>
      <c r="G774" s="18" t="s">
        <v>1088</v>
      </c>
      <c r="H774" s="2">
        <v>-4.7999999999999996E-3</v>
      </c>
      <c r="I774" s="16">
        <f t="shared" si="58"/>
        <v>-4.8087932218914779E-3</v>
      </c>
      <c r="J774" s="16">
        <f t="shared" si="59"/>
        <v>0.99519120677810857</v>
      </c>
      <c r="K774" s="16">
        <f t="shared" si="60"/>
        <v>43.965789473684211</v>
      </c>
      <c r="L774" s="16">
        <f t="shared" si="61"/>
        <v>45.279183673469404</v>
      </c>
      <c r="M774" s="25" t="str">
        <f t="shared" si="62"/>
        <v>HOLD</v>
      </c>
    </row>
    <row r="775" spans="2:13">
      <c r="B775" s="3">
        <v>43178</v>
      </c>
      <c r="C775" s="5">
        <v>43.26</v>
      </c>
      <c r="D775" s="5">
        <v>43.46</v>
      </c>
      <c r="E775" s="5">
        <v>43.71</v>
      </c>
      <c r="F775" s="5">
        <v>43.17</v>
      </c>
      <c r="G775" s="18" t="s">
        <v>231</v>
      </c>
      <c r="H775" s="2">
        <v>-4.5999999999999999E-3</v>
      </c>
      <c r="I775" s="16">
        <f t="shared" si="58"/>
        <v>-4.6019328117810135E-3</v>
      </c>
      <c r="J775" s="16">
        <f t="shared" si="59"/>
        <v>0.99539806718821899</v>
      </c>
      <c r="K775" s="16">
        <f t="shared" si="60"/>
        <v>43.885789473684213</v>
      </c>
      <c r="L775" s="16">
        <f t="shared" si="61"/>
        <v>45.225714285714297</v>
      </c>
      <c r="M775" s="25" t="str">
        <f t="shared" si="62"/>
        <v>HOLD</v>
      </c>
    </row>
    <row r="776" spans="2:13">
      <c r="B776" s="3">
        <v>43179</v>
      </c>
      <c r="C776" s="5">
        <v>43.16</v>
      </c>
      <c r="D776" s="5">
        <v>43.32</v>
      </c>
      <c r="E776" s="5">
        <v>43.48</v>
      </c>
      <c r="F776" s="5">
        <v>43.01</v>
      </c>
      <c r="G776" s="18" t="s">
        <v>935</v>
      </c>
      <c r="H776" s="2">
        <v>-2.3E-3</v>
      </c>
      <c r="I776" s="16">
        <f t="shared" si="58"/>
        <v>-2.3116042533518591E-3</v>
      </c>
      <c r="J776" s="16">
        <f t="shared" si="59"/>
        <v>0.99768839574664814</v>
      </c>
      <c r="K776" s="16">
        <f t="shared" si="60"/>
        <v>43.847368421052636</v>
      </c>
      <c r="L776" s="16">
        <f t="shared" si="61"/>
        <v>45.168367346938787</v>
      </c>
      <c r="M776" s="25" t="str">
        <f t="shared" si="62"/>
        <v>HOLD</v>
      </c>
    </row>
    <row r="777" spans="2:13">
      <c r="B777" s="3">
        <v>43180</v>
      </c>
      <c r="C777" s="5">
        <v>43</v>
      </c>
      <c r="D777" s="5">
        <v>43.13</v>
      </c>
      <c r="E777" s="5">
        <v>43.45</v>
      </c>
      <c r="F777" s="5">
        <v>42.79</v>
      </c>
      <c r="G777" s="18" t="s">
        <v>292</v>
      </c>
      <c r="H777" s="2">
        <v>-3.7000000000000002E-3</v>
      </c>
      <c r="I777" s="16">
        <f t="shared" ref="I777:I840" si="63">(C777-C776)/C776</f>
        <v>-3.7071362372566403E-3</v>
      </c>
      <c r="J777" s="16">
        <f t="shared" ref="J777:J840" si="64">C777/C776</f>
        <v>0.9962928637627434</v>
      </c>
      <c r="K777" s="16">
        <f t="shared" si="60"/>
        <v>43.837894736842102</v>
      </c>
      <c r="L777" s="16">
        <f t="shared" si="61"/>
        <v>45.110408163265305</v>
      </c>
      <c r="M777" s="25" t="str">
        <f t="shared" si="62"/>
        <v>HOLD</v>
      </c>
    </row>
    <row r="778" spans="2:13">
      <c r="B778" s="3">
        <v>43181</v>
      </c>
      <c r="C778" s="5">
        <v>42.76</v>
      </c>
      <c r="D778" s="5">
        <v>42.88</v>
      </c>
      <c r="E778" s="5">
        <v>43.37</v>
      </c>
      <c r="F778" s="5">
        <v>42.7</v>
      </c>
      <c r="G778" s="18" t="s">
        <v>319</v>
      </c>
      <c r="H778" s="2">
        <v>-5.5999999999999999E-3</v>
      </c>
      <c r="I778" s="16">
        <f t="shared" si="63"/>
        <v>-5.5813953488372554E-3</v>
      </c>
      <c r="J778" s="16">
        <f t="shared" si="64"/>
        <v>0.99441860465116272</v>
      </c>
      <c r="K778" s="16">
        <f t="shared" si="60"/>
        <v>43.810526315789474</v>
      </c>
      <c r="L778" s="16">
        <f t="shared" si="61"/>
        <v>45.044489795918366</v>
      </c>
      <c r="M778" s="25" t="str">
        <f t="shared" si="62"/>
        <v>HOLD</v>
      </c>
    </row>
    <row r="779" spans="2:13">
      <c r="B779" s="3">
        <v>43182</v>
      </c>
      <c r="C779" s="5">
        <v>42.33</v>
      </c>
      <c r="D779" s="5">
        <v>42.82</v>
      </c>
      <c r="E779" s="5">
        <v>43.16</v>
      </c>
      <c r="F779" s="5">
        <v>42.29</v>
      </c>
      <c r="G779" s="18" t="s">
        <v>1087</v>
      </c>
      <c r="H779" s="2">
        <v>-1.01E-2</v>
      </c>
      <c r="I779" s="16">
        <f t="shared" si="63"/>
        <v>-1.0056127221702519E-2</v>
      </c>
      <c r="J779" s="16">
        <f t="shared" si="64"/>
        <v>0.98994387277829743</v>
      </c>
      <c r="K779" s="16">
        <f t="shared" si="60"/>
        <v>43.743157894736839</v>
      </c>
      <c r="L779" s="16">
        <f t="shared" si="61"/>
        <v>44.976938775510199</v>
      </c>
      <c r="M779" s="25" t="str">
        <f t="shared" si="62"/>
        <v>HOLD</v>
      </c>
    </row>
    <row r="780" spans="2:13">
      <c r="B780" s="3">
        <v>43185</v>
      </c>
      <c r="C780" s="5">
        <v>42.69</v>
      </c>
      <c r="D780" s="5">
        <v>42.61</v>
      </c>
      <c r="E780" s="5">
        <v>42.81</v>
      </c>
      <c r="F780" s="5">
        <v>42.25</v>
      </c>
      <c r="G780" s="18" t="s">
        <v>1086</v>
      </c>
      <c r="H780" s="2">
        <v>8.5000000000000006E-3</v>
      </c>
      <c r="I780" s="16">
        <f t="shared" si="63"/>
        <v>8.5046066619418725E-3</v>
      </c>
      <c r="J780" s="16">
        <f t="shared" si="64"/>
        <v>1.0085046066619419</v>
      </c>
      <c r="K780" s="16">
        <f t="shared" si="60"/>
        <v>43.653684210526315</v>
      </c>
      <c r="L780" s="16">
        <f t="shared" si="61"/>
        <v>44.901224489795915</v>
      </c>
      <c r="M780" s="25" t="str">
        <f t="shared" si="62"/>
        <v>HOLD</v>
      </c>
    </row>
    <row r="781" spans="2:13">
      <c r="B781" s="3">
        <v>43186</v>
      </c>
      <c r="C781" s="5">
        <v>42.89</v>
      </c>
      <c r="D781" s="5">
        <v>42.7</v>
      </c>
      <c r="E781" s="5">
        <v>43.31</v>
      </c>
      <c r="F781" s="5">
        <v>42.52</v>
      </c>
      <c r="G781" s="18" t="s">
        <v>199</v>
      </c>
      <c r="H781" s="2">
        <v>4.7000000000000002E-3</v>
      </c>
      <c r="I781" s="16">
        <f t="shared" si="63"/>
        <v>4.6849379245725662E-3</v>
      </c>
      <c r="J781" s="16">
        <f t="shared" si="64"/>
        <v>1.0046849379245726</v>
      </c>
      <c r="K781" s="16">
        <f t="shared" si="60"/>
        <v>43.604736842105261</v>
      </c>
      <c r="L781" s="16">
        <f t="shared" si="61"/>
        <v>44.830612244897964</v>
      </c>
      <c r="M781" s="25" t="str">
        <f t="shared" si="62"/>
        <v>HOLD</v>
      </c>
    </row>
    <row r="782" spans="2:13">
      <c r="B782" s="3">
        <v>43187</v>
      </c>
      <c r="C782" s="5">
        <v>43.32</v>
      </c>
      <c r="D782" s="5">
        <v>43</v>
      </c>
      <c r="E782" s="5">
        <v>43.7</v>
      </c>
      <c r="F782" s="5">
        <v>43</v>
      </c>
      <c r="G782" s="18" t="s">
        <v>424</v>
      </c>
      <c r="H782" s="2">
        <v>0.01</v>
      </c>
      <c r="I782" s="16">
        <f t="shared" si="63"/>
        <v>1.0025647003963621E-2</v>
      </c>
      <c r="J782" s="16">
        <f t="shared" si="64"/>
        <v>1.0100256470039637</v>
      </c>
      <c r="K782" s="16">
        <f t="shared" si="60"/>
        <v>43.587368421052631</v>
      </c>
      <c r="L782" s="16">
        <f t="shared" si="61"/>
        <v>44.756326530612242</v>
      </c>
      <c r="M782" s="25" t="str">
        <f t="shared" si="62"/>
        <v>HOLD</v>
      </c>
    </row>
    <row r="783" spans="2:13">
      <c r="B783" s="3">
        <v>43188</v>
      </c>
      <c r="C783" s="5">
        <v>43.43</v>
      </c>
      <c r="D783" s="5">
        <v>43.54</v>
      </c>
      <c r="E783" s="5">
        <v>43.92</v>
      </c>
      <c r="F783" s="5">
        <v>43.29</v>
      </c>
      <c r="G783" s="18" t="s">
        <v>299</v>
      </c>
      <c r="H783" s="2">
        <v>2.5000000000000001E-3</v>
      </c>
      <c r="I783" s="16">
        <f t="shared" si="63"/>
        <v>2.5392428439519723E-3</v>
      </c>
      <c r="J783" s="16">
        <f t="shared" si="64"/>
        <v>1.0025392428439519</v>
      </c>
      <c r="K783" s="16">
        <f t="shared" si="60"/>
        <v>43.581578947368421</v>
      </c>
      <c r="L783" s="16">
        <f t="shared" si="61"/>
        <v>44.684897959183672</v>
      </c>
      <c r="M783" s="25" t="str">
        <f t="shared" si="62"/>
        <v>HOLD</v>
      </c>
    </row>
    <row r="784" spans="2:13">
      <c r="B784" s="3">
        <v>43192</v>
      </c>
      <c r="C784" s="5">
        <v>42.67</v>
      </c>
      <c r="D784" s="5">
        <v>43.44</v>
      </c>
      <c r="E784" s="5">
        <v>43.5</v>
      </c>
      <c r="F784" s="5">
        <v>42.47</v>
      </c>
      <c r="G784" s="18" t="s">
        <v>742</v>
      </c>
      <c r="H784" s="2">
        <v>-1.7500000000000002E-2</v>
      </c>
      <c r="I784" s="16">
        <f t="shared" si="63"/>
        <v>-1.7499424361040711E-2</v>
      </c>
      <c r="J784" s="16">
        <f t="shared" si="64"/>
        <v>0.98250057563895932</v>
      </c>
      <c r="K784" s="16">
        <f t="shared" si="60"/>
        <v>43.566315789473677</v>
      </c>
      <c r="L784" s="16">
        <f t="shared" si="61"/>
        <v>44.61448979591836</v>
      </c>
      <c r="M784" s="25" t="str">
        <f t="shared" si="62"/>
        <v>HOLD</v>
      </c>
    </row>
    <row r="785" spans="2:13">
      <c r="B785" s="3">
        <v>43193</v>
      </c>
      <c r="C785" s="5">
        <v>43.38</v>
      </c>
      <c r="D785" s="5">
        <v>42.98</v>
      </c>
      <c r="E785" s="5">
        <v>43.53</v>
      </c>
      <c r="F785" s="5">
        <v>42.84</v>
      </c>
      <c r="G785" s="18" t="s">
        <v>366</v>
      </c>
      <c r="H785" s="2">
        <v>1.66E-2</v>
      </c>
      <c r="I785" s="16">
        <f t="shared" si="63"/>
        <v>1.6639325052730275E-2</v>
      </c>
      <c r="J785" s="16">
        <f t="shared" si="64"/>
        <v>1.0166393250527304</v>
      </c>
      <c r="K785" s="16">
        <f t="shared" si="60"/>
        <v>43.502105263157894</v>
      </c>
      <c r="L785" s="16">
        <f t="shared" si="61"/>
        <v>44.522857142857148</v>
      </c>
      <c r="M785" s="25" t="str">
        <f t="shared" si="62"/>
        <v>HOLD</v>
      </c>
    </row>
    <row r="786" spans="2:13">
      <c r="B786" s="3">
        <v>43194</v>
      </c>
      <c r="C786" s="5">
        <v>44.24</v>
      </c>
      <c r="D786" s="5">
        <v>43.14</v>
      </c>
      <c r="E786" s="5">
        <v>44.4</v>
      </c>
      <c r="F786" s="5">
        <v>43.11</v>
      </c>
      <c r="G786" s="18" t="s">
        <v>935</v>
      </c>
      <c r="H786" s="2">
        <v>1.9800000000000002E-2</v>
      </c>
      <c r="I786" s="16">
        <f t="shared" si="63"/>
        <v>1.9824804057169187E-2</v>
      </c>
      <c r="J786" s="16">
        <f t="shared" si="64"/>
        <v>1.0198248040571691</v>
      </c>
      <c r="K786" s="16">
        <f t="shared" si="60"/>
        <v>43.473157894736836</v>
      </c>
      <c r="L786" s="16">
        <f t="shared" si="61"/>
        <v>44.441224489795928</v>
      </c>
      <c r="M786" s="25" t="str">
        <f t="shared" si="62"/>
        <v>HOLD</v>
      </c>
    </row>
    <row r="787" spans="2:13">
      <c r="B787" s="3">
        <v>43195</v>
      </c>
      <c r="C787" s="5">
        <v>44.4</v>
      </c>
      <c r="D787" s="5">
        <v>44.28</v>
      </c>
      <c r="E787" s="5">
        <v>44.61</v>
      </c>
      <c r="F787" s="5">
        <v>43.94</v>
      </c>
      <c r="G787" s="18" t="s">
        <v>818</v>
      </c>
      <c r="H787" s="2">
        <v>3.5999999999999999E-3</v>
      </c>
      <c r="I787" s="16">
        <f t="shared" si="63"/>
        <v>3.6166365280288558E-3</v>
      </c>
      <c r="J787" s="16">
        <f t="shared" si="64"/>
        <v>1.0036166365280288</v>
      </c>
      <c r="K787" s="16">
        <f t="shared" si="60"/>
        <v>43.495263157894733</v>
      </c>
      <c r="L787" s="16">
        <f t="shared" si="61"/>
        <v>44.375714285714295</v>
      </c>
      <c r="M787" s="25" t="str">
        <f t="shared" si="62"/>
        <v>HOLD</v>
      </c>
    </row>
    <row r="788" spans="2:13">
      <c r="B788" s="3">
        <v>43196</v>
      </c>
      <c r="C788" s="5">
        <v>43.92</v>
      </c>
      <c r="D788" s="5">
        <v>44.28</v>
      </c>
      <c r="E788" s="5">
        <v>44.52</v>
      </c>
      <c r="F788" s="5">
        <v>43.71</v>
      </c>
      <c r="G788" s="18" t="s">
        <v>221</v>
      </c>
      <c r="H788" s="2">
        <v>-1.0800000000000001E-2</v>
      </c>
      <c r="I788" s="16">
        <f t="shared" si="63"/>
        <v>-1.081081081081074E-2</v>
      </c>
      <c r="J788" s="16">
        <f t="shared" si="64"/>
        <v>0.9891891891891893</v>
      </c>
      <c r="K788" s="16">
        <f t="shared" si="60"/>
        <v>43.492631578947361</v>
      </c>
      <c r="L788" s="16">
        <f t="shared" si="61"/>
        <v>44.305714285714288</v>
      </c>
      <c r="M788" s="25" t="str">
        <f t="shared" si="62"/>
        <v>HOLD</v>
      </c>
    </row>
    <row r="789" spans="2:13">
      <c r="B789" s="3">
        <v>43199</v>
      </c>
      <c r="C789" s="5">
        <v>43.83</v>
      </c>
      <c r="D789" s="5">
        <v>44.03</v>
      </c>
      <c r="E789" s="5">
        <v>44.31</v>
      </c>
      <c r="F789" s="5">
        <v>43.78</v>
      </c>
      <c r="G789" s="18" t="s">
        <v>958</v>
      </c>
      <c r="H789" s="2">
        <v>-2E-3</v>
      </c>
      <c r="I789" s="16">
        <f t="shared" si="63"/>
        <v>-2.0491803278689302E-3</v>
      </c>
      <c r="J789" s="16">
        <f t="shared" si="64"/>
        <v>0.99795081967213106</v>
      </c>
      <c r="K789" s="16">
        <f t="shared" si="60"/>
        <v>43.445263157894736</v>
      </c>
      <c r="L789" s="16">
        <f t="shared" si="61"/>
        <v>44.225714285714297</v>
      </c>
      <c r="M789" s="25" t="str">
        <f t="shared" si="62"/>
        <v>HOLD</v>
      </c>
    </row>
    <row r="790" spans="2:13">
      <c r="B790" s="3">
        <v>43200</v>
      </c>
      <c r="C790" s="5">
        <v>43.99</v>
      </c>
      <c r="D790" s="5">
        <v>44.07</v>
      </c>
      <c r="E790" s="5">
        <v>44.18</v>
      </c>
      <c r="F790" s="5">
        <v>43.72</v>
      </c>
      <c r="G790" s="18" t="s">
        <v>23</v>
      </c>
      <c r="H790" s="2">
        <v>3.7000000000000002E-3</v>
      </c>
      <c r="I790" s="16">
        <f t="shared" si="63"/>
        <v>3.6504677161762196E-3</v>
      </c>
      <c r="J790" s="16">
        <f t="shared" si="64"/>
        <v>1.0036504677161762</v>
      </c>
      <c r="K790" s="16">
        <f t="shared" si="60"/>
        <v>43.408421052631574</v>
      </c>
      <c r="L790" s="16">
        <f t="shared" si="61"/>
        <v>44.129795918367357</v>
      </c>
      <c r="M790" s="25" t="str">
        <f t="shared" si="62"/>
        <v>HOLD</v>
      </c>
    </row>
    <row r="791" spans="2:13">
      <c r="B791" s="3">
        <v>43201</v>
      </c>
      <c r="C791" s="5">
        <v>43.99</v>
      </c>
      <c r="D791" s="5">
        <v>43.81</v>
      </c>
      <c r="E791" s="5">
        <v>44.14</v>
      </c>
      <c r="F791" s="5">
        <v>43.76</v>
      </c>
      <c r="G791" s="18" t="s">
        <v>1085</v>
      </c>
      <c r="H791" s="2">
        <v>0</v>
      </c>
      <c r="I791" s="16">
        <f t="shared" si="63"/>
        <v>0</v>
      </c>
      <c r="J791" s="16">
        <f t="shared" si="64"/>
        <v>1</v>
      </c>
      <c r="K791" s="16">
        <f t="shared" si="60"/>
        <v>43.377894736842094</v>
      </c>
      <c r="L791" s="16">
        <f t="shared" si="61"/>
        <v>44.054081632653066</v>
      </c>
      <c r="M791" s="25" t="str">
        <f t="shared" si="62"/>
        <v>HOLD</v>
      </c>
    </row>
    <row r="792" spans="2:13">
      <c r="B792" s="3">
        <v>43202</v>
      </c>
      <c r="C792" s="5">
        <v>44.03</v>
      </c>
      <c r="D792" s="5">
        <v>44.08</v>
      </c>
      <c r="E792" s="5">
        <v>44.41</v>
      </c>
      <c r="F792" s="5">
        <v>43.95</v>
      </c>
      <c r="G792" s="18" t="s">
        <v>347</v>
      </c>
      <c r="H792" s="2">
        <v>8.9999999999999998E-4</v>
      </c>
      <c r="I792" s="16">
        <f t="shared" si="63"/>
        <v>9.0929756762898721E-4</v>
      </c>
      <c r="J792" s="16">
        <f t="shared" si="64"/>
        <v>1.000909297567629</v>
      </c>
      <c r="K792" s="16">
        <f t="shared" si="60"/>
        <v>43.38894736842105</v>
      </c>
      <c r="L792" s="16">
        <f t="shared" si="61"/>
        <v>43.984285714285711</v>
      </c>
      <c r="M792" s="25" t="str">
        <f t="shared" si="62"/>
        <v>HOLD</v>
      </c>
    </row>
    <row r="793" spans="2:13">
      <c r="B793" s="3">
        <v>43203</v>
      </c>
      <c r="C793" s="5">
        <v>44.51</v>
      </c>
      <c r="D793" s="5">
        <v>44.19</v>
      </c>
      <c r="E793" s="5">
        <v>44.69</v>
      </c>
      <c r="F793" s="5">
        <v>44.14</v>
      </c>
      <c r="G793" s="18" t="s">
        <v>1084</v>
      </c>
      <c r="H793" s="2">
        <v>1.09E-2</v>
      </c>
      <c r="I793" s="16">
        <f t="shared" si="63"/>
        <v>1.0901657960481419E-2</v>
      </c>
      <c r="J793" s="16">
        <f t="shared" si="64"/>
        <v>1.0109016579604815</v>
      </c>
      <c r="K793" s="16">
        <f t="shared" si="60"/>
        <v>43.407894736842103</v>
      </c>
      <c r="L793" s="16">
        <f t="shared" si="61"/>
        <v>43.911632653061226</v>
      </c>
      <c r="M793" s="25" t="str">
        <f t="shared" si="62"/>
        <v>HOLD</v>
      </c>
    </row>
    <row r="794" spans="2:13">
      <c r="B794" s="3">
        <v>43206</v>
      </c>
      <c r="C794" s="5">
        <v>44.68</v>
      </c>
      <c r="D794" s="5">
        <v>44.65</v>
      </c>
      <c r="E794" s="5">
        <v>44.89</v>
      </c>
      <c r="F794" s="5">
        <v>44.4</v>
      </c>
      <c r="G794" s="18" t="s">
        <v>340</v>
      </c>
      <c r="H794" s="2">
        <v>3.8E-3</v>
      </c>
      <c r="I794" s="16">
        <f t="shared" si="63"/>
        <v>3.8193664345091377E-3</v>
      </c>
      <c r="J794" s="16">
        <f t="shared" si="64"/>
        <v>1.0038193664345092</v>
      </c>
      <c r="K794" s="16">
        <f t="shared" si="60"/>
        <v>43.463157894736838</v>
      </c>
      <c r="L794" s="16">
        <f t="shared" si="61"/>
        <v>43.851632653061245</v>
      </c>
      <c r="M794" s="25" t="str">
        <f t="shared" si="62"/>
        <v>HOLD</v>
      </c>
    </row>
    <row r="795" spans="2:13">
      <c r="B795" s="3">
        <v>43207</v>
      </c>
      <c r="C795" s="5">
        <v>44.88</v>
      </c>
      <c r="D795" s="5">
        <v>44.95</v>
      </c>
      <c r="E795" s="5">
        <v>45.03</v>
      </c>
      <c r="F795" s="5">
        <v>44.65</v>
      </c>
      <c r="G795" s="18" t="s">
        <v>1083</v>
      </c>
      <c r="H795" s="2">
        <v>4.4999999999999997E-3</v>
      </c>
      <c r="I795" s="16">
        <f t="shared" si="63"/>
        <v>4.4762757385855608E-3</v>
      </c>
      <c r="J795" s="16">
        <f t="shared" si="64"/>
        <v>1.0044762757385857</v>
      </c>
      <c r="K795" s="16">
        <f t="shared" ref="K795:K858" si="65">AVERAGE(C776:C794)</f>
        <v>43.537894736842098</v>
      </c>
      <c r="L795" s="16">
        <f t="shared" si="61"/>
        <v>43.809795918367364</v>
      </c>
      <c r="M795" s="25" t="str">
        <f t="shared" si="62"/>
        <v>HOLD</v>
      </c>
    </row>
    <row r="796" spans="2:13">
      <c r="B796" s="3">
        <v>43208</v>
      </c>
      <c r="C796" s="5">
        <v>44.51</v>
      </c>
      <c r="D796" s="5">
        <v>44.9</v>
      </c>
      <c r="E796" s="5">
        <v>44.97</v>
      </c>
      <c r="F796" s="5">
        <v>44.33</v>
      </c>
      <c r="G796" s="18" t="s">
        <v>896</v>
      </c>
      <c r="H796" s="2">
        <v>-8.2000000000000007E-3</v>
      </c>
      <c r="I796" s="16">
        <f t="shared" si="63"/>
        <v>-8.2442067736186384E-3</v>
      </c>
      <c r="J796" s="16">
        <f t="shared" si="64"/>
        <v>0.99175579322638141</v>
      </c>
      <c r="K796" s="16">
        <f t="shared" si="65"/>
        <v>43.628421052631573</v>
      </c>
      <c r="L796" s="16">
        <f t="shared" si="61"/>
        <v>43.809591836734704</v>
      </c>
      <c r="M796" s="25" t="str">
        <f t="shared" si="62"/>
        <v>HOLD</v>
      </c>
    </row>
    <row r="797" spans="2:13">
      <c r="B797" s="3">
        <v>43209</v>
      </c>
      <c r="C797" s="5">
        <v>44.31</v>
      </c>
      <c r="D797" s="5">
        <v>44.34</v>
      </c>
      <c r="E797" s="5">
        <v>44.47</v>
      </c>
      <c r="F797" s="5">
        <v>44.02</v>
      </c>
      <c r="G797" s="18" t="s">
        <v>1082</v>
      </c>
      <c r="H797" s="2">
        <v>-4.4999999999999997E-3</v>
      </c>
      <c r="I797" s="16">
        <f t="shared" si="63"/>
        <v>-4.4933722758929619E-3</v>
      </c>
      <c r="J797" s="16">
        <f t="shared" si="64"/>
        <v>0.99550662772410703</v>
      </c>
      <c r="K797" s="16">
        <f t="shared" si="65"/>
        <v>43.7078947368421</v>
      </c>
      <c r="L797" s="16">
        <f t="shared" si="61"/>
        <v>43.80632653061226</v>
      </c>
      <c r="M797" s="25" t="str">
        <f t="shared" si="62"/>
        <v>HOLD</v>
      </c>
    </row>
    <row r="798" spans="2:13">
      <c r="B798" s="3">
        <v>43210</v>
      </c>
      <c r="C798" s="5">
        <v>43.74</v>
      </c>
      <c r="D798" s="5">
        <v>44.31</v>
      </c>
      <c r="E798" s="5">
        <v>44.41</v>
      </c>
      <c r="F798" s="5">
        <v>43.58</v>
      </c>
      <c r="G798" s="18" t="s">
        <v>1081</v>
      </c>
      <c r="H798" s="2">
        <v>-1.29E-2</v>
      </c>
      <c r="I798" s="16">
        <f t="shared" si="63"/>
        <v>-1.2863913337846993E-2</v>
      </c>
      <c r="J798" s="16">
        <f t="shared" si="64"/>
        <v>0.98713608666215302</v>
      </c>
      <c r="K798" s="16">
        <f t="shared" si="65"/>
        <v>43.789473684210513</v>
      </c>
      <c r="L798" s="16">
        <f t="shared" si="61"/>
        <v>43.801224489795942</v>
      </c>
      <c r="M798" s="25" t="str">
        <f t="shared" si="62"/>
        <v>HOLD</v>
      </c>
    </row>
    <row r="799" spans="2:13">
      <c r="B799" s="3">
        <v>43213</v>
      </c>
      <c r="C799" s="5">
        <v>43.98</v>
      </c>
      <c r="D799" s="5">
        <v>43.74</v>
      </c>
      <c r="E799" s="5">
        <v>43.99</v>
      </c>
      <c r="F799" s="5">
        <v>43.56</v>
      </c>
      <c r="G799" s="18" t="s">
        <v>444</v>
      </c>
      <c r="H799" s="2">
        <v>5.4999999999999997E-3</v>
      </c>
      <c r="I799" s="16">
        <f t="shared" si="63"/>
        <v>5.4869684499312954E-3</v>
      </c>
      <c r="J799" s="16">
        <f t="shared" si="64"/>
        <v>1.0054869684499312</v>
      </c>
      <c r="K799" s="16">
        <f t="shared" si="65"/>
        <v>43.863684210526309</v>
      </c>
      <c r="L799" s="16">
        <f t="shared" si="61"/>
        <v>43.814285714285724</v>
      </c>
      <c r="M799" s="25" t="str">
        <f t="shared" si="62"/>
        <v>BUY</v>
      </c>
    </row>
    <row r="800" spans="2:13">
      <c r="B800" s="3">
        <v>43214</v>
      </c>
      <c r="C800" s="5">
        <v>43.07</v>
      </c>
      <c r="D800" s="5">
        <v>43.98</v>
      </c>
      <c r="E800" s="5">
        <v>44.1</v>
      </c>
      <c r="F800" s="5">
        <v>42.73</v>
      </c>
      <c r="G800" s="18" t="s">
        <v>1080</v>
      </c>
      <c r="H800" s="2">
        <v>-2.07E-2</v>
      </c>
      <c r="I800" s="16">
        <f t="shared" si="63"/>
        <v>-2.0691223283310519E-2</v>
      </c>
      <c r="J800" s="16">
        <f t="shared" si="64"/>
        <v>0.97930877671668948</v>
      </c>
      <c r="K800" s="16">
        <f t="shared" si="65"/>
        <v>43.931578947368422</v>
      </c>
      <c r="L800" s="16">
        <f t="shared" si="61"/>
        <v>43.831632653061234</v>
      </c>
      <c r="M800" s="25" t="str">
        <f t="shared" si="62"/>
        <v>HOLD</v>
      </c>
    </row>
    <row r="801" spans="2:13">
      <c r="B801" s="3">
        <v>43215</v>
      </c>
      <c r="C801" s="5">
        <v>42.43</v>
      </c>
      <c r="D801" s="5">
        <v>42.74</v>
      </c>
      <c r="E801" s="5">
        <v>42.89</v>
      </c>
      <c r="F801" s="5">
        <v>41.91</v>
      </c>
      <c r="G801" s="18" t="s">
        <v>1079</v>
      </c>
      <c r="H801" s="2">
        <v>-1.49E-2</v>
      </c>
      <c r="I801" s="16">
        <f t="shared" si="63"/>
        <v>-1.4859530996052949E-2</v>
      </c>
      <c r="J801" s="16">
        <f t="shared" si="64"/>
        <v>0.98514046900394703</v>
      </c>
      <c r="K801" s="16">
        <f t="shared" si="65"/>
        <v>43.941052631578948</v>
      </c>
      <c r="L801" s="16">
        <f t="shared" si="61"/>
        <v>43.813265306122467</v>
      </c>
      <c r="M801" s="25" t="str">
        <f t="shared" si="62"/>
        <v>HOLD</v>
      </c>
    </row>
    <row r="802" spans="2:13">
      <c r="B802" s="3">
        <v>43216</v>
      </c>
      <c r="C802" s="5">
        <v>42.75</v>
      </c>
      <c r="D802" s="5">
        <v>42.4</v>
      </c>
      <c r="E802" s="5">
        <v>43.1</v>
      </c>
      <c r="F802" s="5">
        <v>42.26</v>
      </c>
      <c r="G802" s="18" t="s">
        <v>935</v>
      </c>
      <c r="H802" s="2">
        <v>7.4999999999999997E-3</v>
      </c>
      <c r="I802" s="16">
        <f t="shared" si="63"/>
        <v>7.5418336082960233E-3</v>
      </c>
      <c r="J802" s="16">
        <f t="shared" si="64"/>
        <v>1.007541833608296</v>
      </c>
      <c r="K802" s="16">
        <f t="shared" si="65"/>
        <v>43.894210526315788</v>
      </c>
      <c r="L802" s="16">
        <f t="shared" si="61"/>
        <v>43.777346938775523</v>
      </c>
      <c r="M802" s="25" t="str">
        <f t="shared" si="62"/>
        <v>HOLD</v>
      </c>
    </row>
    <row r="803" spans="2:13">
      <c r="B803" s="3">
        <v>43217</v>
      </c>
      <c r="C803" s="5">
        <v>43.31</v>
      </c>
      <c r="D803" s="5">
        <v>42.73</v>
      </c>
      <c r="E803" s="5">
        <v>43.34</v>
      </c>
      <c r="F803" s="5">
        <v>42.71</v>
      </c>
      <c r="G803" s="18" t="s">
        <v>688</v>
      </c>
      <c r="H803" s="2">
        <v>1.3100000000000001E-2</v>
      </c>
      <c r="I803" s="16">
        <f t="shared" si="63"/>
        <v>1.3099415204678416E-2</v>
      </c>
      <c r="J803" s="16">
        <f t="shared" si="64"/>
        <v>1.0130994152046784</v>
      </c>
      <c r="K803" s="16">
        <f t="shared" si="65"/>
        <v>43.858421052631591</v>
      </c>
      <c r="L803" s="16">
        <f t="shared" si="61"/>
        <v>43.749795918367361</v>
      </c>
      <c r="M803" s="25" t="str">
        <f t="shared" si="62"/>
        <v>HOLD</v>
      </c>
    </row>
    <row r="804" spans="2:13">
      <c r="B804" s="3">
        <v>43220</v>
      </c>
      <c r="C804" s="5">
        <v>43.21</v>
      </c>
      <c r="D804" s="5">
        <v>43.5</v>
      </c>
      <c r="E804" s="5">
        <v>43.69</v>
      </c>
      <c r="F804" s="5">
        <v>42.97</v>
      </c>
      <c r="G804" s="18" t="s">
        <v>1078</v>
      </c>
      <c r="H804" s="2">
        <v>-2.3E-3</v>
      </c>
      <c r="I804" s="16">
        <f t="shared" si="63"/>
        <v>-2.3089355806973312E-3</v>
      </c>
      <c r="J804" s="16">
        <f t="shared" si="64"/>
        <v>0.99769106441930266</v>
      </c>
      <c r="K804" s="16">
        <f t="shared" si="65"/>
        <v>43.892105263157895</v>
      </c>
      <c r="L804" s="16">
        <f t="shared" si="61"/>
        <v>43.719795918367353</v>
      </c>
      <c r="M804" s="25" t="str">
        <f t="shared" si="62"/>
        <v>HOLD</v>
      </c>
    </row>
    <row r="805" spans="2:13">
      <c r="B805" s="3">
        <v>43221</v>
      </c>
      <c r="C805" s="5">
        <v>42.59</v>
      </c>
      <c r="D805" s="5">
        <v>42.96</v>
      </c>
      <c r="E805" s="5">
        <v>42.99</v>
      </c>
      <c r="F805" s="5">
        <v>42.18</v>
      </c>
      <c r="G805" s="18" t="s">
        <v>583</v>
      </c>
      <c r="H805" s="2">
        <v>-1.43E-2</v>
      </c>
      <c r="I805" s="16">
        <f t="shared" si="63"/>
        <v>-1.4348530432770132E-2</v>
      </c>
      <c r="J805" s="16">
        <f t="shared" si="64"/>
        <v>0.98565146956722982</v>
      </c>
      <c r="K805" s="16">
        <f t="shared" si="65"/>
        <v>43.88315789473684</v>
      </c>
      <c r="L805" s="16">
        <f t="shared" si="61"/>
        <v>43.683673469387763</v>
      </c>
      <c r="M805" s="25" t="str">
        <f t="shared" si="62"/>
        <v>HOLD</v>
      </c>
    </row>
    <row r="806" spans="2:13">
      <c r="B806" s="3">
        <v>43222</v>
      </c>
      <c r="C806" s="5">
        <v>42.06</v>
      </c>
      <c r="D806" s="5">
        <v>42.4</v>
      </c>
      <c r="E806" s="5">
        <v>42.59</v>
      </c>
      <c r="F806" s="5">
        <v>41.94</v>
      </c>
      <c r="G806" s="18" t="s">
        <v>289</v>
      </c>
      <c r="H806" s="2">
        <v>-1.24E-2</v>
      </c>
      <c r="I806" s="16">
        <f t="shared" si="63"/>
        <v>-1.244423573608831E-2</v>
      </c>
      <c r="J806" s="16">
        <f t="shared" si="64"/>
        <v>0.98755576426391167</v>
      </c>
      <c r="K806" s="16">
        <f t="shared" si="65"/>
        <v>43.796315789473681</v>
      </c>
      <c r="L806" s="16">
        <f t="shared" si="61"/>
        <v>43.655102040816345</v>
      </c>
      <c r="M806" s="25" t="str">
        <f t="shared" si="62"/>
        <v>HOLD</v>
      </c>
    </row>
    <row r="807" spans="2:13">
      <c r="B807" s="3">
        <v>43223</v>
      </c>
      <c r="C807" s="5">
        <v>41.89</v>
      </c>
      <c r="D807" s="5">
        <v>42.22</v>
      </c>
      <c r="E807" s="5">
        <v>42.4</v>
      </c>
      <c r="F807" s="5">
        <v>41.52</v>
      </c>
      <c r="G807" s="18" t="s">
        <v>1077</v>
      </c>
      <c r="H807" s="2">
        <v>-4.0000000000000001E-3</v>
      </c>
      <c r="I807" s="16">
        <f t="shared" si="63"/>
        <v>-4.0418449833571493E-3</v>
      </c>
      <c r="J807" s="16">
        <f t="shared" si="64"/>
        <v>0.99595815501664287</v>
      </c>
      <c r="K807" s="16">
        <f t="shared" si="65"/>
        <v>43.673157894736853</v>
      </c>
      <c r="L807" s="16">
        <f t="shared" si="61"/>
        <v>43.628979591836746</v>
      </c>
      <c r="M807" s="25" t="str">
        <f t="shared" si="62"/>
        <v>HOLD</v>
      </c>
    </row>
    <row r="808" spans="2:13">
      <c r="B808" s="3">
        <v>43224</v>
      </c>
      <c r="C808" s="5">
        <v>42.36</v>
      </c>
      <c r="D808" s="5">
        <v>41.79</v>
      </c>
      <c r="E808" s="5">
        <v>42.5</v>
      </c>
      <c r="F808" s="5">
        <v>41.77</v>
      </c>
      <c r="G808" s="18" t="s">
        <v>402</v>
      </c>
      <c r="H808" s="2">
        <v>1.12E-2</v>
      </c>
      <c r="I808" s="16">
        <f t="shared" si="63"/>
        <v>1.1219861542134134E-2</v>
      </c>
      <c r="J808" s="16">
        <f t="shared" si="64"/>
        <v>1.0112198615421342</v>
      </c>
      <c r="K808" s="16">
        <f t="shared" si="65"/>
        <v>43.566315789473691</v>
      </c>
      <c r="L808" s="16">
        <f t="shared" si="61"/>
        <v>43.595714285714294</v>
      </c>
      <c r="M808" s="25" t="str">
        <f t="shared" si="62"/>
        <v>SELL</v>
      </c>
    </row>
    <row r="809" spans="2:13">
      <c r="B809" s="3">
        <v>43227</v>
      </c>
      <c r="C809" s="5">
        <v>42.14</v>
      </c>
      <c r="D809" s="5">
        <v>42.34</v>
      </c>
      <c r="E809" s="5">
        <v>42.49</v>
      </c>
      <c r="F809" s="5">
        <v>41.96</v>
      </c>
      <c r="G809" s="18" t="s">
        <v>1024</v>
      </c>
      <c r="H809" s="2">
        <v>-5.1999999999999998E-3</v>
      </c>
      <c r="I809" s="16">
        <f t="shared" si="63"/>
        <v>-5.193578847969756E-3</v>
      </c>
      <c r="J809" s="16">
        <f t="shared" si="64"/>
        <v>0.99480642115203022</v>
      </c>
      <c r="K809" s="16">
        <f t="shared" si="65"/>
        <v>43.488947368421066</v>
      </c>
      <c r="L809" s="16">
        <f t="shared" si="61"/>
        <v>43.561428571428586</v>
      </c>
      <c r="M809" s="25" t="str">
        <f t="shared" si="62"/>
        <v>HOLD</v>
      </c>
    </row>
    <row r="810" spans="2:13">
      <c r="B810" s="3">
        <v>43228</v>
      </c>
      <c r="C810" s="5">
        <v>41.81</v>
      </c>
      <c r="D810" s="5">
        <v>41.97</v>
      </c>
      <c r="E810" s="5">
        <v>42.09</v>
      </c>
      <c r="F810" s="5">
        <v>41.69</v>
      </c>
      <c r="G810" s="18" t="s">
        <v>392</v>
      </c>
      <c r="H810" s="2">
        <v>-7.7999999999999996E-3</v>
      </c>
      <c r="I810" s="16">
        <f t="shared" si="63"/>
        <v>-7.8310393925011459E-3</v>
      </c>
      <c r="J810" s="16">
        <f t="shared" si="64"/>
        <v>0.99216896060749882</v>
      </c>
      <c r="K810" s="16">
        <f t="shared" si="65"/>
        <v>43.39157894736843</v>
      </c>
      <c r="L810" s="16">
        <f t="shared" si="61"/>
        <v>43.522857142857141</v>
      </c>
      <c r="M810" s="25" t="str">
        <f t="shared" si="62"/>
        <v>HOLD</v>
      </c>
    </row>
    <row r="811" spans="2:13">
      <c r="B811" s="3">
        <v>43229</v>
      </c>
      <c r="C811" s="5">
        <v>41.78</v>
      </c>
      <c r="D811" s="5">
        <v>41.97</v>
      </c>
      <c r="E811" s="5">
        <v>42.23</v>
      </c>
      <c r="F811" s="5">
        <v>41.67</v>
      </c>
      <c r="G811" s="18" t="s">
        <v>915</v>
      </c>
      <c r="H811" s="2">
        <v>-6.9999999999999999E-4</v>
      </c>
      <c r="I811" s="16">
        <f t="shared" si="63"/>
        <v>-7.1753169098304561E-4</v>
      </c>
      <c r="J811" s="16">
        <f t="shared" si="64"/>
        <v>0.9992824683090169</v>
      </c>
      <c r="K811" s="16">
        <f t="shared" si="65"/>
        <v>43.276842105263171</v>
      </c>
      <c r="L811" s="16">
        <f t="shared" si="61"/>
        <v>43.48591836734694</v>
      </c>
      <c r="M811" s="25" t="str">
        <f t="shared" si="62"/>
        <v>HOLD</v>
      </c>
    </row>
    <row r="812" spans="2:13">
      <c r="B812" s="3">
        <v>43230</v>
      </c>
      <c r="C812" s="5">
        <v>42.18</v>
      </c>
      <c r="D812" s="5">
        <v>41.99</v>
      </c>
      <c r="E812" s="5">
        <v>42.36</v>
      </c>
      <c r="F812" s="5">
        <v>41.94</v>
      </c>
      <c r="G812" s="18" t="s">
        <v>1044</v>
      </c>
      <c r="H812" s="2">
        <v>9.5999999999999992E-3</v>
      </c>
      <c r="I812" s="16">
        <f t="shared" si="63"/>
        <v>9.5739588319769878E-3</v>
      </c>
      <c r="J812" s="16">
        <f t="shared" si="64"/>
        <v>1.009573958831977</v>
      </c>
      <c r="K812" s="16">
        <f t="shared" si="65"/>
        <v>43.158421052631581</v>
      </c>
      <c r="L812" s="16">
        <f t="shared" si="61"/>
        <v>43.456530612244904</v>
      </c>
      <c r="M812" s="25" t="str">
        <f t="shared" si="62"/>
        <v>HOLD</v>
      </c>
    </row>
    <row r="813" spans="2:13">
      <c r="B813" s="3">
        <v>43231</v>
      </c>
      <c r="C813" s="5">
        <v>42.14</v>
      </c>
      <c r="D813" s="5">
        <v>42.24</v>
      </c>
      <c r="E813" s="5">
        <v>42.47</v>
      </c>
      <c r="F813" s="5">
        <v>42.04</v>
      </c>
      <c r="G813" s="18" t="s">
        <v>1063</v>
      </c>
      <c r="H813" s="2">
        <v>-8.9999999999999998E-4</v>
      </c>
      <c r="I813" s="16">
        <f t="shared" si="63"/>
        <v>-9.4831673779040184E-4</v>
      </c>
      <c r="J813" s="16">
        <f t="shared" si="64"/>
        <v>0.99905168326220961</v>
      </c>
      <c r="K813" s="16">
        <f t="shared" si="65"/>
        <v>43.035789473684211</v>
      </c>
      <c r="L813" s="16">
        <f t="shared" si="61"/>
        <v>43.431020408163263</v>
      </c>
      <c r="M813" s="25" t="str">
        <f t="shared" si="62"/>
        <v>HOLD</v>
      </c>
    </row>
    <row r="814" spans="2:13">
      <c r="B814" s="3">
        <v>43234</v>
      </c>
      <c r="C814" s="5">
        <v>42.04</v>
      </c>
      <c r="D814" s="5">
        <v>42.25</v>
      </c>
      <c r="E814" s="5">
        <v>42.31</v>
      </c>
      <c r="F814" s="5">
        <v>41.9</v>
      </c>
      <c r="G814" s="18" t="s">
        <v>115</v>
      </c>
      <c r="H814" s="2">
        <v>-2.3999999999999998E-3</v>
      </c>
      <c r="I814" s="16">
        <f t="shared" si="63"/>
        <v>-2.3730422401519085E-3</v>
      </c>
      <c r="J814" s="16">
        <f t="shared" si="64"/>
        <v>0.99762695775984811</v>
      </c>
      <c r="K814" s="16">
        <f t="shared" si="65"/>
        <v>42.902105263157885</v>
      </c>
      <c r="L814" s="16">
        <f t="shared" si="61"/>
        <v>43.398775510204075</v>
      </c>
      <c r="M814" s="25" t="str">
        <f t="shared" si="62"/>
        <v>HOLD</v>
      </c>
    </row>
    <row r="815" spans="2:13">
      <c r="B815" s="3">
        <v>43235</v>
      </c>
      <c r="C815" s="5">
        <v>41.72</v>
      </c>
      <c r="D815" s="5">
        <v>41.78</v>
      </c>
      <c r="E815" s="5">
        <v>41.92</v>
      </c>
      <c r="F815" s="5">
        <v>41.45</v>
      </c>
      <c r="G815" s="18" t="s">
        <v>1076</v>
      </c>
      <c r="H815" s="2">
        <v>-7.6E-3</v>
      </c>
      <c r="I815" s="16">
        <f t="shared" si="63"/>
        <v>-7.6117982873453926E-3</v>
      </c>
      <c r="J815" s="16">
        <f t="shared" si="64"/>
        <v>0.99238820171265463</v>
      </c>
      <c r="K815" s="16">
        <f t="shared" si="65"/>
        <v>42.752631578947366</v>
      </c>
      <c r="L815" s="16">
        <f t="shared" si="61"/>
        <v>43.361020408163263</v>
      </c>
      <c r="M815" s="25" t="str">
        <f t="shared" si="62"/>
        <v>HOLD</v>
      </c>
    </row>
    <row r="816" spans="2:13">
      <c r="B816" s="3">
        <v>43236</v>
      </c>
      <c r="C816" s="5">
        <v>41.55</v>
      </c>
      <c r="D816" s="5">
        <v>41.74</v>
      </c>
      <c r="E816" s="5">
        <v>41.94</v>
      </c>
      <c r="F816" s="5">
        <v>41.54</v>
      </c>
      <c r="G816" s="18" t="s">
        <v>282</v>
      </c>
      <c r="H816" s="2">
        <v>-4.1000000000000003E-3</v>
      </c>
      <c r="I816" s="16">
        <f t="shared" si="63"/>
        <v>-4.0747842761265987E-3</v>
      </c>
      <c r="J816" s="16">
        <f t="shared" si="64"/>
        <v>0.99592521572387338</v>
      </c>
      <c r="K816" s="16">
        <f t="shared" si="65"/>
        <v>42.605789473684197</v>
      </c>
      <c r="L816" s="16">
        <f t="shared" si="61"/>
        <v>43.315918367346939</v>
      </c>
      <c r="M816" s="25" t="str">
        <f t="shared" si="62"/>
        <v>HOLD</v>
      </c>
    </row>
    <row r="817" spans="2:13">
      <c r="B817" s="3">
        <v>43237</v>
      </c>
      <c r="C817" s="5">
        <v>42.3</v>
      </c>
      <c r="D817" s="5">
        <v>42.01</v>
      </c>
      <c r="E817" s="5">
        <v>42.35</v>
      </c>
      <c r="F817" s="5">
        <v>41.87</v>
      </c>
      <c r="G817" s="18" t="s">
        <v>81</v>
      </c>
      <c r="H817" s="2">
        <v>1.8100000000000002E-2</v>
      </c>
      <c r="I817" s="16">
        <f t="shared" si="63"/>
        <v>1.8050541516245487E-2</v>
      </c>
      <c r="J817" s="16">
        <f t="shared" si="64"/>
        <v>1.0180505415162455</v>
      </c>
      <c r="K817" s="16">
        <f t="shared" si="65"/>
        <v>42.460526315789458</v>
      </c>
      <c r="L817" s="16">
        <f t="shared" si="61"/>
        <v>43.269591836734698</v>
      </c>
      <c r="M817" s="25" t="str">
        <f t="shared" si="62"/>
        <v>HOLD</v>
      </c>
    </row>
    <row r="818" spans="2:13">
      <c r="B818" s="3">
        <v>43238</v>
      </c>
      <c r="C818" s="5">
        <v>42.18</v>
      </c>
      <c r="D818" s="5">
        <v>42.3</v>
      </c>
      <c r="E818" s="5">
        <v>42.38</v>
      </c>
      <c r="F818" s="5">
        <v>42.08</v>
      </c>
      <c r="G818" s="18" t="s">
        <v>1071</v>
      </c>
      <c r="H818" s="2">
        <v>-2.8E-3</v>
      </c>
      <c r="I818" s="16">
        <f t="shared" si="63"/>
        <v>-2.8368794326240534E-3</v>
      </c>
      <c r="J818" s="16">
        <f t="shared" si="64"/>
        <v>0.99716312056737599</v>
      </c>
      <c r="K818" s="16">
        <f t="shared" si="65"/>
        <v>42.384736842105255</v>
      </c>
      <c r="L818" s="16">
        <f t="shared" si="61"/>
        <v>43.225714285714297</v>
      </c>
      <c r="M818" s="25" t="str">
        <f t="shared" si="62"/>
        <v>HOLD</v>
      </c>
    </row>
    <row r="819" spans="2:13">
      <c r="B819" s="3">
        <v>43241</v>
      </c>
      <c r="C819" s="5">
        <v>42.41</v>
      </c>
      <c r="D819" s="5">
        <v>42.31</v>
      </c>
      <c r="E819" s="5">
        <v>42.52</v>
      </c>
      <c r="F819" s="5">
        <v>42.27</v>
      </c>
      <c r="G819" s="18" t="s">
        <v>195</v>
      </c>
      <c r="H819" s="2">
        <v>5.4999999999999997E-3</v>
      </c>
      <c r="I819" s="16">
        <f t="shared" si="63"/>
        <v>5.4528212422948526E-3</v>
      </c>
      <c r="J819" s="16">
        <f t="shared" si="64"/>
        <v>1.0054528212422948</v>
      </c>
      <c r="K819" s="16">
        <f t="shared" si="65"/>
        <v>42.289999999999985</v>
      </c>
      <c r="L819" s="16">
        <f t="shared" si="61"/>
        <v>43.171836734693876</v>
      </c>
      <c r="M819" s="25" t="str">
        <f t="shared" si="62"/>
        <v>HOLD</v>
      </c>
    </row>
    <row r="820" spans="2:13">
      <c r="B820" s="3">
        <v>43242</v>
      </c>
      <c r="C820" s="5">
        <v>42.25</v>
      </c>
      <c r="D820" s="5">
        <v>42.5</v>
      </c>
      <c r="E820" s="5">
        <v>42.6</v>
      </c>
      <c r="F820" s="5">
        <v>42.2</v>
      </c>
      <c r="G820" s="18" t="s">
        <v>1075</v>
      </c>
      <c r="H820" s="2">
        <v>-3.8E-3</v>
      </c>
      <c r="I820" s="16">
        <f t="shared" si="63"/>
        <v>-3.7726951190756096E-3</v>
      </c>
      <c r="J820" s="16">
        <f t="shared" si="64"/>
        <v>0.99622730488092437</v>
      </c>
      <c r="K820" s="16">
        <f t="shared" si="65"/>
        <v>42.255263157894731</v>
      </c>
      <c r="L820" s="16">
        <f t="shared" si="61"/>
        <v>43.128571428571426</v>
      </c>
      <c r="M820" s="25" t="str">
        <f t="shared" si="62"/>
        <v>HOLD</v>
      </c>
    </row>
    <row r="821" spans="2:13">
      <c r="B821" s="3">
        <v>43243</v>
      </c>
      <c r="C821" s="5">
        <v>42.4</v>
      </c>
      <c r="D821" s="5">
        <v>42.25</v>
      </c>
      <c r="E821" s="5">
        <v>42.45</v>
      </c>
      <c r="F821" s="5">
        <v>41.93</v>
      </c>
      <c r="G821" s="18" t="s">
        <v>47</v>
      </c>
      <c r="H821" s="2">
        <v>3.5999999999999999E-3</v>
      </c>
      <c r="I821" s="16">
        <f t="shared" si="63"/>
        <v>3.5502958579881321E-3</v>
      </c>
      <c r="J821" s="16">
        <f t="shared" si="64"/>
        <v>1.0035502958579881</v>
      </c>
      <c r="K821" s="16">
        <f t="shared" si="65"/>
        <v>42.245789473684205</v>
      </c>
      <c r="L821" s="16">
        <f t="shared" si="61"/>
        <v>43.081224489795908</v>
      </c>
      <c r="M821" s="25" t="str">
        <f t="shared" si="62"/>
        <v>HOLD</v>
      </c>
    </row>
    <row r="822" spans="2:13">
      <c r="B822" s="3">
        <v>43244</v>
      </c>
      <c r="C822" s="5">
        <v>42.32</v>
      </c>
      <c r="D822" s="5">
        <v>42.4</v>
      </c>
      <c r="E822" s="5">
        <v>42.47</v>
      </c>
      <c r="F822" s="5">
        <v>42.19</v>
      </c>
      <c r="G822" s="18" t="s">
        <v>1074</v>
      </c>
      <c r="H822" s="2">
        <v>-1.9E-3</v>
      </c>
      <c r="I822" s="16">
        <f t="shared" si="63"/>
        <v>-1.8867924528301486E-3</v>
      </c>
      <c r="J822" s="16">
        <f t="shared" si="64"/>
        <v>0.99811320754716981</v>
      </c>
      <c r="K822" s="16">
        <f t="shared" si="65"/>
        <v>42.227368421052624</v>
      </c>
      <c r="L822" s="16">
        <f t="shared" si="61"/>
        <v>43.053061224489795</v>
      </c>
      <c r="M822" s="25" t="str">
        <f t="shared" si="62"/>
        <v>HOLD</v>
      </c>
    </row>
    <row r="823" spans="2:13">
      <c r="B823" s="3">
        <v>43245</v>
      </c>
      <c r="C823" s="5">
        <v>42.4</v>
      </c>
      <c r="D823" s="5">
        <v>42.34</v>
      </c>
      <c r="E823" s="5">
        <v>42.58</v>
      </c>
      <c r="F823" s="5">
        <v>42.2</v>
      </c>
      <c r="G823" s="18" t="s">
        <v>654</v>
      </c>
      <c r="H823" s="2">
        <v>1.9E-3</v>
      </c>
      <c r="I823" s="16">
        <f t="shared" si="63"/>
        <v>1.8903591682419257E-3</v>
      </c>
      <c r="J823" s="16">
        <f t="shared" si="64"/>
        <v>1.001890359168242</v>
      </c>
      <c r="K823" s="16">
        <f t="shared" si="65"/>
        <v>42.175263157894733</v>
      </c>
      <c r="L823" s="16">
        <f t="shared" si="61"/>
        <v>43.025510204081634</v>
      </c>
      <c r="M823" s="25" t="str">
        <f t="shared" si="62"/>
        <v>HOLD</v>
      </c>
    </row>
    <row r="824" spans="2:13">
      <c r="B824" s="3">
        <v>43249</v>
      </c>
      <c r="C824" s="5">
        <v>42.68</v>
      </c>
      <c r="D824" s="5">
        <v>42.12</v>
      </c>
      <c r="E824" s="5">
        <v>42.85</v>
      </c>
      <c r="F824" s="5">
        <v>42.1</v>
      </c>
      <c r="G824" s="18" t="s">
        <v>268</v>
      </c>
      <c r="H824" s="2">
        <v>6.6E-3</v>
      </c>
      <c r="I824" s="16">
        <f t="shared" si="63"/>
        <v>6.6037735849056875E-3</v>
      </c>
      <c r="J824" s="16">
        <f t="shared" si="64"/>
        <v>1.0066037735849056</v>
      </c>
      <c r="K824" s="16">
        <f t="shared" si="65"/>
        <v>42.132631578947368</v>
      </c>
      <c r="L824" s="16">
        <f t="shared" si="61"/>
        <v>43.003877551020409</v>
      </c>
      <c r="M824" s="25" t="str">
        <f t="shared" si="62"/>
        <v>HOLD</v>
      </c>
    </row>
    <row r="825" spans="2:13">
      <c r="B825" s="3">
        <v>43250</v>
      </c>
      <c r="C825" s="5">
        <v>43.13</v>
      </c>
      <c r="D825" s="5">
        <v>42.77</v>
      </c>
      <c r="E825" s="5">
        <v>43.28</v>
      </c>
      <c r="F825" s="5">
        <v>42.7</v>
      </c>
      <c r="G825" s="18" t="s">
        <v>1073</v>
      </c>
      <c r="H825" s="2">
        <v>1.0500000000000001E-2</v>
      </c>
      <c r="I825" s="16">
        <f t="shared" si="63"/>
        <v>1.0543580131209063E-2</v>
      </c>
      <c r="J825" s="16">
        <f t="shared" si="64"/>
        <v>1.010543580131209</v>
      </c>
      <c r="K825" s="16">
        <f t="shared" si="65"/>
        <v>42.137368421052628</v>
      </c>
      <c r="L825" s="16">
        <f t="shared" ref="L825:L888" si="66">AVERAGE(C776:C824)</f>
        <v>42.992040816326522</v>
      </c>
      <c r="M825" s="25" t="str">
        <f t="shared" ref="M825:M888" si="67">IF(AND(K825&gt;L825,K824&lt;=L824),"BUY",IF(AND(K825&lt;L825,K824&gt;=L824),"SELL","HOLD"))</f>
        <v>HOLD</v>
      </c>
    </row>
    <row r="826" spans="2:13">
      <c r="B826" s="3">
        <v>43251</v>
      </c>
      <c r="C826" s="5">
        <v>43</v>
      </c>
      <c r="D826" s="5">
        <v>43.2</v>
      </c>
      <c r="E826" s="5">
        <v>43.21</v>
      </c>
      <c r="F826" s="5">
        <v>42.68</v>
      </c>
      <c r="G826" s="18" t="s">
        <v>15</v>
      </c>
      <c r="H826" s="2">
        <v>-3.0000000000000001E-3</v>
      </c>
      <c r="I826" s="16">
        <f t="shared" si="63"/>
        <v>-3.0141432877348147E-3</v>
      </c>
      <c r="J826" s="16">
        <f t="shared" si="64"/>
        <v>0.99698585671226514</v>
      </c>
      <c r="K826" s="16">
        <f t="shared" si="65"/>
        <v>42.193684210526321</v>
      </c>
      <c r="L826" s="16">
        <f t="shared" si="66"/>
        <v>42.991428571428578</v>
      </c>
      <c r="M826" s="25" t="str">
        <f t="shared" si="67"/>
        <v>HOLD</v>
      </c>
    </row>
    <row r="827" spans="2:13">
      <c r="B827" s="3">
        <v>43252</v>
      </c>
      <c r="C827" s="5">
        <v>43.12</v>
      </c>
      <c r="D827" s="5">
        <v>43.1</v>
      </c>
      <c r="E827" s="5">
        <v>43.32</v>
      </c>
      <c r="F827" s="5">
        <v>43.04</v>
      </c>
      <c r="G827" s="18" t="s">
        <v>483</v>
      </c>
      <c r="H827" s="2">
        <v>2.8E-3</v>
      </c>
      <c r="I827" s="16">
        <f t="shared" si="63"/>
        <v>2.7906976744185453E-3</v>
      </c>
      <c r="J827" s="16">
        <f t="shared" si="64"/>
        <v>1.0027906976744185</v>
      </c>
      <c r="K827" s="16">
        <f t="shared" si="65"/>
        <v>42.252105263157901</v>
      </c>
      <c r="L827" s="16">
        <f t="shared" si="66"/>
        <v>42.991428571428578</v>
      </c>
      <c r="M827" s="25" t="str">
        <f t="shared" si="67"/>
        <v>HOLD</v>
      </c>
    </row>
    <row r="828" spans="2:13">
      <c r="B828" s="3">
        <v>43255</v>
      </c>
      <c r="C828" s="5">
        <v>43.49</v>
      </c>
      <c r="D828" s="5">
        <v>43.36</v>
      </c>
      <c r="E828" s="5">
        <v>43.59</v>
      </c>
      <c r="F828" s="5">
        <v>43.29</v>
      </c>
      <c r="G828" s="18" t="s">
        <v>273</v>
      </c>
      <c r="H828" s="2">
        <v>8.6E-3</v>
      </c>
      <c r="I828" s="16">
        <f t="shared" si="63"/>
        <v>8.580705009276544E-3</v>
      </c>
      <c r="J828" s="16">
        <f t="shared" si="64"/>
        <v>1.0085807050092765</v>
      </c>
      <c r="K828" s="16">
        <f t="shared" si="65"/>
        <v>42.292105263157893</v>
      </c>
      <c r="L828" s="16">
        <f t="shared" si="66"/>
        <v>42.998775510204084</v>
      </c>
      <c r="M828" s="25" t="str">
        <f t="shared" si="67"/>
        <v>HOLD</v>
      </c>
    </row>
    <row r="829" spans="2:13">
      <c r="B829" s="3">
        <v>43256</v>
      </c>
      <c r="C829" s="5">
        <v>43.11</v>
      </c>
      <c r="D829" s="5">
        <v>43.5</v>
      </c>
      <c r="E829" s="5">
        <v>43.54</v>
      </c>
      <c r="F829" s="5">
        <v>43.1</v>
      </c>
      <c r="G829" s="18" t="s">
        <v>1072</v>
      </c>
      <c r="H829" s="2">
        <v>-8.6999999999999994E-3</v>
      </c>
      <c r="I829" s="16">
        <f t="shared" si="63"/>
        <v>-8.7376408369740748E-3</v>
      </c>
      <c r="J829" s="16">
        <f t="shared" si="64"/>
        <v>0.99126235916302596</v>
      </c>
      <c r="K829" s="16">
        <f t="shared" si="65"/>
        <v>42.363157894736844</v>
      </c>
      <c r="L829" s="16">
        <f t="shared" si="66"/>
        <v>43.022448979591836</v>
      </c>
      <c r="M829" s="25" t="str">
        <f t="shared" si="67"/>
        <v>HOLD</v>
      </c>
    </row>
    <row r="830" spans="2:13">
      <c r="B830" s="3">
        <v>43257</v>
      </c>
      <c r="C830" s="5">
        <v>43.46</v>
      </c>
      <c r="D830" s="5">
        <v>43.06</v>
      </c>
      <c r="E830" s="5">
        <v>43.46</v>
      </c>
      <c r="F830" s="5">
        <v>43.04</v>
      </c>
      <c r="G830" s="18" t="s">
        <v>156</v>
      </c>
      <c r="H830" s="2">
        <v>8.0999999999999996E-3</v>
      </c>
      <c r="I830" s="16">
        <f t="shared" si="63"/>
        <v>8.118765947576002E-3</v>
      </c>
      <c r="J830" s="16">
        <f t="shared" si="64"/>
        <v>1.0081187659475761</v>
      </c>
      <c r="K830" s="16">
        <f t="shared" si="65"/>
        <v>42.431578947368422</v>
      </c>
      <c r="L830" s="16">
        <f t="shared" si="66"/>
        <v>43.031020408163272</v>
      </c>
      <c r="M830" s="25" t="str">
        <f t="shared" si="67"/>
        <v>HOLD</v>
      </c>
    </row>
    <row r="831" spans="2:13">
      <c r="B831" s="3">
        <v>43258</v>
      </c>
      <c r="C831" s="5">
        <v>43.44</v>
      </c>
      <c r="D831" s="5">
        <v>43.33</v>
      </c>
      <c r="E831" s="5">
        <v>43.73</v>
      </c>
      <c r="F831" s="5">
        <v>43.33</v>
      </c>
      <c r="G831" s="18" t="s">
        <v>1071</v>
      </c>
      <c r="H831" s="2">
        <v>-5.0000000000000001E-4</v>
      </c>
      <c r="I831" s="16">
        <f t="shared" si="63"/>
        <v>-4.601932811781667E-4</v>
      </c>
      <c r="J831" s="16">
        <f t="shared" si="64"/>
        <v>0.99953980671882181</v>
      </c>
      <c r="K831" s="16">
        <f t="shared" si="65"/>
        <v>42.52</v>
      </c>
      <c r="L831" s="16">
        <f t="shared" si="66"/>
        <v>43.042653061224492</v>
      </c>
      <c r="M831" s="25" t="str">
        <f t="shared" si="67"/>
        <v>HOLD</v>
      </c>
    </row>
    <row r="832" spans="2:13">
      <c r="B832" s="3">
        <v>43259</v>
      </c>
      <c r="C832" s="5">
        <v>43.95</v>
      </c>
      <c r="D832" s="5">
        <v>43.57</v>
      </c>
      <c r="E832" s="5">
        <v>44</v>
      </c>
      <c r="F832" s="5">
        <v>43.56</v>
      </c>
      <c r="G832" s="18" t="s">
        <v>141</v>
      </c>
      <c r="H832" s="2">
        <v>1.17E-2</v>
      </c>
      <c r="I832" s="16">
        <f t="shared" si="63"/>
        <v>1.1740331491712826E-2</v>
      </c>
      <c r="J832" s="16">
        <f t="shared" si="64"/>
        <v>1.0117403314917128</v>
      </c>
      <c r="K832" s="16">
        <f t="shared" si="65"/>
        <v>42.586315789473687</v>
      </c>
      <c r="L832" s="16">
        <f t="shared" si="66"/>
        <v>43.045102040816339</v>
      </c>
      <c r="M832" s="25" t="str">
        <f t="shared" si="67"/>
        <v>HOLD</v>
      </c>
    </row>
    <row r="833" spans="2:13">
      <c r="B833" s="3">
        <v>43262</v>
      </c>
      <c r="C833" s="5">
        <v>44.13</v>
      </c>
      <c r="D833" s="5">
        <v>43.95</v>
      </c>
      <c r="E833" s="5">
        <v>44.24</v>
      </c>
      <c r="F833" s="5">
        <v>43.89</v>
      </c>
      <c r="G833" s="18" t="s">
        <v>1070</v>
      </c>
      <c r="H833" s="2">
        <v>4.1000000000000003E-3</v>
      </c>
      <c r="I833" s="16">
        <f t="shared" si="63"/>
        <v>4.0955631399317337E-3</v>
      </c>
      <c r="J833" s="16">
        <f t="shared" si="64"/>
        <v>1.0040955631399318</v>
      </c>
      <c r="K833" s="16">
        <f t="shared" si="65"/>
        <v>42.681578947368422</v>
      </c>
      <c r="L833" s="16">
        <f t="shared" si="66"/>
        <v>43.055714285714295</v>
      </c>
      <c r="M833" s="25" t="str">
        <f t="shared" si="67"/>
        <v>HOLD</v>
      </c>
    </row>
    <row r="834" spans="2:13">
      <c r="B834" s="3">
        <v>43263</v>
      </c>
      <c r="C834" s="5">
        <v>44.41</v>
      </c>
      <c r="D834" s="5">
        <v>44.13</v>
      </c>
      <c r="E834" s="5">
        <v>44.42</v>
      </c>
      <c r="F834" s="5">
        <v>44.08</v>
      </c>
      <c r="G834" s="18" t="s">
        <v>1069</v>
      </c>
      <c r="H834" s="2">
        <v>6.3E-3</v>
      </c>
      <c r="I834" s="16">
        <f t="shared" si="63"/>
        <v>6.3448900974392482E-3</v>
      </c>
      <c r="J834" s="16">
        <f t="shared" si="64"/>
        <v>1.0063448900974392</v>
      </c>
      <c r="K834" s="16">
        <f t="shared" si="65"/>
        <v>42.791578947368428</v>
      </c>
      <c r="L834" s="16">
        <f t="shared" si="66"/>
        <v>43.085510204081643</v>
      </c>
      <c r="M834" s="25" t="str">
        <f t="shared" si="67"/>
        <v>HOLD</v>
      </c>
    </row>
    <row r="835" spans="2:13">
      <c r="B835" s="3">
        <v>43264</v>
      </c>
      <c r="C835" s="5">
        <v>44.18</v>
      </c>
      <c r="D835" s="5">
        <v>44.35</v>
      </c>
      <c r="E835" s="5">
        <v>44.52</v>
      </c>
      <c r="F835" s="5">
        <v>44.15</v>
      </c>
      <c r="G835" s="18" t="s">
        <v>1068</v>
      </c>
      <c r="H835" s="2">
        <v>-5.1999999999999998E-3</v>
      </c>
      <c r="I835" s="16">
        <f t="shared" si="63"/>
        <v>-5.179013735645055E-3</v>
      </c>
      <c r="J835" s="16">
        <f t="shared" si="64"/>
        <v>0.99482098626435489</v>
      </c>
      <c r="K835" s="16">
        <f t="shared" si="65"/>
        <v>42.933157894736844</v>
      </c>
      <c r="L835" s="16">
        <f t="shared" si="66"/>
        <v>43.106530612244903</v>
      </c>
      <c r="M835" s="25" t="str">
        <f t="shared" si="67"/>
        <v>HOLD</v>
      </c>
    </row>
    <row r="836" spans="2:13">
      <c r="B836" s="3">
        <v>43265</v>
      </c>
      <c r="C836" s="5">
        <v>43.58</v>
      </c>
      <c r="D836" s="5">
        <v>43.75</v>
      </c>
      <c r="E836" s="5">
        <v>43.85</v>
      </c>
      <c r="F836" s="5">
        <v>43.52</v>
      </c>
      <c r="G836" s="18" t="s">
        <v>295</v>
      </c>
      <c r="H836" s="2">
        <v>-1.3599999999999999E-2</v>
      </c>
      <c r="I836" s="16">
        <f t="shared" si="63"/>
        <v>-1.3580805794477171E-2</v>
      </c>
      <c r="J836" s="16">
        <f t="shared" si="64"/>
        <v>0.98641919420552282</v>
      </c>
      <c r="K836" s="16">
        <f t="shared" si="65"/>
        <v>43.071578947368423</v>
      </c>
      <c r="L836" s="16">
        <f t="shared" si="66"/>
        <v>43.105306122448987</v>
      </c>
      <c r="M836" s="25" t="str">
        <f t="shared" si="67"/>
        <v>HOLD</v>
      </c>
    </row>
    <row r="837" spans="2:13">
      <c r="B837" s="3">
        <v>43266</v>
      </c>
      <c r="C837" s="5">
        <v>44.12</v>
      </c>
      <c r="D837" s="5">
        <v>43.56</v>
      </c>
      <c r="E837" s="5">
        <v>44.15</v>
      </c>
      <c r="F837" s="5">
        <v>43.45</v>
      </c>
      <c r="G837" s="18" t="s">
        <v>10</v>
      </c>
      <c r="H837" s="2">
        <v>1.24E-2</v>
      </c>
      <c r="I837" s="16">
        <f t="shared" si="63"/>
        <v>1.2391005048187223E-2</v>
      </c>
      <c r="J837" s="16">
        <f t="shared" si="64"/>
        <v>1.0123910050481872</v>
      </c>
      <c r="K837" s="16">
        <f t="shared" si="65"/>
        <v>43.138947368421057</v>
      </c>
      <c r="L837" s="16">
        <f t="shared" si="66"/>
        <v>43.088571428571441</v>
      </c>
      <c r="M837" s="25" t="str">
        <f t="shared" si="67"/>
        <v>BUY</v>
      </c>
    </row>
    <row r="838" spans="2:13">
      <c r="B838" s="3">
        <v>43269</v>
      </c>
      <c r="C838" s="5">
        <v>43.55</v>
      </c>
      <c r="D838" s="5">
        <v>43.88</v>
      </c>
      <c r="E838" s="5">
        <v>43.95</v>
      </c>
      <c r="F838" s="5">
        <v>43.4</v>
      </c>
      <c r="G838" s="18" t="s">
        <v>85</v>
      </c>
      <c r="H838" s="2">
        <v>-1.29E-2</v>
      </c>
      <c r="I838" s="16">
        <f t="shared" si="63"/>
        <v>-1.2919310970081603E-2</v>
      </c>
      <c r="J838" s="16">
        <f t="shared" si="64"/>
        <v>0.98708068902991841</v>
      </c>
      <c r="K838" s="16">
        <f t="shared" si="65"/>
        <v>43.241052631578953</v>
      </c>
      <c r="L838" s="16">
        <f t="shared" si="66"/>
        <v>43.09265306122451</v>
      </c>
      <c r="M838" s="25" t="str">
        <f t="shared" si="67"/>
        <v>HOLD</v>
      </c>
    </row>
    <row r="839" spans="2:13">
      <c r="B839" s="3">
        <v>43270</v>
      </c>
      <c r="C839" s="5">
        <v>43.6</v>
      </c>
      <c r="D839" s="5">
        <v>43.3</v>
      </c>
      <c r="E839" s="5">
        <v>43.75</v>
      </c>
      <c r="F839" s="5">
        <v>43.2</v>
      </c>
      <c r="G839" s="18" t="s">
        <v>122</v>
      </c>
      <c r="H839" s="2">
        <v>1.1000000000000001E-3</v>
      </c>
      <c r="I839" s="16">
        <f t="shared" si="63"/>
        <v>1.1481056257176641E-3</v>
      </c>
      <c r="J839" s="16">
        <f t="shared" si="64"/>
        <v>1.0011481056257177</v>
      </c>
      <c r="K839" s="16">
        <f t="shared" si="65"/>
        <v>43.301052631578941</v>
      </c>
      <c r="L839" s="16">
        <f t="shared" si="66"/>
        <v>43.08693877551022</v>
      </c>
      <c r="M839" s="25" t="str">
        <f t="shared" si="67"/>
        <v>HOLD</v>
      </c>
    </row>
    <row r="840" spans="2:13">
      <c r="B840" s="3">
        <v>43271</v>
      </c>
      <c r="C840" s="5">
        <v>43.26</v>
      </c>
      <c r="D840" s="5">
        <v>43.62</v>
      </c>
      <c r="E840" s="5">
        <v>43.77</v>
      </c>
      <c r="F840" s="5">
        <v>43.23</v>
      </c>
      <c r="G840" s="18" t="s">
        <v>947</v>
      </c>
      <c r="H840" s="2">
        <v>-7.7999999999999996E-3</v>
      </c>
      <c r="I840" s="16">
        <f t="shared" si="63"/>
        <v>-7.7981651376147565E-3</v>
      </c>
      <c r="J840" s="16">
        <f t="shared" si="64"/>
        <v>0.99220183486238522</v>
      </c>
      <c r="K840" s="16">
        <f t="shared" si="65"/>
        <v>43.372105263157891</v>
      </c>
      <c r="L840" s="16">
        <f t="shared" si="66"/>
        <v>43.078979591836742</v>
      </c>
      <c r="M840" s="25" t="str">
        <f t="shared" si="67"/>
        <v>HOLD</v>
      </c>
    </row>
    <row r="841" spans="2:13">
      <c r="B841" s="3">
        <v>43272</v>
      </c>
      <c r="C841" s="5">
        <v>43.09</v>
      </c>
      <c r="D841" s="5">
        <v>43.27</v>
      </c>
      <c r="E841" s="5">
        <v>43.3</v>
      </c>
      <c r="F841" s="5">
        <v>42.96</v>
      </c>
      <c r="G841" s="18" t="s">
        <v>1067</v>
      </c>
      <c r="H841" s="2">
        <v>-3.8999999999999998E-3</v>
      </c>
      <c r="I841" s="16">
        <f t="shared" ref="I841:I904" si="68">(C841-C840)/C840</f>
        <v>-3.9297272306979799E-3</v>
      </c>
      <c r="J841" s="16">
        <f t="shared" ref="J841:J904" si="69">C841/C840</f>
        <v>0.99607027276930205</v>
      </c>
      <c r="K841" s="16">
        <f t="shared" si="65"/>
        <v>43.417368421052629</v>
      </c>
      <c r="L841" s="16">
        <f t="shared" si="66"/>
        <v>43.064081632653078</v>
      </c>
      <c r="M841" s="25" t="str">
        <f t="shared" si="67"/>
        <v>HOLD</v>
      </c>
    </row>
    <row r="842" spans="2:13">
      <c r="B842" s="3">
        <v>43273</v>
      </c>
      <c r="C842" s="5">
        <v>43.25</v>
      </c>
      <c r="D842" s="5">
        <v>43.15</v>
      </c>
      <c r="E842" s="5">
        <v>43.41</v>
      </c>
      <c r="F842" s="5">
        <v>43.08</v>
      </c>
      <c r="G842" s="18" t="s">
        <v>14</v>
      </c>
      <c r="H842" s="2">
        <v>3.7000000000000002E-3</v>
      </c>
      <c r="I842" s="16">
        <f t="shared" si="68"/>
        <v>3.7131585054536219E-3</v>
      </c>
      <c r="J842" s="16">
        <f t="shared" si="69"/>
        <v>1.0037131585054537</v>
      </c>
      <c r="K842" s="16">
        <f t="shared" si="65"/>
        <v>43.4578947368421</v>
      </c>
      <c r="L842" s="16">
        <f t="shared" si="66"/>
        <v>43.044897959183679</v>
      </c>
      <c r="M842" s="25" t="str">
        <f t="shared" si="67"/>
        <v>HOLD</v>
      </c>
    </row>
    <row r="843" spans="2:13">
      <c r="B843" s="3">
        <v>43276</v>
      </c>
      <c r="C843" s="5">
        <v>43.58</v>
      </c>
      <c r="D843" s="5">
        <v>43.16</v>
      </c>
      <c r="E843" s="5">
        <v>43.75</v>
      </c>
      <c r="F843" s="5">
        <v>43.16</v>
      </c>
      <c r="G843" s="18" t="s">
        <v>657</v>
      </c>
      <c r="H843" s="2">
        <v>7.6E-3</v>
      </c>
      <c r="I843" s="16">
        <f t="shared" si="68"/>
        <v>7.6300578034681687E-3</v>
      </c>
      <c r="J843" s="16">
        <f t="shared" si="69"/>
        <v>1.0076300578034683</v>
      </c>
      <c r="K843" s="16">
        <f t="shared" si="65"/>
        <v>43.502631578947366</v>
      </c>
      <c r="L843" s="16">
        <f t="shared" si="66"/>
        <v>43.019183673469392</v>
      </c>
      <c r="M843" s="25" t="str">
        <f t="shared" si="67"/>
        <v>HOLD</v>
      </c>
    </row>
    <row r="844" spans="2:13">
      <c r="B844" s="3">
        <v>43277</v>
      </c>
      <c r="C844" s="5">
        <v>43.33</v>
      </c>
      <c r="D844" s="5">
        <v>43.56</v>
      </c>
      <c r="E844" s="5">
        <v>43.84</v>
      </c>
      <c r="F844" s="5">
        <v>43.28</v>
      </c>
      <c r="G844" s="18" t="s">
        <v>377</v>
      </c>
      <c r="H844" s="2">
        <v>-5.7000000000000002E-3</v>
      </c>
      <c r="I844" s="16">
        <f t="shared" si="68"/>
        <v>-5.7365764111977973E-3</v>
      </c>
      <c r="J844" s="16">
        <f t="shared" si="69"/>
        <v>0.99426342358880215</v>
      </c>
      <c r="K844" s="16">
        <f t="shared" si="65"/>
        <v>43.550000000000004</v>
      </c>
      <c r="L844" s="16">
        <f t="shared" si="66"/>
        <v>42.996734693877556</v>
      </c>
      <c r="M844" s="25" t="str">
        <f t="shared" si="67"/>
        <v>HOLD</v>
      </c>
    </row>
    <row r="845" spans="2:13">
      <c r="B845" s="3">
        <v>43278</v>
      </c>
      <c r="C845" s="5">
        <v>43.07</v>
      </c>
      <c r="D845" s="5">
        <v>43.33</v>
      </c>
      <c r="E845" s="5">
        <v>43.61</v>
      </c>
      <c r="F845" s="5">
        <v>42.99</v>
      </c>
      <c r="G845" s="18" t="s">
        <v>1066</v>
      </c>
      <c r="H845" s="2">
        <v>-6.0000000000000001E-3</v>
      </c>
      <c r="I845" s="16">
        <f t="shared" si="68"/>
        <v>-6.0004615739671823E-3</v>
      </c>
      <c r="J845" s="16">
        <f t="shared" si="69"/>
        <v>0.99399953842603284</v>
      </c>
      <c r="K845" s="16">
        <f t="shared" si="65"/>
        <v>43.560526315789481</v>
      </c>
      <c r="L845" s="16">
        <f t="shared" si="66"/>
        <v>42.965102040816326</v>
      </c>
      <c r="M845" s="25" t="str">
        <f t="shared" si="67"/>
        <v>HOLD</v>
      </c>
    </row>
    <row r="846" spans="2:13">
      <c r="B846" s="3">
        <v>43279</v>
      </c>
      <c r="C846" s="5">
        <v>43.47</v>
      </c>
      <c r="D846" s="5">
        <v>43.24</v>
      </c>
      <c r="E846" s="5">
        <v>43.67</v>
      </c>
      <c r="F846" s="5">
        <v>43.17</v>
      </c>
      <c r="G846" s="18" t="s">
        <v>300</v>
      </c>
      <c r="H846" s="2">
        <v>9.2999999999999992E-3</v>
      </c>
      <c r="I846" s="16">
        <f t="shared" si="68"/>
        <v>9.287206872533052E-3</v>
      </c>
      <c r="J846" s="16">
        <f t="shared" si="69"/>
        <v>1.0092872068725331</v>
      </c>
      <c r="K846" s="16">
        <f t="shared" si="65"/>
        <v>43.564210526315797</v>
      </c>
      <c r="L846" s="16">
        <f t="shared" si="66"/>
        <v>42.935714285714283</v>
      </c>
      <c r="M846" s="25" t="str">
        <f t="shared" si="67"/>
        <v>HOLD</v>
      </c>
    </row>
    <row r="847" spans="2:13">
      <c r="B847" s="3">
        <v>43280</v>
      </c>
      <c r="C847" s="5">
        <v>43.86</v>
      </c>
      <c r="D847" s="5">
        <v>43.57</v>
      </c>
      <c r="E847" s="5">
        <v>44.1</v>
      </c>
      <c r="F847" s="5">
        <v>43.31</v>
      </c>
      <c r="G847" s="18" t="s">
        <v>584</v>
      </c>
      <c r="H847" s="2">
        <v>8.9999999999999993E-3</v>
      </c>
      <c r="I847" s="16">
        <f t="shared" si="68"/>
        <v>8.97170462387855E-3</v>
      </c>
      <c r="J847" s="16">
        <f t="shared" si="69"/>
        <v>1.0089717046238786</v>
      </c>
      <c r="K847" s="16">
        <f t="shared" si="65"/>
        <v>43.582631578947378</v>
      </c>
      <c r="L847" s="16">
        <f t="shared" si="66"/>
        <v>42.918571428571411</v>
      </c>
      <c r="M847" s="25" t="str">
        <f t="shared" si="67"/>
        <v>HOLD</v>
      </c>
    </row>
    <row r="848" spans="2:13">
      <c r="B848" s="3">
        <v>43283</v>
      </c>
      <c r="C848" s="5">
        <v>43.75</v>
      </c>
      <c r="D848" s="5">
        <v>43.78</v>
      </c>
      <c r="E848" s="5">
        <v>44.16</v>
      </c>
      <c r="F848" s="5">
        <v>43.58</v>
      </c>
      <c r="G848" s="18" t="s">
        <v>916</v>
      </c>
      <c r="H848" s="2">
        <v>-2.5000000000000001E-3</v>
      </c>
      <c r="I848" s="16">
        <f t="shared" si="68"/>
        <v>-2.5079799361604977E-3</v>
      </c>
      <c r="J848" s="16">
        <f t="shared" si="69"/>
        <v>0.99749202006383952</v>
      </c>
      <c r="K848" s="16">
        <f t="shared" si="65"/>
        <v>43.60210526315791</v>
      </c>
      <c r="L848" s="16">
        <f t="shared" si="66"/>
        <v>42.921020408163258</v>
      </c>
      <c r="M848" s="25" t="str">
        <f t="shared" si="67"/>
        <v>HOLD</v>
      </c>
    </row>
    <row r="849" spans="2:13">
      <c r="B849" s="3">
        <v>43284</v>
      </c>
      <c r="C849" s="5">
        <v>43.99</v>
      </c>
      <c r="D849" s="5">
        <v>44.06</v>
      </c>
      <c r="E849" s="5">
        <v>44.33</v>
      </c>
      <c r="F849" s="5">
        <v>43.99</v>
      </c>
      <c r="G849" s="18" t="s">
        <v>155</v>
      </c>
      <c r="H849" s="2">
        <v>5.4999999999999997E-3</v>
      </c>
      <c r="I849" s="16">
        <f t="shared" si="68"/>
        <v>5.4857142857143316E-3</v>
      </c>
      <c r="J849" s="16">
        <f t="shared" si="69"/>
        <v>1.0054857142857143</v>
      </c>
      <c r="K849" s="16">
        <f t="shared" si="65"/>
        <v>43.63578947368422</v>
      </c>
      <c r="L849" s="16">
        <f t="shared" si="66"/>
        <v>42.916326530612238</v>
      </c>
      <c r="M849" s="25" t="str">
        <f t="shared" si="67"/>
        <v>HOLD</v>
      </c>
    </row>
    <row r="850" spans="2:13">
      <c r="B850" s="3">
        <v>43286</v>
      </c>
      <c r="C850" s="5">
        <v>44.66</v>
      </c>
      <c r="D850" s="5">
        <v>44.16</v>
      </c>
      <c r="E850" s="5">
        <v>44.67</v>
      </c>
      <c r="F850" s="5">
        <v>44.13</v>
      </c>
      <c r="G850" s="18" t="s">
        <v>465</v>
      </c>
      <c r="H850" s="2">
        <v>1.52E-2</v>
      </c>
      <c r="I850" s="16">
        <f t="shared" si="68"/>
        <v>1.5230734257785736E-2</v>
      </c>
      <c r="J850" s="16">
        <f t="shared" si="69"/>
        <v>1.0152307342577858</v>
      </c>
      <c r="K850" s="16">
        <f t="shared" si="65"/>
        <v>43.663684210526327</v>
      </c>
      <c r="L850" s="16">
        <f t="shared" si="66"/>
        <v>42.935102040816311</v>
      </c>
      <c r="M850" s="25" t="str">
        <f t="shared" si="67"/>
        <v>HOLD</v>
      </c>
    </row>
    <row r="851" spans="2:13">
      <c r="B851" s="3">
        <v>43287</v>
      </c>
      <c r="C851" s="5">
        <v>44.64</v>
      </c>
      <c r="D851" s="5">
        <v>44.67</v>
      </c>
      <c r="E851" s="5">
        <v>44.94</v>
      </c>
      <c r="F851" s="5">
        <v>44.58</v>
      </c>
      <c r="G851" s="18" t="s">
        <v>943</v>
      </c>
      <c r="H851" s="2">
        <v>-4.0000000000000002E-4</v>
      </c>
      <c r="I851" s="16">
        <f t="shared" si="68"/>
        <v>-4.4782803403484151E-4</v>
      </c>
      <c r="J851" s="16">
        <f t="shared" si="69"/>
        <v>0.99955217196596513</v>
      </c>
      <c r="K851" s="16">
        <f t="shared" si="65"/>
        <v>43.72789473684211</v>
      </c>
      <c r="L851" s="16">
        <f t="shared" si="66"/>
        <v>42.980612244897941</v>
      </c>
      <c r="M851" s="25" t="str">
        <f t="shared" si="67"/>
        <v>HOLD</v>
      </c>
    </row>
    <row r="852" spans="2:13">
      <c r="B852" s="3">
        <v>43290</v>
      </c>
      <c r="C852" s="5">
        <v>44.4</v>
      </c>
      <c r="D852" s="5">
        <v>44.54</v>
      </c>
      <c r="E852" s="5">
        <v>44.73</v>
      </c>
      <c r="F852" s="5">
        <v>44.34</v>
      </c>
      <c r="G852" s="18" t="s">
        <v>1065</v>
      </c>
      <c r="H852" s="2">
        <v>-5.4000000000000003E-3</v>
      </c>
      <c r="I852" s="16">
        <f t="shared" si="68"/>
        <v>-5.37634408602155E-3</v>
      </c>
      <c r="J852" s="16">
        <f t="shared" si="69"/>
        <v>0.9946236559139785</v>
      </c>
      <c r="K852" s="16">
        <f t="shared" si="65"/>
        <v>43.764210526315793</v>
      </c>
      <c r="L852" s="16">
        <f t="shared" si="66"/>
        <v>43.019183673469371</v>
      </c>
      <c r="M852" s="25" t="str">
        <f t="shared" si="67"/>
        <v>HOLD</v>
      </c>
    </row>
    <row r="853" spans="2:13">
      <c r="B853" s="3">
        <v>43291</v>
      </c>
      <c r="C853" s="5">
        <v>44.97</v>
      </c>
      <c r="D853" s="5">
        <v>44.51</v>
      </c>
      <c r="E853" s="5">
        <v>45</v>
      </c>
      <c r="F853" s="5">
        <v>44.5</v>
      </c>
      <c r="G853" s="18" t="s">
        <v>698</v>
      </c>
      <c r="H853" s="2">
        <v>1.2800000000000001E-2</v>
      </c>
      <c r="I853" s="16">
        <f t="shared" si="68"/>
        <v>1.2837837837837845E-2</v>
      </c>
      <c r="J853" s="16">
        <f t="shared" si="69"/>
        <v>1.0128378378378378</v>
      </c>
      <c r="K853" s="16">
        <f t="shared" si="65"/>
        <v>43.778421052631586</v>
      </c>
      <c r="L853" s="16">
        <f t="shared" si="66"/>
        <v>43.041428571428568</v>
      </c>
      <c r="M853" s="25" t="str">
        <f t="shared" si="67"/>
        <v>HOLD</v>
      </c>
    </row>
    <row r="854" spans="2:13">
      <c r="B854" s="3">
        <v>43292</v>
      </c>
      <c r="C854" s="5">
        <v>44.79</v>
      </c>
      <c r="D854" s="5">
        <v>44.99</v>
      </c>
      <c r="E854" s="5">
        <v>45</v>
      </c>
      <c r="F854" s="5">
        <v>44.64</v>
      </c>
      <c r="G854" s="18" t="s">
        <v>1064</v>
      </c>
      <c r="H854" s="2">
        <v>-4.0000000000000001E-3</v>
      </c>
      <c r="I854" s="16">
        <f t="shared" si="68"/>
        <v>-4.0026684456304137E-3</v>
      </c>
      <c r="J854" s="16">
        <f t="shared" si="69"/>
        <v>0.99599733155436954</v>
      </c>
      <c r="K854" s="16">
        <f t="shared" si="65"/>
        <v>43.807894736842101</v>
      </c>
      <c r="L854" s="16">
        <f t="shared" si="66"/>
        <v>43.077346938775499</v>
      </c>
      <c r="M854" s="25" t="str">
        <f t="shared" si="67"/>
        <v>HOLD</v>
      </c>
    </row>
    <row r="855" spans="2:13">
      <c r="B855" s="3">
        <v>43293</v>
      </c>
      <c r="C855" s="5">
        <v>44.67</v>
      </c>
      <c r="D855" s="5">
        <v>44.83</v>
      </c>
      <c r="E855" s="5">
        <v>44.96</v>
      </c>
      <c r="F855" s="5">
        <v>44.49</v>
      </c>
      <c r="G855" s="18" t="s">
        <v>1063</v>
      </c>
      <c r="H855" s="2">
        <v>-2.7000000000000001E-3</v>
      </c>
      <c r="I855" s="16">
        <f t="shared" si="68"/>
        <v>-2.679169457468128E-3</v>
      </c>
      <c r="J855" s="16">
        <f t="shared" si="69"/>
        <v>0.99732083054253184</v>
      </c>
      <c r="K855" s="16">
        <f t="shared" si="65"/>
        <v>43.839999999999996</v>
      </c>
      <c r="L855" s="16">
        <f t="shared" si="66"/>
        <v>43.122244897959177</v>
      </c>
      <c r="M855" s="25" t="str">
        <f t="shared" si="67"/>
        <v>HOLD</v>
      </c>
    </row>
    <row r="856" spans="2:13">
      <c r="B856" s="3">
        <v>43294</v>
      </c>
      <c r="C856" s="5">
        <v>44.74</v>
      </c>
      <c r="D856" s="5">
        <v>44.7</v>
      </c>
      <c r="E856" s="5">
        <v>44.78</v>
      </c>
      <c r="F856" s="5">
        <v>44.47</v>
      </c>
      <c r="G856" s="18" t="s">
        <v>1062</v>
      </c>
      <c r="H856" s="2">
        <v>1.6000000000000001E-3</v>
      </c>
      <c r="I856" s="16">
        <f t="shared" si="68"/>
        <v>1.5670472352809555E-3</v>
      </c>
      <c r="J856" s="16">
        <f t="shared" si="69"/>
        <v>1.0015670472352809</v>
      </c>
      <c r="K856" s="16">
        <f t="shared" si="65"/>
        <v>43.897368421052626</v>
      </c>
      <c r="L856" s="16">
        <f t="shared" si="66"/>
        <v>43.17551020408164</v>
      </c>
      <c r="M856" s="25" t="str">
        <f t="shared" si="67"/>
        <v>HOLD</v>
      </c>
    </row>
    <row r="857" spans="2:13">
      <c r="B857" s="3">
        <v>43297</v>
      </c>
      <c r="C857" s="5">
        <v>44.73</v>
      </c>
      <c r="D857" s="5">
        <v>44.73</v>
      </c>
      <c r="E857" s="5">
        <v>44.8</v>
      </c>
      <c r="F857" s="5">
        <v>44.53</v>
      </c>
      <c r="G857" s="18" t="s">
        <v>1061</v>
      </c>
      <c r="H857" s="2">
        <v>-2.0000000000000001E-4</v>
      </c>
      <c r="I857" s="16">
        <f t="shared" si="68"/>
        <v>-2.2351363433180857E-4</v>
      </c>
      <c r="J857" s="16">
        <f t="shared" si="69"/>
        <v>0.99977648636566818</v>
      </c>
      <c r="K857" s="16">
        <f t="shared" si="65"/>
        <v>43.929999999999993</v>
      </c>
      <c r="L857" s="16">
        <f t="shared" si="66"/>
        <v>43.233673469387753</v>
      </c>
      <c r="M857" s="25" t="str">
        <f t="shared" si="67"/>
        <v>HOLD</v>
      </c>
    </row>
    <row r="858" spans="2:13">
      <c r="B858" s="3">
        <v>43298</v>
      </c>
      <c r="C858" s="5">
        <v>45.25</v>
      </c>
      <c r="D858" s="5">
        <v>44.75</v>
      </c>
      <c r="E858" s="5">
        <v>45.39</v>
      </c>
      <c r="F858" s="5">
        <v>44.68</v>
      </c>
      <c r="G858" s="18" t="s">
        <v>282</v>
      </c>
      <c r="H858" s="2">
        <v>1.1599999999999999E-2</v>
      </c>
      <c r="I858" s="16">
        <f t="shared" si="68"/>
        <v>1.1625307399955358E-2</v>
      </c>
      <c r="J858" s="16">
        <f t="shared" si="69"/>
        <v>1.0116253073999553</v>
      </c>
      <c r="K858" s="16">
        <f t="shared" si="65"/>
        <v>43.992105263157889</v>
      </c>
      <c r="L858" s="16">
        <f t="shared" si="66"/>
        <v>43.282040816326521</v>
      </c>
      <c r="M858" s="25" t="str">
        <f t="shared" si="67"/>
        <v>HOLD</v>
      </c>
    </row>
    <row r="859" spans="2:13">
      <c r="B859" s="3">
        <v>43299</v>
      </c>
      <c r="C859" s="5">
        <v>45.12</v>
      </c>
      <c r="D859" s="5">
        <v>45.19</v>
      </c>
      <c r="E859" s="5">
        <v>45.28</v>
      </c>
      <c r="F859" s="5">
        <v>44.84</v>
      </c>
      <c r="G859" s="18" t="s">
        <v>962</v>
      </c>
      <c r="H859" s="2">
        <v>-2.8999999999999998E-3</v>
      </c>
      <c r="I859" s="16">
        <f t="shared" si="68"/>
        <v>-2.8729281767956366E-3</v>
      </c>
      <c r="J859" s="16">
        <f t="shared" si="69"/>
        <v>0.99712707182320437</v>
      </c>
      <c r="K859" s="16">
        <f t="shared" ref="K859:K922" si="70">AVERAGE(C840:C858)</f>
        <v>44.078947368421048</v>
      </c>
      <c r="L859" s="16">
        <f t="shared" si="66"/>
        <v>43.345510204081627</v>
      </c>
      <c r="M859" s="25" t="str">
        <f t="shared" si="67"/>
        <v>HOLD</v>
      </c>
    </row>
    <row r="860" spans="2:13">
      <c r="B860" s="3">
        <v>43300</v>
      </c>
      <c r="C860" s="5">
        <v>45.11</v>
      </c>
      <c r="D860" s="5">
        <v>44.99</v>
      </c>
      <c r="E860" s="5">
        <v>45.43</v>
      </c>
      <c r="F860" s="5">
        <v>44.92</v>
      </c>
      <c r="G860" s="18" t="s">
        <v>445</v>
      </c>
      <c r="H860" s="2">
        <v>-2.0000000000000001E-4</v>
      </c>
      <c r="I860" s="16">
        <f t="shared" si="68"/>
        <v>-2.2163120567371479E-4</v>
      </c>
      <c r="J860" s="16">
        <f t="shared" si="69"/>
        <v>0.99977836879432624</v>
      </c>
      <c r="K860" s="16">
        <f t="shared" si="70"/>
        <v>44.176842105263155</v>
      </c>
      <c r="L860" s="16">
        <f t="shared" si="66"/>
        <v>43.413061224489795</v>
      </c>
      <c r="M860" s="25" t="str">
        <f t="shared" si="67"/>
        <v>HOLD</v>
      </c>
    </row>
    <row r="861" spans="2:13">
      <c r="B861" s="3">
        <v>43301</v>
      </c>
      <c r="C861" s="5">
        <v>45.28</v>
      </c>
      <c r="D861" s="5">
        <v>45.02</v>
      </c>
      <c r="E861" s="5">
        <v>45.28</v>
      </c>
      <c r="F861" s="5">
        <v>44.9</v>
      </c>
      <c r="G861" s="18" t="s">
        <v>1060</v>
      </c>
      <c r="H861" s="2">
        <v>3.8E-3</v>
      </c>
      <c r="I861" s="16">
        <f t="shared" si="68"/>
        <v>3.7685657282199446E-3</v>
      </c>
      <c r="J861" s="16">
        <f t="shared" si="69"/>
        <v>1.00376856572822</v>
      </c>
      <c r="K861" s="16">
        <f t="shared" si="70"/>
        <v>44.283157894736839</v>
      </c>
      <c r="L861" s="16">
        <f t="shared" si="66"/>
        <v>43.481020408163261</v>
      </c>
      <c r="M861" s="25" t="str">
        <f t="shared" si="67"/>
        <v>HOLD</v>
      </c>
    </row>
    <row r="862" spans="2:13">
      <c r="B862" s="3">
        <v>43304</v>
      </c>
      <c r="C862" s="5">
        <v>44.95</v>
      </c>
      <c r="D862" s="5">
        <v>45.28</v>
      </c>
      <c r="E862" s="5">
        <v>45.36</v>
      </c>
      <c r="F862" s="5">
        <v>44.77</v>
      </c>
      <c r="G862" s="18" t="s">
        <v>1060</v>
      </c>
      <c r="H862" s="2">
        <v>-7.3000000000000001E-3</v>
      </c>
      <c r="I862" s="16">
        <f t="shared" si="68"/>
        <v>-7.2879858657243441E-3</v>
      </c>
      <c r="J862" s="16">
        <f t="shared" si="69"/>
        <v>0.99271201413427568</v>
      </c>
      <c r="K862" s="16">
        <f t="shared" si="70"/>
        <v>44.39</v>
      </c>
      <c r="L862" s="16">
        <f t="shared" si="66"/>
        <v>43.544285714285714</v>
      </c>
      <c r="M862" s="25" t="str">
        <f t="shared" si="67"/>
        <v>HOLD</v>
      </c>
    </row>
    <row r="863" spans="2:13">
      <c r="B863" s="3">
        <v>43305</v>
      </c>
      <c r="C863" s="5">
        <v>45.26</v>
      </c>
      <c r="D863" s="5">
        <v>44.78</v>
      </c>
      <c r="E863" s="5">
        <v>45.27</v>
      </c>
      <c r="F863" s="5">
        <v>44.61</v>
      </c>
      <c r="G863" s="18" t="s">
        <v>660</v>
      </c>
      <c r="H863" s="2">
        <v>6.8999999999999999E-3</v>
      </c>
      <c r="I863" s="16">
        <f t="shared" si="68"/>
        <v>6.8965517241378234E-3</v>
      </c>
      <c r="J863" s="16">
        <f t="shared" si="69"/>
        <v>1.0068965517241377</v>
      </c>
      <c r="K863" s="16">
        <f t="shared" si="70"/>
        <v>44.462105263157902</v>
      </c>
      <c r="L863" s="16">
        <f t="shared" si="66"/>
        <v>43.601632653061216</v>
      </c>
      <c r="M863" s="25" t="str">
        <f t="shared" si="67"/>
        <v>HOLD</v>
      </c>
    </row>
    <row r="864" spans="2:13">
      <c r="B864" s="3">
        <v>43306</v>
      </c>
      <c r="C864" s="5">
        <v>46.09</v>
      </c>
      <c r="D864" s="5">
        <v>46</v>
      </c>
      <c r="E864" s="5">
        <v>46.58</v>
      </c>
      <c r="F864" s="5">
        <v>45.75</v>
      </c>
      <c r="G864" s="18" t="s">
        <v>564</v>
      </c>
      <c r="H864" s="2">
        <v>1.83E-2</v>
      </c>
      <c r="I864" s="16">
        <f t="shared" si="68"/>
        <v>1.8338488731772105E-2</v>
      </c>
      <c r="J864" s="16">
        <f t="shared" si="69"/>
        <v>1.0183384887317721</v>
      </c>
      <c r="K864" s="16">
        <f t="shared" si="70"/>
        <v>44.563684210526318</v>
      </c>
      <c r="L864" s="16">
        <f t="shared" si="66"/>
        <v>43.667346938775509</v>
      </c>
      <c r="M864" s="25" t="str">
        <f t="shared" si="67"/>
        <v>HOLD</v>
      </c>
    </row>
    <row r="865" spans="2:13">
      <c r="B865" s="3">
        <v>43307</v>
      </c>
      <c r="C865" s="5">
        <v>46.24</v>
      </c>
      <c r="D865" s="5">
        <v>46.36</v>
      </c>
      <c r="E865" s="5">
        <v>46.59</v>
      </c>
      <c r="F865" s="5">
        <v>46.2</v>
      </c>
      <c r="G865" s="18" t="s">
        <v>300</v>
      </c>
      <c r="H865" s="2">
        <v>3.3E-3</v>
      </c>
      <c r="I865" s="16">
        <f t="shared" si="68"/>
        <v>3.2545020611846076E-3</v>
      </c>
      <c r="J865" s="16">
        <f t="shared" si="69"/>
        <v>1.0032545020611847</v>
      </c>
      <c r="K865" s="16">
        <f t="shared" si="70"/>
        <v>44.722631578947379</v>
      </c>
      <c r="L865" s="16">
        <f t="shared" si="66"/>
        <v>43.756530612244902</v>
      </c>
      <c r="M865" s="25" t="str">
        <f t="shared" si="67"/>
        <v>HOLD</v>
      </c>
    </row>
    <row r="866" spans="2:13">
      <c r="B866" s="3">
        <v>43308</v>
      </c>
      <c r="C866" s="5">
        <v>46.21</v>
      </c>
      <c r="D866" s="5">
        <v>46.32</v>
      </c>
      <c r="E866" s="5">
        <v>46.49</v>
      </c>
      <c r="F866" s="5">
        <v>46.06</v>
      </c>
      <c r="G866" s="18" t="s">
        <v>1059</v>
      </c>
      <c r="H866" s="2">
        <v>-5.9999999999999995E-4</v>
      </c>
      <c r="I866" s="16">
        <f t="shared" si="68"/>
        <v>-6.4878892733566472E-4</v>
      </c>
      <c r="J866" s="16">
        <f t="shared" si="69"/>
        <v>0.99935121107266434</v>
      </c>
      <c r="K866" s="16">
        <f t="shared" si="70"/>
        <v>44.868421052631582</v>
      </c>
      <c r="L866" s="16">
        <f t="shared" si="66"/>
        <v>43.852244897959181</v>
      </c>
      <c r="M866" s="25" t="str">
        <f t="shared" si="67"/>
        <v>HOLD</v>
      </c>
    </row>
    <row r="867" spans="2:13">
      <c r="B867" s="3">
        <v>43311</v>
      </c>
      <c r="C867" s="5">
        <v>46.23</v>
      </c>
      <c r="D867" s="5">
        <v>46.1</v>
      </c>
      <c r="E867" s="5">
        <v>46.44</v>
      </c>
      <c r="F867" s="5">
        <v>46.05</v>
      </c>
      <c r="G867" s="18" t="s">
        <v>47</v>
      </c>
      <c r="H867" s="2">
        <v>4.0000000000000002E-4</v>
      </c>
      <c r="I867" s="16">
        <f t="shared" si="68"/>
        <v>4.3280675178524174E-4</v>
      </c>
      <c r="J867" s="16">
        <f t="shared" si="69"/>
        <v>1.0004328067517851</v>
      </c>
      <c r="K867" s="16">
        <f t="shared" si="70"/>
        <v>44.992105263157903</v>
      </c>
      <c r="L867" s="16">
        <f t="shared" si="66"/>
        <v>43.93204081632652</v>
      </c>
      <c r="M867" s="25" t="str">
        <f t="shared" si="67"/>
        <v>HOLD</v>
      </c>
    </row>
    <row r="868" spans="2:13">
      <c r="B868" s="3">
        <v>43312</v>
      </c>
      <c r="C868" s="5">
        <v>46.63</v>
      </c>
      <c r="D868" s="5">
        <v>46.4</v>
      </c>
      <c r="E868" s="5">
        <v>46.67</v>
      </c>
      <c r="F868" s="5">
        <v>46.31</v>
      </c>
      <c r="G868" s="18" t="s">
        <v>704</v>
      </c>
      <c r="H868" s="2">
        <v>8.6999999999999994E-3</v>
      </c>
      <c r="I868" s="16">
        <f t="shared" si="68"/>
        <v>8.6523902227991726E-3</v>
      </c>
      <c r="J868" s="16">
        <f t="shared" si="69"/>
        <v>1.0086523902227991</v>
      </c>
      <c r="K868" s="16">
        <f t="shared" si="70"/>
        <v>45.122631578947377</v>
      </c>
      <c r="L868" s="16">
        <f t="shared" si="66"/>
        <v>44.014693877551018</v>
      </c>
      <c r="M868" s="25" t="str">
        <f t="shared" si="67"/>
        <v>HOLD</v>
      </c>
    </row>
    <row r="869" spans="2:13">
      <c r="B869" s="3">
        <v>43313</v>
      </c>
      <c r="C869" s="5">
        <v>46.39</v>
      </c>
      <c r="D869" s="5">
        <v>46.45</v>
      </c>
      <c r="E869" s="5">
        <v>46.49</v>
      </c>
      <c r="F869" s="5">
        <v>46.17</v>
      </c>
      <c r="G869" s="18" t="s">
        <v>1058</v>
      </c>
      <c r="H869" s="2">
        <v>-5.1000000000000004E-3</v>
      </c>
      <c r="I869" s="16">
        <f t="shared" si="68"/>
        <v>-5.1469011366073771E-3</v>
      </c>
      <c r="J869" s="16">
        <f t="shared" si="69"/>
        <v>0.99485309886339257</v>
      </c>
      <c r="K869" s="16">
        <f t="shared" si="70"/>
        <v>45.261578947368427</v>
      </c>
      <c r="L869" s="16">
        <f t="shared" si="66"/>
        <v>44.100816326530612</v>
      </c>
      <c r="M869" s="25" t="str">
        <f t="shared" si="67"/>
        <v>HOLD</v>
      </c>
    </row>
    <row r="870" spans="2:13">
      <c r="B870" s="3">
        <v>43314</v>
      </c>
      <c r="C870" s="5">
        <v>46.18</v>
      </c>
      <c r="D870" s="5">
        <v>46.48</v>
      </c>
      <c r="E870" s="5">
        <v>46.63</v>
      </c>
      <c r="F870" s="5">
        <v>46.18</v>
      </c>
      <c r="G870" s="18" t="s">
        <v>972</v>
      </c>
      <c r="H870" s="2">
        <v>-4.4999999999999997E-3</v>
      </c>
      <c r="I870" s="16">
        <f t="shared" si="68"/>
        <v>-4.5268376805346162E-3</v>
      </c>
      <c r="J870" s="16">
        <f t="shared" si="69"/>
        <v>0.99547316231946537</v>
      </c>
      <c r="K870" s="16">
        <f t="shared" si="70"/>
        <v>45.352631578947374</v>
      </c>
      <c r="L870" s="16">
        <f t="shared" si="66"/>
        <v>44.185306122448978</v>
      </c>
      <c r="M870" s="25" t="str">
        <f t="shared" si="67"/>
        <v>HOLD</v>
      </c>
    </row>
    <row r="871" spans="2:13">
      <c r="B871" s="3">
        <v>43315</v>
      </c>
      <c r="C871" s="5">
        <v>46.62</v>
      </c>
      <c r="D871" s="5">
        <v>46.23</v>
      </c>
      <c r="E871" s="5">
        <v>46.76</v>
      </c>
      <c r="F871" s="5">
        <v>46.14</v>
      </c>
      <c r="G871" s="18" t="s">
        <v>1057</v>
      </c>
      <c r="H871" s="2">
        <v>9.4999999999999998E-3</v>
      </c>
      <c r="I871" s="16">
        <f t="shared" si="68"/>
        <v>9.52793417063659E-3</v>
      </c>
      <c r="J871" s="16">
        <f t="shared" si="69"/>
        <v>1.0095279341706367</v>
      </c>
      <c r="K871" s="16">
        <f t="shared" si="70"/>
        <v>45.433684210526323</v>
      </c>
      <c r="L871" s="16">
        <f t="shared" si="66"/>
        <v>44.262448979591831</v>
      </c>
      <c r="M871" s="25" t="str">
        <f t="shared" si="67"/>
        <v>HOLD</v>
      </c>
    </row>
    <row r="872" spans="2:13">
      <c r="B872" s="3">
        <v>43318</v>
      </c>
      <c r="C872" s="5">
        <v>46.65</v>
      </c>
      <c r="D872" s="5">
        <v>46.6</v>
      </c>
      <c r="E872" s="5">
        <v>46.87</v>
      </c>
      <c r="F872" s="5">
        <v>46.55</v>
      </c>
      <c r="G872" s="18" t="s">
        <v>730</v>
      </c>
      <c r="H872" s="2">
        <v>5.9999999999999995E-4</v>
      </c>
      <c r="I872" s="16">
        <f t="shared" si="68"/>
        <v>6.4350064350066787E-4</v>
      </c>
      <c r="J872" s="16">
        <f t="shared" si="69"/>
        <v>1.0006435006435006</v>
      </c>
      <c r="K872" s="16">
        <f t="shared" si="70"/>
        <v>45.550526315789469</v>
      </c>
      <c r="L872" s="16">
        <f t="shared" si="66"/>
        <v>44.350204081632647</v>
      </c>
      <c r="M872" s="25" t="str">
        <f t="shared" si="67"/>
        <v>HOLD</v>
      </c>
    </row>
    <row r="873" spans="2:13">
      <c r="B873" s="3">
        <v>43319</v>
      </c>
      <c r="C873" s="5">
        <v>46.5</v>
      </c>
      <c r="D873" s="5">
        <v>46.52</v>
      </c>
      <c r="E873" s="5">
        <v>46.61</v>
      </c>
      <c r="F873" s="5">
        <v>46.13</v>
      </c>
      <c r="G873" s="18" t="s">
        <v>1056</v>
      </c>
      <c r="H873" s="2">
        <v>-3.2000000000000002E-3</v>
      </c>
      <c r="I873" s="16">
        <f t="shared" si="68"/>
        <v>-3.2154340836012558E-3</v>
      </c>
      <c r="J873" s="16">
        <f t="shared" si="69"/>
        <v>0.99678456591639875</v>
      </c>
      <c r="K873" s="16">
        <f t="shared" si="70"/>
        <v>45.63894736842105</v>
      </c>
      <c r="L873" s="16">
        <f t="shared" si="66"/>
        <v>44.436938775510214</v>
      </c>
      <c r="M873" s="25" t="str">
        <f t="shared" si="67"/>
        <v>HOLD</v>
      </c>
    </row>
    <row r="874" spans="2:13">
      <c r="B874" s="3">
        <v>43320</v>
      </c>
      <c r="C874" s="5">
        <v>46.15</v>
      </c>
      <c r="D874" s="5">
        <v>46.49</v>
      </c>
      <c r="E874" s="5">
        <v>46.56</v>
      </c>
      <c r="F874" s="5">
        <v>46.12</v>
      </c>
      <c r="G874" s="18" t="s">
        <v>1055</v>
      </c>
      <c r="H874" s="2">
        <v>-7.4999999999999997E-3</v>
      </c>
      <c r="I874" s="16">
        <f t="shared" si="68"/>
        <v>-7.5268817204301383E-3</v>
      </c>
      <c r="J874" s="16">
        <f t="shared" si="69"/>
        <v>0.99247311827956985</v>
      </c>
      <c r="K874" s="16">
        <f t="shared" si="70"/>
        <v>45.728947368421046</v>
      </c>
      <c r="L874" s="16">
        <f t="shared" si="66"/>
        <v>44.514897959183692</v>
      </c>
      <c r="M874" s="25" t="str">
        <f t="shared" si="67"/>
        <v>HOLD</v>
      </c>
    </row>
    <row r="875" spans="2:13">
      <c r="B875" s="3">
        <v>43321</v>
      </c>
      <c r="C875" s="5">
        <v>46.35</v>
      </c>
      <c r="D875" s="5">
        <v>46.25</v>
      </c>
      <c r="E875" s="5">
        <v>46.42</v>
      </c>
      <c r="F875" s="5">
        <v>46.08</v>
      </c>
      <c r="G875" s="18" t="s">
        <v>517</v>
      </c>
      <c r="H875" s="2">
        <v>4.3E-3</v>
      </c>
      <c r="I875" s="16">
        <f t="shared" si="68"/>
        <v>4.3336944745396063E-3</v>
      </c>
      <c r="J875" s="16">
        <f t="shared" si="69"/>
        <v>1.0043336944745396</v>
      </c>
      <c r="K875" s="16">
        <f t="shared" si="70"/>
        <v>45.806842105263151</v>
      </c>
      <c r="L875" s="16">
        <f t="shared" si="66"/>
        <v>44.576530612244909</v>
      </c>
      <c r="M875" s="25" t="str">
        <f t="shared" si="67"/>
        <v>HOLD</v>
      </c>
    </row>
    <row r="876" spans="2:13">
      <c r="B876" s="3">
        <v>43322</v>
      </c>
      <c r="C876" s="5">
        <v>46.08</v>
      </c>
      <c r="D876" s="5">
        <v>46.21</v>
      </c>
      <c r="E876" s="5">
        <v>46.42</v>
      </c>
      <c r="F876" s="5">
        <v>45.97</v>
      </c>
      <c r="G876" s="18" t="s">
        <v>1054</v>
      </c>
      <c r="H876" s="2">
        <v>-5.7999999999999996E-3</v>
      </c>
      <c r="I876" s="16">
        <f t="shared" si="68"/>
        <v>-5.8252427184466689E-3</v>
      </c>
      <c r="J876" s="16">
        <f t="shared" si="69"/>
        <v>0.99417475728155336</v>
      </c>
      <c r="K876" s="16">
        <f t="shared" si="70"/>
        <v>45.891578947368416</v>
      </c>
      <c r="L876" s="16">
        <f t="shared" si="66"/>
        <v>44.64489795918368</v>
      </c>
      <c r="M876" s="25" t="str">
        <f t="shared" si="67"/>
        <v>HOLD</v>
      </c>
    </row>
    <row r="877" spans="2:13">
      <c r="B877" s="3">
        <v>43325</v>
      </c>
      <c r="C877" s="5">
        <v>45.83</v>
      </c>
      <c r="D877" s="5">
        <v>46.05</v>
      </c>
      <c r="E877" s="5">
        <v>46.13</v>
      </c>
      <c r="F877" s="5">
        <v>45.7</v>
      </c>
      <c r="G877" s="18" t="s">
        <v>519</v>
      </c>
      <c r="H877" s="2">
        <v>-5.4000000000000003E-3</v>
      </c>
      <c r="I877" s="16">
        <f t="shared" si="68"/>
        <v>-5.425347222222222E-3</v>
      </c>
      <c r="J877" s="16">
        <f t="shared" si="69"/>
        <v>0.99457465277777779</v>
      </c>
      <c r="K877" s="16">
        <f t="shared" si="70"/>
        <v>45.962631578947374</v>
      </c>
      <c r="L877" s="16">
        <f t="shared" si="66"/>
        <v>44.705306122448988</v>
      </c>
      <c r="M877" s="25" t="str">
        <f t="shared" si="67"/>
        <v>HOLD</v>
      </c>
    </row>
    <row r="878" spans="2:13">
      <c r="B878" s="3">
        <v>43326</v>
      </c>
      <c r="C878" s="5">
        <v>45.89</v>
      </c>
      <c r="D878" s="5">
        <v>45.91</v>
      </c>
      <c r="E878" s="5">
        <v>46.1</v>
      </c>
      <c r="F878" s="5">
        <v>45.87</v>
      </c>
      <c r="G878" s="18" t="s">
        <v>1053</v>
      </c>
      <c r="H878" s="2">
        <v>1.2999999999999999E-3</v>
      </c>
      <c r="I878" s="16">
        <f t="shared" si="68"/>
        <v>1.3091861226271499E-3</v>
      </c>
      <c r="J878" s="16">
        <f t="shared" si="69"/>
        <v>1.0013091861226271</v>
      </c>
      <c r="K878" s="16">
        <f t="shared" si="70"/>
        <v>45.993157894736839</v>
      </c>
      <c r="L878" s="16">
        <f t="shared" si="66"/>
        <v>44.753061224489798</v>
      </c>
      <c r="M878" s="25" t="str">
        <f t="shared" si="67"/>
        <v>HOLD</v>
      </c>
    </row>
    <row r="879" spans="2:13">
      <c r="B879" s="3">
        <v>43327</v>
      </c>
      <c r="C879" s="5">
        <v>46.08</v>
      </c>
      <c r="D879" s="5">
        <v>45.77</v>
      </c>
      <c r="E879" s="5">
        <v>46.15</v>
      </c>
      <c r="F879" s="5">
        <v>45.65</v>
      </c>
      <c r="G879" s="18" t="s">
        <v>369</v>
      </c>
      <c r="H879" s="2">
        <v>4.1000000000000003E-3</v>
      </c>
      <c r="I879" s="16">
        <f t="shared" si="68"/>
        <v>4.1403355850947419E-3</v>
      </c>
      <c r="J879" s="16">
        <f t="shared" si="69"/>
        <v>1.0041403355850946</v>
      </c>
      <c r="K879" s="16">
        <f t="shared" si="70"/>
        <v>46.033684210526317</v>
      </c>
      <c r="L879" s="16">
        <f t="shared" si="66"/>
        <v>44.809795918367342</v>
      </c>
      <c r="M879" s="25" t="str">
        <f t="shared" si="67"/>
        <v>HOLD</v>
      </c>
    </row>
    <row r="880" spans="2:13">
      <c r="B880" s="3">
        <v>43328</v>
      </c>
      <c r="C880" s="5">
        <v>46.22</v>
      </c>
      <c r="D880" s="5">
        <v>46.11</v>
      </c>
      <c r="E880" s="5">
        <v>46.38</v>
      </c>
      <c r="F880" s="5">
        <v>45.97</v>
      </c>
      <c r="G880" s="18" t="s">
        <v>1052</v>
      </c>
      <c r="H880" s="2">
        <v>3.0000000000000001E-3</v>
      </c>
      <c r="I880" s="16">
        <f t="shared" si="68"/>
        <v>3.0381944444444571E-3</v>
      </c>
      <c r="J880" s="16">
        <f t="shared" si="69"/>
        <v>1.0030381944444444</v>
      </c>
      <c r="K880" s="16">
        <f t="shared" si="70"/>
        <v>46.084736842105272</v>
      </c>
      <c r="L880" s="16">
        <f t="shared" si="66"/>
        <v>44.86326530612245</v>
      </c>
      <c r="M880" s="25" t="str">
        <f t="shared" si="67"/>
        <v>HOLD</v>
      </c>
    </row>
    <row r="881" spans="2:13">
      <c r="B881" s="3">
        <v>43329</v>
      </c>
      <c r="C881" s="5">
        <v>46.6</v>
      </c>
      <c r="D881" s="5">
        <v>46.29</v>
      </c>
      <c r="E881" s="5">
        <v>46.73</v>
      </c>
      <c r="F881" s="5">
        <v>46.24</v>
      </c>
      <c r="G881" s="18" t="s">
        <v>1051</v>
      </c>
      <c r="H881" s="2">
        <v>8.2000000000000007E-3</v>
      </c>
      <c r="I881" s="16">
        <f t="shared" si="68"/>
        <v>8.2215491129381778E-3</v>
      </c>
      <c r="J881" s="16">
        <f t="shared" si="69"/>
        <v>1.0082215491129383</v>
      </c>
      <c r="K881" s="16">
        <f t="shared" si="70"/>
        <v>46.134210526315798</v>
      </c>
      <c r="L881" s="16">
        <f t="shared" si="66"/>
        <v>44.92</v>
      </c>
      <c r="M881" s="25" t="str">
        <f t="shared" si="67"/>
        <v>HOLD</v>
      </c>
    </row>
    <row r="882" spans="2:13">
      <c r="B882" s="3">
        <v>43332</v>
      </c>
      <c r="C882" s="5">
        <v>46.73</v>
      </c>
      <c r="D882" s="5">
        <v>46.68</v>
      </c>
      <c r="E882" s="5">
        <v>46.87</v>
      </c>
      <c r="F882" s="5">
        <v>46.59</v>
      </c>
      <c r="G882" s="18" t="s">
        <v>1050</v>
      </c>
      <c r="H882" s="2">
        <v>2.8E-3</v>
      </c>
      <c r="I882" s="16">
        <f t="shared" si="68"/>
        <v>2.789699570815353E-3</v>
      </c>
      <c r="J882" s="16">
        <f t="shared" si="69"/>
        <v>1.0027896995708154</v>
      </c>
      <c r="K882" s="16">
        <f t="shared" si="70"/>
        <v>46.221052631578956</v>
      </c>
      <c r="L882" s="16">
        <f t="shared" si="66"/>
        <v>44.974081632653053</v>
      </c>
      <c r="M882" s="25" t="str">
        <f t="shared" si="67"/>
        <v>HOLD</v>
      </c>
    </row>
    <row r="883" spans="2:13">
      <c r="B883" s="3">
        <v>43333</v>
      </c>
      <c r="C883" s="5">
        <v>46.22</v>
      </c>
      <c r="D883" s="5">
        <v>46.73</v>
      </c>
      <c r="E883" s="5">
        <v>46.75</v>
      </c>
      <c r="F883" s="5">
        <v>46.21</v>
      </c>
      <c r="G883" s="18" t="s">
        <v>450</v>
      </c>
      <c r="H883" s="2">
        <v>-1.09E-2</v>
      </c>
      <c r="I883" s="16">
        <f t="shared" si="68"/>
        <v>-1.0913759897282218E-2</v>
      </c>
      <c r="J883" s="16">
        <f t="shared" si="69"/>
        <v>0.98908624010271773</v>
      </c>
      <c r="K883" s="16">
        <f t="shared" si="70"/>
        <v>46.298421052631589</v>
      </c>
      <c r="L883" s="16">
        <f t="shared" si="66"/>
        <v>45.027142857142856</v>
      </c>
      <c r="M883" s="25" t="str">
        <f t="shared" si="67"/>
        <v>HOLD</v>
      </c>
    </row>
    <row r="884" spans="2:13">
      <c r="B884" s="3">
        <v>43334</v>
      </c>
      <c r="C884" s="5">
        <v>45.93</v>
      </c>
      <c r="D884" s="5">
        <v>46.34</v>
      </c>
      <c r="E884" s="5">
        <v>46.38</v>
      </c>
      <c r="F884" s="5">
        <v>45.92</v>
      </c>
      <c r="G884" s="18" t="s">
        <v>456</v>
      </c>
      <c r="H884" s="2">
        <v>-6.3E-3</v>
      </c>
      <c r="I884" s="16">
        <f t="shared" si="68"/>
        <v>-6.2743401125053902E-3</v>
      </c>
      <c r="J884" s="16">
        <f t="shared" si="69"/>
        <v>0.99372565988749462</v>
      </c>
      <c r="K884" s="16">
        <f t="shared" si="70"/>
        <v>46.30526315789475</v>
      </c>
      <c r="L884" s="16">
        <f t="shared" si="66"/>
        <v>45.06408163265305</v>
      </c>
      <c r="M884" s="25" t="str">
        <f t="shared" si="67"/>
        <v>HOLD</v>
      </c>
    </row>
    <row r="885" spans="2:13">
      <c r="B885" s="3">
        <v>43335</v>
      </c>
      <c r="C885" s="5">
        <v>45.7</v>
      </c>
      <c r="D885" s="5">
        <v>45.89</v>
      </c>
      <c r="E885" s="5">
        <v>46.08</v>
      </c>
      <c r="F885" s="5">
        <v>45.69</v>
      </c>
      <c r="G885" s="18" t="s">
        <v>220</v>
      </c>
      <c r="H885" s="2">
        <v>-5.0000000000000001E-3</v>
      </c>
      <c r="I885" s="16">
        <f t="shared" si="68"/>
        <v>-5.0076202917482444E-3</v>
      </c>
      <c r="J885" s="16">
        <f t="shared" si="69"/>
        <v>0.99499237970825172</v>
      </c>
      <c r="K885" s="16">
        <f t="shared" si="70"/>
        <v>46.288947368421056</v>
      </c>
      <c r="L885" s="16">
        <f t="shared" si="66"/>
        <v>45.099795918367334</v>
      </c>
      <c r="M885" s="25" t="str">
        <f t="shared" si="67"/>
        <v>HOLD</v>
      </c>
    </row>
    <row r="886" spans="2:13">
      <c r="B886" s="3">
        <v>43336</v>
      </c>
      <c r="C886" s="5">
        <v>45.63</v>
      </c>
      <c r="D886" s="5">
        <v>45.65</v>
      </c>
      <c r="E886" s="5">
        <v>45.8</v>
      </c>
      <c r="F886" s="5">
        <v>45.58</v>
      </c>
      <c r="G886" s="18" t="s">
        <v>402</v>
      </c>
      <c r="H886" s="2">
        <v>-1.5E-3</v>
      </c>
      <c r="I886" s="16">
        <f t="shared" si="68"/>
        <v>-1.5317286652078836E-3</v>
      </c>
      <c r="J886" s="16">
        <f t="shared" si="69"/>
        <v>0.9984682713347921</v>
      </c>
      <c r="K886" s="16">
        <f t="shared" si="70"/>
        <v>46.262105263157899</v>
      </c>
      <c r="L886" s="16">
        <f t="shared" si="66"/>
        <v>45.143061224489784</v>
      </c>
      <c r="M886" s="25" t="str">
        <f t="shared" si="67"/>
        <v>HOLD</v>
      </c>
    </row>
    <row r="887" spans="2:13">
      <c r="B887" s="3">
        <v>43339</v>
      </c>
      <c r="C887" s="5">
        <v>45.69</v>
      </c>
      <c r="D887" s="5">
        <v>46.05</v>
      </c>
      <c r="E887" s="5">
        <v>46.05</v>
      </c>
      <c r="F887" s="5">
        <v>45.56</v>
      </c>
      <c r="G887" s="18" t="s">
        <v>398</v>
      </c>
      <c r="H887" s="2">
        <v>1.2999999999999999E-3</v>
      </c>
      <c r="I887" s="16">
        <f t="shared" si="68"/>
        <v>1.3149243918473628E-3</v>
      </c>
      <c r="J887" s="16">
        <f t="shared" si="69"/>
        <v>1.0013149243918473</v>
      </c>
      <c r="K887" s="16">
        <f t="shared" si="70"/>
        <v>46.230526315789483</v>
      </c>
      <c r="L887" s="16">
        <f t="shared" si="66"/>
        <v>45.173877551020396</v>
      </c>
      <c r="M887" s="25" t="str">
        <f t="shared" si="67"/>
        <v>HOLD</v>
      </c>
    </row>
    <row r="888" spans="2:13">
      <c r="B888" s="3">
        <v>43340</v>
      </c>
      <c r="C888" s="5">
        <v>45.37</v>
      </c>
      <c r="D888" s="5">
        <v>45.65</v>
      </c>
      <c r="E888" s="5">
        <v>45.73</v>
      </c>
      <c r="F888" s="5">
        <v>45.28</v>
      </c>
      <c r="G888" s="18" t="s">
        <v>347</v>
      </c>
      <c r="H888" s="2">
        <v>-7.0000000000000001E-3</v>
      </c>
      <c r="I888" s="16">
        <f t="shared" si="68"/>
        <v>-7.0037207266360323E-3</v>
      </c>
      <c r="J888" s="16">
        <f t="shared" si="69"/>
        <v>0.99299627927336398</v>
      </c>
      <c r="K888" s="16">
        <f t="shared" si="70"/>
        <v>46.18105263157895</v>
      </c>
      <c r="L888" s="16">
        <f t="shared" si="66"/>
        <v>45.217551020408159</v>
      </c>
      <c r="M888" s="25" t="str">
        <f t="shared" si="67"/>
        <v>HOLD</v>
      </c>
    </row>
    <row r="889" spans="2:13">
      <c r="B889" s="3">
        <v>43341</v>
      </c>
      <c r="C889" s="5">
        <v>45.33</v>
      </c>
      <c r="D889" s="5">
        <v>45.25</v>
      </c>
      <c r="E889" s="5">
        <v>45.41</v>
      </c>
      <c r="F889" s="5">
        <v>45.22</v>
      </c>
      <c r="G889" s="18" t="s">
        <v>430</v>
      </c>
      <c r="H889" s="2">
        <v>-8.9999999999999998E-4</v>
      </c>
      <c r="I889" s="16">
        <f t="shared" si="68"/>
        <v>-8.8163985012120675E-4</v>
      </c>
      <c r="J889" s="16">
        <f t="shared" si="69"/>
        <v>0.99911836014987876</v>
      </c>
      <c r="K889" s="16">
        <f t="shared" si="70"/>
        <v>46.12736842105263</v>
      </c>
      <c r="L889" s="16">
        <f t="shared" ref="L889:L952" si="71">AVERAGE(C840:C888)</f>
        <v>45.253673469387763</v>
      </c>
      <c r="M889" s="25" t="str">
        <f t="shared" ref="M889:M952" si="72">IF(AND(K889&gt;L889,K888&lt;=L888),"BUY",IF(AND(K889&lt;L889,K888&gt;=L888),"SELL","HOLD"))</f>
        <v>HOLD</v>
      </c>
    </row>
    <row r="890" spans="2:13">
      <c r="B890" s="3">
        <v>43342</v>
      </c>
      <c r="C890" s="5">
        <v>44.95</v>
      </c>
      <c r="D890" s="5">
        <v>45.28</v>
      </c>
      <c r="E890" s="5">
        <v>45.32</v>
      </c>
      <c r="F890" s="5">
        <v>44.88</v>
      </c>
      <c r="G890" s="18" t="s">
        <v>356</v>
      </c>
      <c r="H890" s="2">
        <v>-8.3999999999999995E-3</v>
      </c>
      <c r="I890" s="16">
        <f t="shared" si="68"/>
        <v>-8.382969335980487E-3</v>
      </c>
      <c r="J890" s="16">
        <f t="shared" si="69"/>
        <v>0.99161703066401952</v>
      </c>
      <c r="K890" s="16">
        <f t="shared" si="70"/>
        <v>46.082631578947364</v>
      </c>
      <c r="L890" s="16">
        <f t="shared" si="71"/>
        <v>45.295918367346935</v>
      </c>
      <c r="M890" s="25" t="str">
        <f t="shared" si="72"/>
        <v>HOLD</v>
      </c>
    </row>
    <row r="891" spans="2:13">
      <c r="B891" s="3">
        <v>43343</v>
      </c>
      <c r="C891" s="5">
        <v>44.57</v>
      </c>
      <c r="D891" s="5">
        <v>45</v>
      </c>
      <c r="E891" s="5">
        <v>45.07</v>
      </c>
      <c r="F891" s="5">
        <v>44.39</v>
      </c>
      <c r="G891" s="18" t="s">
        <v>1049</v>
      </c>
      <c r="H891" s="2">
        <v>-8.5000000000000006E-3</v>
      </c>
      <c r="I891" s="16">
        <f t="shared" si="68"/>
        <v>-8.4538375973304235E-3</v>
      </c>
      <c r="J891" s="16">
        <f t="shared" si="69"/>
        <v>0.99154616240266957</v>
      </c>
      <c r="K891" s="16">
        <f t="shared" si="70"/>
        <v>45.994736842105269</v>
      </c>
      <c r="L891" s="16">
        <f t="shared" si="71"/>
        <v>45.333877551020407</v>
      </c>
      <c r="M891" s="25" t="str">
        <f t="shared" si="72"/>
        <v>HOLD</v>
      </c>
    </row>
    <row r="892" spans="2:13">
      <c r="B892" s="3">
        <v>43347</v>
      </c>
      <c r="C892" s="5">
        <v>44.76</v>
      </c>
      <c r="D892" s="5">
        <v>44.6</v>
      </c>
      <c r="E892" s="5">
        <v>44.9</v>
      </c>
      <c r="F892" s="5">
        <v>44.51</v>
      </c>
      <c r="G892" s="18" t="s">
        <v>89</v>
      </c>
      <c r="H892" s="2">
        <v>4.3E-3</v>
      </c>
      <c r="I892" s="16">
        <f t="shared" si="68"/>
        <v>4.2629571460623223E-3</v>
      </c>
      <c r="J892" s="16">
        <f t="shared" si="69"/>
        <v>1.0042629571460624</v>
      </c>
      <c r="K892" s="16">
        <f t="shared" si="70"/>
        <v>45.885263157894741</v>
      </c>
      <c r="L892" s="16">
        <f t="shared" si="71"/>
        <v>45.360816326530617</v>
      </c>
      <c r="M892" s="25" t="str">
        <f t="shared" si="72"/>
        <v>HOLD</v>
      </c>
    </row>
    <row r="893" spans="2:13">
      <c r="B893" s="3">
        <v>43348</v>
      </c>
      <c r="C893" s="5">
        <v>45.38</v>
      </c>
      <c r="D893" s="5">
        <v>44.66</v>
      </c>
      <c r="E893" s="5">
        <v>45.42</v>
      </c>
      <c r="F893" s="5">
        <v>44.66</v>
      </c>
      <c r="G893" s="18" t="s">
        <v>699</v>
      </c>
      <c r="H893" s="2">
        <v>1.3899999999999999E-2</v>
      </c>
      <c r="I893" s="16">
        <f t="shared" si="68"/>
        <v>1.3851653261841032E-2</v>
      </c>
      <c r="J893" s="16">
        <f t="shared" si="69"/>
        <v>1.0138516532618411</v>
      </c>
      <c r="K893" s="16">
        <f t="shared" si="70"/>
        <v>45.793684210526315</v>
      </c>
      <c r="L893" s="16">
        <f t="shared" si="71"/>
        <v>45.384897959183682</v>
      </c>
      <c r="M893" s="25" t="str">
        <f t="shared" si="72"/>
        <v>HOLD</v>
      </c>
    </row>
    <row r="894" spans="2:13">
      <c r="B894" s="3">
        <v>43349</v>
      </c>
      <c r="C894" s="5">
        <v>45.77</v>
      </c>
      <c r="D894" s="5">
        <v>45.4</v>
      </c>
      <c r="E894" s="5">
        <v>46</v>
      </c>
      <c r="F894" s="5">
        <v>45.3</v>
      </c>
      <c r="G894" s="18" t="s">
        <v>984</v>
      </c>
      <c r="H894" s="2">
        <v>8.6E-3</v>
      </c>
      <c r="I894" s="16">
        <f t="shared" si="68"/>
        <v>8.5940943146760804E-3</v>
      </c>
      <c r="J894" s="16">
        <f t="shared" si="69"/>
        <v>1.0085940943146761</v>
      </c>
      <c r="K894" s="16">
        <f t="shared" si="70"/>
        <v>45.753157894736852</v>
      </c>
      <c r="L894" s="16">
        <f t="shared" si="71"/>
        <v>45.426734693877563</v>
      </c>
      <c r="M894" s="25" t="str">
        <f t="shared" si="72"/>
        <v>HOLD</v>
      </c>
    </row>
    <row r="895" spans="2:13">
      <c r="B895" s="3">
        <v>43350</v>
      </c>
      <c r="C895" s="5">
        <v>45.72</v>
      </c>
      <c r="D895" s="5">
        <v>45.6</v>
      </c>
      <c r="E895" s="5">
        <v>45.82</v>
      </c>
      <c r="F895" s="5">
        <v>45.28</v>
      </c>
      <c r="G895" s="18" t="s">
        <v>548</v>
      </c>
      <c r="H895" s="2">
        <v>-1.1000000000000001E-3</v>
      </c>
      <c r="I895" s="16">
        <f t="shared" si="68"/>
        <v>-1.0924186148132894E-3</v>
      </c>
      <c r="J895" s="16">
        <f t="shared" si="69"/>
        <v>0.99890758138518676</v>
      </c>
      <c r="K895" s="16">
        <f t="shared" si="70"/>
        <v>45.722631578947372</v>
      </c>
      <c r="L895" s="16">
        <f t="shared" si="71"/>
        <v>45.481836734693893</v>
      </c>
      <c r="M895" s="25" t="str">
        <f t="shared" si="72"/>
        <v>HOLD</v>
      </c>
    </row>
    <row r="896" spans="2:13">
      <c r="B896" s="3">
        <v>43353</v>
      </c>
      <c r="C896" s="5">
        <v>46.06</v>
      </c>
      <c r="D896" s="5">
        <v>45.91</v>
      </c>
      <c r="E896" s="5">
        <v>46.31</v>
      </c>
      <c r="F896" s="5">
        <v>45.8</v>
      </c>
      <c r="G896" s="18" t="s">
        <v>727</v>
      </c>
      <c r="H896" s="2">
        <v>7.4000000000000003E-3</v>
      </c>
      <c r="I896" s="16">
        <f t="shared" si="68"/>
        <v>7.436570428696488E-3</v>
      </c>
      <c r="J896" s="16">
        <f t="shared" si="69"/>
        <v>1.0074365704286965</v>
      </c>
      <c r="K896" s="16">
        <f t="shared" si="70"/>
        <v>45.703684210526319</v>
      </c>
      <c r="L896" s="16">
        <f t="shared" si="71"/>
        <v>45.527755102040828</v>
      </c>
      <c r="M896" s="25" t="str">
        <f t="shared" si="72"/>
        <v>HOLD</v>
      </c>
    </row>
    <row r="897" spans="2:13">
      <c r="B897" s="3">
        <v>43354</v>
      </c>
      <c r="C897" s="5">
        <v>46.02</v>
      </c>
      <c r="D897" s="5">
        <v>46.1</v>
      </c>
      <c r="E897" s="5">
        <v>46.15</v>
      </c>
      <c r="F897" s="5">
        <v>45.88</v>
      </c>
      <c r="G897" s="18" t="s">
        <v>355</v>
      </c>
      <c r="H897" s="2">
        <v>-8.9999999999999998E-4</v>
      </c>
      <c r="I897" s="16">
        <f t="shared" si="68"/>
        <v>-8.684324793747101E-4</v>
      </c>
      <c r="J897" s="16">
        <f t="shared" si="69"/>
        <v>0.99913156752062526</v>
      </c>
      <c r="K897" s="16">
        <f t="shared" si="70"/>
        <v>45.715789473684218</v>
      </c>
      <c r="L897" s="16">
        <f t="shared" si="71"/>
        <v>45.572653061224486</v>
      </c>
      <c r="M897" s="25" t="str">
        <f t="shared" si="72"/>
        <v>HOLD</v>
      </c>
    </row>
    <row r="898" spans="2:13">
      <c r="B898" s="3">
        <v>43355</v>
      </c>
      <c r="C898" s="5">
        <v>46.24</v>
      </c>
      <c r="D898" s="5">
        <v>46.16</v>
      </c>
      <c r="E898" s="5">
        <v>46.3</v>
      </c>
      <c r="F898" s="5">
        <v>46.02</v>
      </c>
      <c r="G898" s="18" t="s">
        <v>262</v>
      </c>
      <c r="H898" s="2">
        <v>4.7999999999999996E-3</v>
      </c>
      <c r="I898" s="16">
        <f t="shared" si="68"/>
        <v>4.7805302042589924E-3</v>
      </c>
      <c r="J898" s="16">
        <f t="shared" si="69"/>
        <v>1.0047805302042589</v>
      </c>
      <c r="K898" s="16">
        <f t="shared" si="70"/>
        <v>45.722631578947372</v>
      </c>
      <c r="L898" s="16">
        <f t="shared" si="71"/>
        <v>45.618979591836734</v>
      </c>
      <c r="M898" s="25" t="str">
        <f t="shared" si="72"/>
        <v>HOLD</v>
      </c>
    </row>
    <row r="899" spans="2:13">
      <c r="B899" s="3">
        <v>43356</v>
      </c>
      <c r="C899" s="5">
        <v>45.83</v>
      </c>
      <c r="D899" s="5">
        <v>46.01</v>
      </c>
      <c r="E899" s="5">
        <v>46.12</v>
      </c>
      <c r="F899" s="5">
        <v>45.71</v>
      </c>
      <c r="G899" s="18" t="s">
        <v>1048</v>
      </c>
      <c r="H899" s="2">
        <v>-8.8999999999999999E-3</v>
      </c>
      <c r="I899" s="16">
        <f t="shared" si="68"/>
        <v>-8.8667820069204956E-3</v>
      </c>
      <c r="J899" s="16">
        <f t="shared" si="69"/>
        <v>0.99113321799307952</v>
      </c>
      <c r="K899" s="16">
        <f t="shared" si="70"/>
        <v>45.73105263157894</v>
      </c>
      <c r="L899" s="16">
        <f t="shared" si="71"/>
        <v>45.664897959183669</v>
      </c>
      <c r="M899" s="25" t="str">
        <f t="shared" si="72"/>
        <v>HOLD</v>
      </c>
    </row>
    <row r="900" spans="2:13">
      <c r="B900" s="3">
        <v>43357</v>
      </c>
      <c r="C900" s="5">
        <v>45.99</v>
      </c>
      <c r="D900" s="5">
        <v>45.92</v>
      </c>
      <c r="E900" s="5">
        <v>46.03</v>
      </c>
      <c r="F900" s="5">
        <v>45.61</v>
      </c>
      <c r="G900" s="18" t="s">
        <v>1047</v>
      </c>
      <c r="H900" s="2">
        <v>3.5000000000000001E-3</v>
      </c>
      <c r="I900" s="16">
        <f t="shared" si="68"/>
        <v>3.4911629936723479E-3</v>
      </c>
      <c r="J900" s="16">
        <f t="shared" si="69"/>
        <v>1.0034911629936722</v>
      </c>
      <c r="K900" s="16">
        <f t="shared" si="70"/>
        <v>45.71052631578948</v>
      </c>
      <c r="L900" s="16">
        <f t="shared" si="71"/>
        <v>45.688775510204074</v>
      </c>
      <c r="M900" s="25" t="str">
        <f t="shared" si="72"/>
        <v>HOLD</v>
      </c>
    </row>
    <row r="901" spans="2:13">
      <c r="B901" s="3">
        <v>43360</v>
      </c>
      <c r="C901" s="5">
        <v>46.32</v>
      </c>
      <c r="D901" s="5">
        <v>46</v>
      </c>
      <c r="E901" s="5">
        <v>46.33</v>
      </c>
      <c r="F901" s="5">
        <v>45.91</v>
      </c>
      <c r="G901" s="18" t="s">
        <v>1046</v>
      </c>
      <c r="H901" s="2">
        <v>7.1999999999999998E-3</v>
      </c>
      <c r="I901" s="16">
        <f t="shared" si="68"/>
        <v>7.1754729288975487E-3</v>
      </c>
      <c r="J901" s="16">
        <f t="shared" si="69"/>
        <v>1.0071754729288975</v>
      </c>
      <c r="K901" s="16">
        <f t="shared" si="70"/>
        <v>45.678421052631577</v>
      </c>
      <c r="L901" s="16">
        <f t="shared" si="71"/>
        <v>45.716326530612236</v>
      </c>
      <c r="M901" s="25" t="str">
        <f t="shared" si="72"/>
        <v>SELL</v>
      </c>
    </row>
    <row r="902" spans="2:13">
      <c r="B902" s="3">
        <v>43361</v>
      </c>
      <c r="C902" s="5">
        <v>45.93</v>
      </c>
      <c r="D902" s="5">
        <v>46.39</v>
      </c>
      <c r="E902" s="5">
        <v>46.53</v>
      </c>
      <c r="F902" s="5">
        <v>45.93</v>
      </c>
      <c r="G902" s="18" t="s">
        <v>721</v>
      </c>
      <c r="H902" s="2">
        <v>-8.3999999999999995E-3</v>
      </c>
      <c r="I902" s="16">
        <f t="shared" si="68"/>
        <v>-8.419689119170997E-3</v>
      </c>
      <c r="J902" s="16">
        <f t="shared" si="69"/>
        <v>0.99158031088082899</v>
      </c>
      <c r="K902" s="16">
        <f t="shared" si="70"/>
        <v>45.656842105263159</v>
      </c>
      <c r="L902" s="16">
        <f t="shared" si="71"/>
        <v>45.755510204081624</v>
      </c>
      <c r="M902" s="25" t="str">
        <f t="shared" si="72"/>
        <v>HOLD</v>
      </c>
    </row>
    <row r="903" spans="2:13">
      <c r="B903" s="3">
        <v>43362</v>
      </c>
      <c r="C903" s="5">
        <v>45.96</v>
      </c>
      <c r="D903" s="5">
        <v>46</v>
      </c>
      <c r="E903" s="5">
        <v>46.1</v>
      </c>
      <c r="F903" s="5">
        <v>45.87</v>
      </c>
      <c r="G903" s="18" t="s">
        <v>1045</v>
      </c>
      <c r="H903" s="2">
        <v>6.9999999999999999E-4</v>
      </c>
      <c r="I903" s="16">
        <f t="shared" si="68"/>
        <v>6.53167864141109E-4</v>
      </c>
      <c r="J903" s="16">
        <f t="shared" si="69"/>
        <v>1.000653167864141</v>
      </c>
      <c r="K903" s="16">
        <f t="shared" si="70"/>
        <v>45.641578947368416</v>
      </c>
      <c r="L903" s="16">
        <f t="shared" si="71"/>
        <v>45.775102040816314</v>
      </c>
      <c r="M903" s="25" t="str">
        <f t="shared" si="72"/>
        <v>HOLD</v>
      </c>
    </row>
    <row r="904" spans="2:13">
      <c r="B904" s="3">
        <v>43363</v>
      </c>
      <c r="C904" s="5">
        <v>46.64</v>
      </c>
      <c r="D904" s="5">
        <v>46.22</v>
      </c>
      <c r="E904" s="5">
        <v>46.68</v>
      </c>
      <c r="F904" s="5">
        <v>46.15</v>
      </c>
      <c r="G904" s="18" t="s">
        <v>428</v>
      </c>
      <c r="H904" s="2">
        <v>1.4800000000000001E-2</v>
      </c>
      <c r="I904" s="16">
        <f t="shared" si="68"/>
        <v>1.4795474325500428E-2</v>
      </c>
      <c r="J904" s="16">
        <f t="shared" si="69"/>
        <v>1.0147954743255003</v>
      </c>
      <c r="K904" s="16">
        <f t="shared" si="70"/>
        <v>45.643157894736852</v>
      </c>
      <c r="L904" s="16">
        <f t="shared" si="71"/>
        <v>45.798979591836734</v>
      </c>
      <c r="M904" s="25" t="str">
        <f t="shared" si="72"/>
        <v>HOLD</v>
      </c>
    </row>
    <row r="905" spans="2:13">
      <c r="B905" s="3">
        <v>43364</v>
      </c>
      <c r="C905" s="5">
        <v>46.58</v>
      </c>
      <c r="D905" s="5">
        <v>46.64</v>
      </c>
      <c r="E905" s="5">
        <v>46.69</v>
      </c>
      <c r="F905" s="5">
        <v>46.38</v>
      </c>
      <c r="G905" s="18" t="s">
        <v>31</v>
      </c>
      <c r="H905" s="2">
        <v>-1.2999999999999999E-3</v>
      </c>
      <c r="I905" s="16">
        <f t="shared" ref="I905:I968" si="73">(C905-C904)/C904</f>
        <v>-1.2864493996569955E-3</v>
      </c>
      <c r="J905" s="16">
        <f t="shared" ref="J905:J968" si="74">C905/C904</f>
        <v>0.99871355060034306</v>
      </c>
      <c r="K905" s="16">
        <f t="shared" si="70"/>
        <v>45.69263157894737</v>
      </c>
      <c r="L905" s="16">
        <f t="shared" si="71"/>
        <v>45.839183673469385</v>
      </c>
      <c r="M905" s="25" t="str">
        <f t="shared" si="72"/>
        <v>HOLD</v>
      </c>
    </row>
    <row r="906" spans="2:13">
      <c r="B906" s="3">
        <v>43367</v>
      </c>
      <c r="C906" s="5">
        <v>46.07</v>
      </c>
      <c r="D906" s="5">
        <v>46.49</v>
      </c>
      <c r="E906" s="5">
        <v>46.53</v>
      </c>
      <c r="F906" s="5">
        <v>45.84</v>
      </c>
      <c r="G906" s="18" t="s">
        <v>531</v>
      </c>
      <c r="H906" s="2">
        <v>-1.09E-2</v>
      </c>
      <c r="I906" s="16">
        <f t="shared" si="73"/>
        <v>-1.0948905109489008E-2</v>
      </c>
      <c r="J906" s="16">
        <f t="shared" si="74"/>
        <v>0.98905109489051102</v>
      </c>
      <c r="K906" s="16">
        <f t="shared" si="70"/>
        <v>45.742631578947368</v>
      </c>
      <c r="L906" s="16">
        <f t="shared" si="71"/>
        <v>45.876734693877545</v>
      </c>
      <c r="M906" s="25" t="str">
        <f t="shared" si="72"/>
        <v>HOLD</v>
      </c>
    </row>
    <row r="907" spans="2:13">
      <c r="B907" s="3">
        <v>43368</v>
      </c>
      <c r="C907" s="5">
        <v>45.68</v>
      </c>
      <c r="D907" s="5">
        <v>46.06</v>
      </c>
      <c r="E907" s="5">
        <v>46.18</v>
      </c>
      <c r="F907" s="5">
        <v>45.61</v>
      </c>
      <c r="G907" s="18" t="s">
        <v>1044</v>
      </c>
      <c r="H907" s="2">
        <v>-8.5000000000000006E-3</v>
      </c>
      <c r="I907" s="16">
        <f t="shared" si="73"/>
        <v>-8.4653787714347849E-3</v>
      </c>
      <c r="J907" s="16">
        <f t="shared" si="74"/>
        <v>0.99153462122856517</v>
      </c>
      <c r="K907" s="16">
        <f t="shared" si="70"/>
        <v>45.762631578947371</v>
      </c>
      <c r="L907" s="16">
        <f t="shared" si="71"/>
        <v>45.904081632653067</v>
      </c>
      <c r="M907" s="25" t="str">
        <f t="shared" si="72"/>
        <v>HOLD</v>
      </c>
    </row>
    <row r="908" spans="2:13">
      <c r="B908" s="3">
        <v>43369</v>
      </c>
      <c r="C908" s="5">
        <v>45.85</v>
      </c>
      <c r="D908" s="5">
        <v>45.77</v>
      </c>
      <c r="E908" s="5">
        <v>46.07</v>
      </c>
      <c r="F908" s="5">
        <v>45.56</v>
      </c>
      <c r="G908" s="18" t="s">
        <v>212</v>
      </c>
      <c r="H908" s="2">
        <v>3.7000000000000002E-3</v>
      </c>
      <c r="I908" s="16">
        <f t="shared" si="73"/>
        <v>3.7215411558669375E-3</v>
      </c>
      <c r="J908" s="16">
        <f t="shared" si="74"/>
        <v>1.0037215411558669</v>
      </c>
      <c r="K908" s="16">
        <f t="shared" si="70"/>
        <v>45.778947368421058</v>
      </c>
      <c r="L908" s="16">
        <f t="shared" si="71"/>
        <v>45.912857142857142</v>
      </c>
      <c r="M908" s="25" t="str">
        <f t="shared" si="72"/>
        <v>HOLD</v>
      </c>
    </row>
    <row r="909" spans="2:13">
      <c r="B909" s="3">
        <v>43370</v>
      </c>
      <c r="C909" s="5">
        <v>46.01</v>
      </c>
      <c r="D909" s="5">
        <v>45.73</v>
      </c>
      <c r="E909" s="5">
        <v>46.18</v>
      </c>
      <c r="F909" s="5">
        <v>45.68</v>
      </c>
      <c r="G909" s="18" t="s">
        <v>728</v>
      </c>
      <c r="H909" s="2">
        <v>3.5000000000000001E-3</v>
      </c>
      <c r="I909" s="16">
        <f t="shared" si="73"/>
        <v>3.4896401308614302E-3</v>
      </c>
      <c r="J909" s="16">
        <f t="shared" si="74"/>
        <v>1.0034896401308615</v>
      </c>
      <c r="K909" s="16">
        <f t="shared" si="70"/>
        <v>45.806315789473686</v>
      </c>
      <c r="L909" s="16">
        <f t="shared" si="71"/>
        <v>45.92775510204082</v>
      </c>
      <c r="M909" s="25" t="str">
        <f t="shared" si="72"/>
        <v>HOLD</v>
      </c>
    </row>
    <row r="910" spans="2:13">
      <c r="B910" s="3">
        <v>43371</v>
      </c>
      <c r="C910" s="5">
        <v>46.19</v>
      </c>
      <c r="D910" s="5">
        <v>46</v>
      </c>
      <c r="E910" s="5">
        <v>46.19</v>
      </c>
      <c r="F910" s="5">
        <v>45.97</v>
      </c>
      <c r="G910" s="18" t="s">
        <v>373</v>
      </c>
      <c r="H910" s="2">
        <v>3.8999999999999998E-3</v>
      </c>
      <c r="I910" s="16">
        <f t="shared" si="73"/>
        <v>3.9121930015214024E-3</v>
      </c>
      <c r="J910" s="16">
        <f t="shared" si="74"/>
        <v>1.0039121930015213</v>
      </c>
      <c r="K910" s="16">
        <f t="shared" si="70"/>
        <v>45.862105263157893</v>
      </c>
      <c r="L910" s="16">
        <f t="shared" si="71"/>
        <v>45.946122448979601</v>
      </c>
      <c r="M910" s="25" t="str">
        <f t="shared" si="72"/>
        <v>HOLD</v>
      </c>
    </row>
    <row r="911" spans="2:13">
      <c r="B911" s="3">
        <v>43374</v>
      </c>
      <c r="C911" s="5">
        <v>46.23</v>
      </c>
      <c r="D911" s="5">
        <v>46.17</v>
      </c>
      <c r="E911" s="5">
        <v>46.35</v>
      </c>
      <c r="F911" s="5">
        <v>46.05</v>
      </c>
      <c r="G911" s="18" t="s">
        <v>352</v>
      </c>
      <c r="H911" s="2">
        <v>8.9999999999999998E-4</v>
      </c>
      <c r="I911" s="16">
        <f t="shared" si="73"/>
        <v>8.6598830915780791E-4</v>
      </c>
      <c r="J911" s="16">
        <f t="shared" si="74"/>
        <v>1.0008659883091577</v>
      </c>
      <c r="K911" s="16">
        <f t="shared" si="70"/>
        <v>45.94736842105263</v>
      </c>
      <c r="L911" s="16">
        <f t="shared" si="71"/>
        <v>45.964693877551028</v>
      </c>
      <c r="M911" s="25" t="str">
        <f t="shared" si="72"/>
        <v>HOLD</v>
      </c>
    </row>
    <row r="912" spans="2:13">
      <c r="B912" s="3">
        <v>43375</v>
      </c>
      <c r="C912" s="5">
        <v>46.51</v>
      </c>
      <c r="D912" s="5">
        <v>46.28</v>
      </c>
      <c r="E912" s="5">
        <v>46.55</v>
      </c>
      <c r="F912" s="5">
        <v>46.06</v>
      </c>
      <c r="G912" s="18" t="s">
        <v>1043</v>
      </c>
      <c r="H912" s="2">
        <v>6.1000000000000004E-3</v>
      </c>
      <c r="I912" s="16">
        <f t="shared" si="73"/>
        <v>6.0566731559593585E-3</v>
      </c>
      <c r="J912" s="16">
        <f t="shared" si="74"/>
        <v>1.0060566731559593</v>
      </c>
      <c r="K912" s="16">
        <f t="shared" si="70"/>
        <v>46.024736842105263</v>
      </c>
      <c r="L912" s="16">
        <f t="shared" si="71"/>
        <v>45.990816326530613</v>
      </c>
      <c r="M912" s="25" t="str">
        <f t="shared" si="72"/>
        <v>BUY</v>
      </c>
    </row>
    <row r="913" spans="2:13">
      <c r="B913" s="3">
        <v>43376</v>
      </c>
      <c r="C913" s="5">
        <v>45.87</v>
      </c>
      <c r="D913" s="5">
        <v>46.46</v>
      </c>
      <c r="E913" s="5">
        <v>46.55</v>
      </c>
      <c r="F913" s="5">
        <v>45.8</v>
      </c>
      <c r="G913" s="18" t="s">
        <v>679</v>
      </c>
      <c r="H913" s="2">
        <v>-1.38E-2</v>
      </c>
      <c r="I913" s="16">
        <f t="shared" si="73"/>
        <v>-1.3760481616856602E-2</v>
      </c>
      <c r="J913" s="16">
        <f t="shared" si="74"/>
        <v>0.98623951838314339</v>
      </c>
      <c r="K913" s="16">
        <f t="shared" si="70"/>
        <v>46.084210526315793</v>
      </c>
      <c r="L913" s="16">
        <f t="shared" si="71"/>
        <v>46.016326530612261</v>
      </c>
      <c r="M913" s="25" t="str">
        <f t="shared" si="72"/>
        <v>HOLD</v>
      </c>
    </row>
    <row r="914" spans="2:13">
      <c r="B914" s="3">
        <v>43377</v>
      </c>
      <c r="C914" s="5">
        <v>45.85</v>
      </c>
      <c r="D914" s="5">
        <v>45.66</v>
      </c>
      <c r="E914" s="5">
        <v>45.9</v>
      </c>
      <c r="F914" s="5">
        <v>45.42</v>
      </c>
      <c r="G914" s="18" t="s">
        <v>398</v>
      </c>
      <c r="H914" s="2">
        <v>-4.0000000000000002E-4</v>
      </c>
      <c r="I914" s="16">
        <f t="shared" si="73"/>
        <v>-4.3601482450394643E-4</v>
      </c>
      <c r="J914" s="16">
        <f t="shared" si="74"/>
        <v>0.99956398517549605</v>
      </c>
      <c r="K914" s="16">
        <f t="shared" si="70"/>
        <v>46.089473684210525</v>
      </c>
      <c r="L914" s="16">
        <f t="shared" si="71"/>
        <v>46.011836734693887</v>
      </c>
      <c r="M914" s="25" t="str">
        <f t="shared" si="72"/>
        <v>HOLD</v>
      </c>
    </row>
    <row r="915" spans="2:13">
      <c r="B915" s="3">
        <v>43378</v>
      </c>
      <c r="C915" s="5">
        <v>45.88</v>
      </c>
      <c r="D915" s="5">
        <v>45.94</v>
      </c>
      <c r="E915" s="5">
        <v>46.16</v>
      </c>
      <c r="F915" s="5">
        <v>45.69</v>
      </c>
      <c r="G915" s="18" t="s">
        <v>1042</v>
      </c>
      <c r="H915" s="2">
        <v>6.9999999999999999E-4</v>
      </c>
      <c r="I915" s="16">
        <f t="shared" si="73"/>
        <v>6.543075245365569E-4</v>
      </c>
      <c r="J915" s="16">
        <f t="shared" si="74"/>
        <v>1.0006543075245367</v>
      </c>
      <c r="K915" s="16">
        <f t="shared" si="70"/>
        <v>46.096315789473678</v>
      </c>
      <c r="L915" s="16">
        <f t="shared" si="71"/>
        <v>46.003877551020402</v>
      </c>
      <c r="M915" s="25" t="str">
        <f t="shared" si="72"/>
        <v>HOLD</v>
      </c>
    </row>
    <row r="916" spans="2:13">
      <c r="B916" s="3">
        <v>43381</v>
      </c>
      <c r="C916" s="5">
        <v>46.48</v>
      </c>
      <c r="D916" s="5">
        <v>45.99</v>
      </c>
      <c r="E916" s="5">
        <v>46.58</v>
      </c>
      <c r="F916" s="5">
        <v>45.97</v>
      </c>
      <c r="G916" s="18" t="s">
        <v>197</v>
      </c>
      <c r="H916" s="2">
        <v>1.3100000000000001E-2</v>
      </c>
      <c r="I916" s="16">
        <f t="shared" si="73"/>
        <v>1.3077593722754889E-2</v>
      </c>
      <c r="J916" s="16">
        <f t="shared" si="74"/>
        <v>1.013077593722755</v>
      </c>
      <c r="K916" s="16">
        <f t="shared" si="70"/>
        <v>46.086842105263159</v>
      </c>
      <c r="L916" s="16">
        <f t="shared" si="71"/>
        <v>45.997142857142862</v>
      </c>
      <c r="M916" s="25" t="str">
        <f t="shared" si="72"/>
        <v>HOLD</v>
      </c>
    </row>
    <row r="917" spans="2:13">
      <c r="B917" s="3">
        <v>43382</v>
      </c>
      <c r="C917" s="5">
        <v>46.39</v>
      </c>
      <c r="D917" s="5">
        <v>46.38</v>
      </c>
      <c r="E917" s="5">
        <v>46.55</v>
      </c>
      <c r="F917" s="5">
        <v>46.22</v>
      </c>
      <c r="G917" s="18" t="s">
        <v>109</v>
      </c>
      <c r="H917" s="2">
        <v>-1.9E-3</v>
      </c>
      <c r="I917" s="16">
        <f t="shared" si="73"/>
        <v>-1.9363166953527606E-3</v>
      </c>
      <c r="J917" s="16">
        <f t="shared" si="74"/>
        <v>0.99806368330464723</v>
      </c>
      <c r="K917" s="16">
        <f t="shared" si="70"/>
        <v>46.11105263157895</v>
      </c>
      <c r="L917" s="16">
        <f t="shared" si="71"/>
        <v>46.002244897959187</v>
      </c>
      <c r="M917" s="25" t="str">
        <f t="shared" si="72"/>
        <v>HOLD</v>
      </c>
    </row>
    <row r="918" spans="2:13">
      <c r="B918" s="3">
        <v>43383</v>
      </c>
      <c r="C918" s="5">
        <v>45.68</v>
      </c>
      <c r="D918" s="5">
        <v>46.3</v>
      </c>
      <c r="E918" s="5">
        <v>46.7</v>
      </c>
      <c r="F918" s="5">
        <v>45.67</v>
      </c>
      <c r="G918" s="18" t="s">
        <v>333</v>
      </c>
      <c r="H918" s="2">
        <v>-1.5299999999999999E-2</v>
      </c>
      <c r="I918" s="16">
        <f t="shared" si="73"/>
        <v>-1.530502263418842E-2</v>
      </c>
      <c r="J918" s="16">
        <f t="shared" si="74"/>
        <v>0.98469497736581157</v>
      </c>
      <c r="K918" s="16">
        <f t="shared" si="70"/>
        <v>46.118947368421054</v>
      </c>
      <c r="L918" s="16">
        <f t="shared" si="71"/>
        <v>45.997346938775507</v>
      </c>
      <c r="M918" s="25" t="str">
        <f t="shared" si="72"/>
        <v>HOLD</v>
      </c>
    </row>
    <row r="919" spans="2:13">
      <c r="B919" s="3">
        <v>43384</v>
      </c>
      <c r="C919" s="5">
        <v>44.64</v>
      </c>
      <c r="D919" s="5">
        <v>45.8</v>
      </c>
      <c r="E919" s="5">
        <v>45.97</v>
      </c>
      <c r="F919" s="5">
        <v>44.5</v>
      </c>
      <c r="G919" s="18" t="s">
        <v>1041</v>
      </c>
      <c r="H919" s="2">
        <v>-2.2800000000000001E-2</v>
      </c>
      <c r="I919" s="16">
        <f t="shared" si="73"/>
        <v>-2.2767075306479843E-2</v>
      </c>
      <c r="J919" s="16">
        <f t="shared" si="74"/>
        <v>0.97723292469352019</v>
      </c>
      <c r="K919" s="16">
        <f t="shared" si="70"/>
        <v>46.11105263157895</v>
      </c>
      <c r="L919" s="16">
        <f t="shared" si="71"/>
        <v>45.982857142857142</v>
      </c>
      <c r="M919" s="25" t="str">
        <f t="shared" si="72"/>
        <v>HOLD</v>
      </c>
    </row>
    <row r="920" spans="2:13">
      <c r="B920" s="3">
        <v>43385</v>
      </c>
      <c r="C920" s="5">
        <v>44.68</v>
      </c>
      <c r="D920" s="5">
        <v>44.48</v>
      </c>
      <c r="E920" s="5">
        <v>44.88</v>
      </c>
      <c r="F920" s="5">
        <v>44.25</v>
      </c>
      <c r="G920" s="18" t="s">
        <v>1040</v>
      </c>
      <c r="H920" s="2">
        <v>8.9999999999999998E-4</v>
      </c>
      <c r="I920" s="16">
        <f t="shared" si="73"/>
        <v>8.9605734767023181E-4</v>
      </c>
      <c r="J920" s="16">
        <f t="shared" si="74"/>
        <v>1.0008960573476702</v>
      </c>
      <c r="K920" s="16">
        <f t="shared" si="70"/>
        <v>46.04</v>
      </c>
      <c r="L920" s="16">
        <f t="shared" si="71"/>
        <v>45.951428571428558</v>
      </c>
      <c r="M920" s="25" t="str">
        <f t="shared" si="72"/>
        <v>HOLD</v>
      </c>
    </row>
    <row r="921" spans="2:13">
      <c r="B921" s="3">
        <v>43388</v>
      </c>
      <c r="C921" s="5">
        <v>44.91</v>
      </c>
      <c r="D921" s="5">
        <v>44.64</v>
      </c>
      <c r="E921" s="5">
        <v>45.27</v>
      </c>
      <c r="F921" s="5">
        <v>44.59</v>
      </c>
      <c r="G921" s="18" t="s">
        <v>112</v>
      </c>
      <c r="H921" s="2">
        <v>5.1000000000000004E-3</v>
      </c>
      <c r="I921" s="16">
        <f t="shared" si="73"/>
        <v>5.1477170993732514E-3</v>
      </c>
      <c r="J921" s="16">
        <f t="shared" si="74"/>
        <v>1.0051477170993732</v>
      </c>
      <c r="K921" s="16">
        <f t="shared" si="70"/>
        <v>45.953684210526312</v>
      </c>
      <c r="L921" s="16">
        <f t="shared" si="71"/>
        <v>45.911836734693864</v>
      </c>
      <c r="M921" s="25" t="str">
        <f t="shared" si="72"/>
        <v>HOLD</v>
      </c>
    </row>
    <row r="922" spans="2:13">
      <c r="B922" s="3">
        <v>43389</v>
      </c>
      <c r="C922" s="5">
        <v>45.49</v>
      </c>
      <c r="D922" s="5">
        <v>45.02</v>
      </c>
      <c r="E922" s="5">
        <v>45.59</v>
      </c>
      <c r="F922" s="5">
        <v>44.86</v>
      </c>
      <c r="G922" s="18" t="s">
        <v>1039</v>
      </c>
      <c r="H922" s="2">
        <v>1.29E-2</v>
      </c>
      <c r="I922" s="16">
        <f t="shared" si="73"/>
        <v>1.291471832554009E-2</v>
      </c>
      <c r="J922" s="16">
        <f t="shared" si="74"/>
        <v>1.01291471832554</v>
      </c>
      <c r="K922" s="16">
        <f t="shared" si="70"/>
        <v>45.9</v>
      </c>
      <c r="L922" s="16">
        <f t="shared" si="71"/>
        <v>45.876326530612225</v>
      </c>
      <c r="M922" s="25" t="str">
        <f t="shared" si="72"/>
        <v>HOLD</v>
      </c>
    </row>
    <row r="923" spans="2:13">
      <c r="B923" s="3">
        <v>43390</v>
      </c>
      <c r="C923" s="5">
        <v>45.86</v>
      </c>
      <c r="D923" s="5">
        <v>45.41</v>
      </c>
      <c r="E923" s="5">
        <v>45.99</v>
      </c>
      <c r="F923" s="5">
        <v>45.36</v>
      </c>
      <c r="G923" s="18" t="s">
        <v>354</v>
      </c>
      <c r="H923" s="2">
        <v>8.0999999999999996E-3</v>
      </c>
      <c r="I923" s="16">
        <f t="shared" si="73"/>
        <v>8.1336557485161016E-3</v>
      </c>
      <c r="J923" s="16">
        <f t="shared" si="74"/>
        <v>1.0081336557485161</v>
      </c>
      <c r="K923" s="16">
        <f t="shared" ref="K923:K986" si="75">AVERAGE(C904:C922)</f>
        <v>45.875263157894729</v>
      </c>
      <c r="L923" s="16">
        <f t="shared" si="71"/>
        <v>45.855714285714271</v>
      </c>
      <c r="M923" s="25" t="str">
        <f t="shared" si="72"/>
        <v>HOLD</v>
      </c>
    </row>
    <row r="924" spans="2:13">
      <c r="B924" s="3">
        <v>43391</v>
      </c>
      <c r="C924" s="5">
        <v>45.61</v>
      </c>
      <c r="D924" s="5">
        <v>45.9</v>
      </c>
      <c r="E924" s="5">
        <v>46.08</v>
      </c>
      <c r="F924" s="5">
        <v>45.45</v>
      </c>
      <c r="G924" s="18" t="s">
        <v>580</v>
      </c>
      <c r="H924" s="2">
        <v>-5.4999999999999997E-3</v>
      </c>
      <c r="I924" s="16">
        <f t="shared" si="73"/>
        <v>-5.4513737461840388E-3</v>
      </c>
      <c r="J924" s="16">
        <f t="shared" si="74"/>
        <v>0.99454862625381601</v>
      </c>
      <c r="K924" s="16">
        <f t="shared" si="75"/>
        <v>45.834210526315786</v>
      </c>
      <c r="L924" s="16">
        <f t="shared" si="71"/>
        <v>45.849795918367342</v>
      </c>
      <c r="M924" s="25" t="str">
        <f t="shared" si="72"/>
        <v>SELL</v>
      </c>
    </row>
    <row r="925" spans="2:13">
      <c r="B925" s="3">
        <v>43392</v>
      </c>
      <c r="C925" s="5">
        <v>46.33</v>
      </c>
      <c r="D925" s="5">
        <v>45.83</v>
      </c>
      <c r="E925" s="5">
        <v>46.49</v>
      </c>
      <c r="F925" s="5">
        <v>45.83</v>
      </c>
      <c r="G925" s="18" t="s">
        <v>450</v>
      </c>
      <c r="H925" s="2">
        <v>1.5800000000000002E-2</v>
      </c>
      <c r="I925" s="16">
        <f t="shared" si="73"/>
        <v>1.5786011839508854E-2</v>
      </c>
      <c r="J925" s="16">
        <f t="shared" si="74"/>
        <v>1.0157860118395088</v>
      </c>
      <c r="K925" s="16">
        <f t="shared" si="75"/>
        <v>45.783157894736839</v>
      </c>
      <c r="L925" s="16">
        <f t="shared" si="71"/>
        <v>45.834693877551025</v>
      </c>
      <c r="M925" s="25" t="str">
        <f t="shared" si="72"/>
        <v>HOLD</v>
      </c>
    </row>
    <row r="926" spans="2:13">
      <c r="B926" s="3">
        <v>43395</v>
      </c>
      <c r="C926" s="5">
        <v>45.97</v>
      </c>
      <c r="D926" s="5">
        <v>46.37</v>
      </c>
      <c r="E926" s="5">
        <v>46.45</v>
      </c>
      <c r="F926" s="5">
        <v>45.81</v>
      </c>
      <c r="G926" s="18" t="s">
        <v>431</v>
      </c>
      <c r="H926" s="2">
        <v>-7.7999999999999996E-3</v>
      </c>
      <c r="I926" s="16">
        <f t="shared" si="73"/>
        <v>-7.7703431901575536E-3</v>
      </c>
      <c r="J926" s="16">
        <f t="shared" si="74"/>
        <v>0.99222965680984243</v>
      </c>
      <c r="K926" s="16">
        <f t="shared" si="75"/>
        <v>45.79684210526316</v>
      </c>
      <c r="L926" s="16">
        <f t="shared" si="71"/>
        <v>45.839795918367351</v>
      </c>
      <c r="M926" s="25" t="str">
        <f t="shared" si="72"/>
        <v>HOLD</v>
      </c>
    </row>
    <row r="927" spans="2:13">
      <c r="B927" s="3">
        <v>43396</v>
      </c>
      <c r="C927" s="5">
        <v>46.36</v>
      </c>
      <c r="D927" s="5">
        <v>45.62</v>
      </c>
      <c r="E927" s="5">
        <v>46.45</v>
      </c>
      <c r="F927" s="5">
        <v>45.45</v>
      </c>
      <c r="G927" s="18" t="s">
        <v>1038</v>
      </c>
      <c r="H927" s="2">
        <v>8.5000000000000006E-3</v>
      </c>
      <c r="I927" s="16">
        <f t="shared" si="73"/>
        <v>8.4837937785512425E-3</v>
      </c>
      <c r="J927" s="16">
        <f t="shared" si="74"/>
        <v>1.0084837937785514</v>
      </c>
      <c r="K927" s="16">
        <f t="shared" si="75"/>
        <v>45.812105263157896</v>
      </c>
      <c r="L927" s="16">
        <f t="shared" si="71"/>
        <v>45.842653061224496</v>
      </c>
      <c r="M927" s="25" t="str">
        <f t="shared" si="72"/>
        <v>HOLD</v>
      </c>
    </row>
    <row r="928" spans="2:13">
      <c r="B928" s="3">
        <v>43397</v>
      </c>
      <c r="C928" s="5">
        <v>46.73</v>
      </c>
      <c r="D928" s="5">
        <v>46.33</v>
      </c>
      <c r="E928" s="5">
        <v>47.39</v>
      </c>
      <c r="F928" s="5">
        <v>46.24</v>
      </c>
      <c r="G928" s="18" t="s">
        <v>1037</v>
      </c>
      <c r="H928" s="2">
        <v>8.0000000000000002E-3</v>
      </c>
      <c r="I928" s="16">
        <f t="shared" si="73"/>
        <v>7.9810181190681072E-3</v>
      </c>
      <c r="J928" s="16">
        <f t="shared" si="74"/>
        <v>1.007981018119068</v>
      </c>
      <c r="K928" s="16">
        <f t="shared" si="75"/>
        <v>45.838947368421053</v>
      </c>
      <c r="L928" s="16">
        <f t="shared" si="71"/>
        <v>45.852244897959196</v>
      </c>
      <c r="M928" s="25" t="str">
        <f t="shared" si="72"/>
        <v>HOLD</v>
      </c>
    </row>
    <row r="929" spans="2:13">
      <c r="B929" s="3">
        <v>43398</v>
      </c>
      <c r="C929" s="5">
        <v>46.51</v>
      </c>
      <c r="D929" s="5">
        <v>46.65</v>
      </c>
      <c r="E929" s="5">
        <v>46.74</v>
      </c>
      <c r="F929" s="5">
        <v>46.12</v>
      </c>
      <c r="G929" s="18" t="s">
        <v>381</v>
      </c>
      <c r="H929" s="2">
        <v>-4.7000000000000002E-3</v>
      </c>
      <c r="I929" s="16">
        <f t="shared" si="73"/>
        <v>-4.707896426278598E-3</v>
      </c>
      <c r="J929" s="16">
        <f t="shared" si="74"/>
        <v>0.99529210357372144</v>
      </c>
      <c r="K929" s="16">
        <f t="shared" si="75"/>
        <v>45.876842105263165</v>
      </c>
      <c r="L929" s="16">
        <f t="shared" si="71"/>
        <v>45.865510204081637</v>
      </c>
      <c r="M929" s="25" t="str">
        <f t="shared" si="72"/>
        <v>BUY</v>
      </c>
    </row>
    <row r="930" spans="2:13">
      <c r="B930" s="3">
        <v>43399</v>
      </c>
      <c r="C930" s="5">
        <v>45.92</v>
      </c>
      <c r="D930" s="5">
        <v>46.37</v>
      </c>
      <c r="E930" s="5">
        <v>46.48</v>
      </c>
      <c r="F930" s="5">
        <v>45.43</v>
      </c>
      <c r="G930" s="18" t="s">
        <v>1036</v>
      </c>
      <c r="H930" s="2">
        <v>-1.2699999999999999E-2</v>
      </c>
      <c r="I930" s="16">
        <f t="shared" si="73"/>
        <v>-1.2685443990539591E-2</v>
      </c>
      <c r="J930" s="16">
        <f t="shared" si="74"/>
        <v>0.98731455600946039</v>
      </c>
      <c r="K930" s="16">
        <f t="shared" si="75"/>
        <v>45.893684210526324</v>
      </c>
      <c r="L930" s="16">
        <f t="shared" si="71"/>
        <v>45.871428571428574</v>
      </c>
      <c r="M930" s="25" t="str">
        <f t="shared" si="72"/>
        <v>HOLD</v>
      </c>
    </row>
    <row r="931" spans="2:13">
      <c r="B931" s="3">
        <v>43402</v>
      </c>
      <c r="C931" s="5">
        <v>46.46</v>
      </c>
      <c r="D931" s="5">
        <v>46.15</v>
      </c>
      <c r="E931" s="5">
        <v>46.55</v>
      </c>
      <c r="F931" s="5">
        <v>46.05</v>
      </c>
      <c r="G931" s="18" t="s">
        <v>1035</v>
      </c>
      <c r="H931" s="2">
        <v>1.18E-2</v>
      </c>
      <c r="I931" s="16">
        <f t="shared" si="73"/>
        <v>1.1759581881533082E-2</v>
      </c>
      <c r="J931" s="16">
        <f t="shared" si="74"/>
        <v>1.011759581881533</v>
      </c>
      <c r="K931" s="16">
        <f t="shared" si="75"/>
        <v>45.877368421052637</v>
      </c>
      <c r="L931" s="16">
        <f t="shared" si="71"/>
        <v>45.857551020408174</v>
      </c>
      <c r="M931" s="25" t="str">
        <f t="shared" si="72"/>
        <v>HOLD</v>
      </c>
    </row>
    <row r="932" spans="2:13">
      <c r="B932" s="3">
        <v>43403</v>
      </c>
      <c r="C932" s="5">
        <v>47.63</v>
      </c>
      <c r="D932" s="5">
        <v>46.62</v>
      </c>
      <c r="E932" s="5">
        <v>47.74</v>
      </c>
      <c r="F932" s="5">
        <v>46.04</v>
      </c>
      <c r="G932" s="18" t="s">
        <v>1034</v>
      </c>
      <c r="H932" s="2">
        <v>2.52E-2</v>
      </c>
      <c r="I932" s="16">
        <f t="shared" si="73"/>
        <v>2.5182953077916525E-2</v>
      </c>
      <c r="J932" s="16">
        <f t="shared" si="74"/>
        <v>1.0251829530779166</v>
      </c>
      <c r="K932" s="16">
        <f t="shared" si="75"/>
        <v>45.874736842105271</v>
      </c>
      <c r="L932" s="16">
        <f t="shared" si="71"/>
        <v>45.852040816326543</v>
      </c>
      <c r="M932" s="25" t="str">
        <f t="shared" si="72"/>
        <v>HOLD</v>
      </c>
    </row>
    <row r="933" spans="2:13">
      <c r="B933" s="3">
        <v>43404</v>
      </c>
      <c r="C933" s="5">
        <v>47.88</v>
      </c>
      <c r="D933" s="5">
        <v>47.5</v>
      </c>
      <c r="E933" s="5">
        <v>48.08</v>
      </c>
      <c r="F933" s="5">
        <v>47.22</v>
      </c>
      <c r="G933" s="18" t="s">
        <v>1033</v>
      </c>
      <c r="H933" s="2">
        <v>5.1999999999999998E-3</v>
      </c>
      <c r="I933" s="16">
        <f t="shared" si="73"/>
        <v>5.2487927776611373E-3</v>
      </c>
      <c r="J933" s="16">
        <f t="shared" si="74"/>
        <v>1.0052487927776612</v>
      </c>
      <c r="K933" s="16">
        <f t="shared" si="75"/>
        <v>45.96736842105264</v>
      </c>
      <c r="L933" s="16">
        <f t="shared" si="71"/>
        <v>45.880816326530621</v>
      </c>
      <c r="M933" s="25" t="str">
        <f t="shared" si="72"/>
        <v>HOLD</v>
      </c>
    </row>
    <row r="934" spans="2:13">
      <c r="B934" s="3">
        <v>43405</v>
      </c>
      <c r="C934" s="5">
        <v>47.74</v>
      </c>
      <c r="D934" s="5">
        <v>47.81</v>
      </c>
      <c r="E934" s="5">
        <v>48.15</v>
      </c>
      <c r="F934" s="5">
        <v>47.3</v>
      </c>
      <c r="G934" s="18" t="s">
        <v>1032</v>
      </c>
      <c r="H934" s="2">
        <v>-2.8999999999999998E-3</v>
      </c>
      <c r="I934" s="16">
        <f t="shared" si="73"/>
        <v>-2.923976608187146E-3</v>
      </c>
      <c r="J934" s="16">
        <f t="shared" si="74"/>
        <v>0.99707602339181289</v>
      </c>
      <c r="K934" s="16">
        <f t="shared" si="75"/>
        <v>46.074210526315788</v>
      </c>
      <c r="L934" s="16">
        <f t="shared" si="71"/>
        <v>45.920612244897974</v>
      </c>
      <c r="M934" s="25" t="str">
        <f t="shared" si="72"/>
        <v>HOLD</v>
      </c>
    </row>
    <row r="935" spans="2:13">
      <c r="B935" s="3">
        <v>43406</v>
      </c>
      <c r="C935" s="5">
        <v>48</v>
      </c>
      <c r="D935" s="5">
        <v>47.82</v>
      </c>
      <c r="E935" s="5">
        <v>48</v>
      </c>
      <c r="F935" s="5">
        <v>47.44</v>
      </c>
      <c r="G935" s="18" t="s">
        <v>1031</v>
      </c>
      <c r="H935" s="2">
        <v>5.4000000000000003E-3</v>
      </c>
      <c r="I935" s="16">
        <f t="shared" si="73"/>
        <v>5.4461667364892755E-3</v>
      </c>
      <c r="J935" s="16">
        <f t="shared" si="74"/>
        <v>1.0054461667364893</v>
      </c>
      <c r="K935" s="16">
        <f t="shared" si="75"/>
        <v>46.172105263157896</v>
      </c>
      <c r="L935" s="16">
        <f t="shared" si="71"/>
        <v>45.962244897959188</v>
      </c>
      <c r="M935" s="25" t="str">
        <f t="shared" si="72"/>
        <v>HOLD</v>
      </c>
    </row>
    <row r="936" spans="2:13">
      <c r="B936" s="3">
        <v>43409</v>
      </c>
      <c r="C936" s="5">
        <v>48.69</v>
      </c>
      <c r="D936" s="5">
        <v>48</v>
      </c>
      <c r="E936" s="5">
        <v>48.77</v>
      </c>
      <c r="F936" s="5">
        <v>47.92</v>
      </c>
      <c r="G936" s="18" t="s">
        <v>433</v>
      </c>
      <c r="H936" s="2">
        <v>1.44E-2</v>
      </c>
      <c r="I936" s="16">
        <f t="shared" si="73"/>
        <v>1.4374999999999952E-2</v>
      </c>
      <c r="J936" s="16">
        <f t="shared" si="74"/>
        <v>1.014375</v>
      </c>
      <c r="K936" s="16">
        <f t="shared" si="75"/>
        <v>46.252105263157894</v>
      </c>
      <c r="L936" s="16">
        <f t="shared" si="71"/>
        <v>46.010612244897956</v>
      </c>
      <c r="M936" s="25" t="str">
        <f t="shared" si="72"/>
        <v>HOLD</v>
      </c>
    </row>
    <row r="937" spans="2:13">
      <c r="B937" s="3">
        <v>43410</v>
      </c>
      <c r="C937" s="5">
        <v>49.11</v>
      </c>
      <c r="D937" s="5">
        <v>48.65</v>
      </c>
      <c r="E937" s="5">
        <v>49.13</v>
      </c>
      <c r="F937" s="5">
        <v>48.6</v>
      </c>
      <c r="G937" s="18" t="s">
        <v>749</v>
      </c>
      <c r="H937" s="2">
        <v>8.6E-3</v>
      </c>
      <c r="I937" s="16">
        <f t="shared" si="73"/>
        <v>8.6260012322859261E-3</v>
      </c>
      <c r="J937" s="16">
        <f t="shared" si="74"/>
        <v>1.0086260012322859</v>
      </c>
      <c r="K937" s="16">
        <f t="shared" si="75"/>
        <v>46.373157894736835</v>
      </c>
      <c r="L937" s="16">
        <f t="shared" si="71"/>
        <v>46.071836734693875</v>
      </c>
      <c r="M937" s="25" t="str">
        <f t="shared" si="72"/>
        <v>HOLD</v>
      </c>
    </row>
    <row r="938" spans="2:13">
      <c r="B938" s="3">
        <v>43411</v>
      </c>
      <c r="C938" s="5">
        <v>49.37</v>
      </c>
      <c r="D938" s="5">
        <v>49.39</v>
      </c>
      <c r="E938" s="5">
        <v>49.55</v>
      </c>
      <c r="F938" s="5">
        <v>49.03</v>
      </c>
      <c r="G938" s="18" t="s">
        <v>1030</v>
      </c>
      <c r="H938" s="2">
        <v>5.3E-3</v>
      </c>
      <c r="I938" s="16">
        <f t="shared" si="73"/>
        <v>5.2942374261860719E-3</v>
      </c>
      <c r="J938" s="16">
        <f t="shared" si="74"/>
        <v>1.0052942374261862</v>
      </c>
      <c r="K938" s="16">
        <f t="shared" si="75"/>
        <v>46.55368421052632</v>
      </c>
      <c r="L938" s="16">
        <f t="shared" si="71"/>
        <v>46.148163265306124</v>
      </c>
      <c r="M938" s="25" t="str">
        <f t="shared" si="72"/>
        <v>HOLD</v>
      </c>
    </row>
    <row r="939" spans="2:13">
      <c r="B939" s="3">
        <v>43412</v>
      </c>
      <c r="C939" s="5">
        <v>49.33</v>
      </c>
      <c r="D939" s="5">
        <v>49.12</v>
      </c>
      <c r="E939" s="5">
        <v>49.37</v>
      </c>
      <c r="F939" s="5">
        <v>49.1</v>
      </c>
      <c r="G939" s="18" t="s">
        <v>1029</v>
      </c>
      <c r="H939" s="2">
        <v>-8.0000000000000004E-4</v>
      </c>
      <c r="I939" s="16">
        <f t="shared" si="73"/>
        <v>-8.1020862872187868E-4</v>
      </c>
      <c r="J939" s="16">
        <f t="shared" si="74"/>
        <v>0.99918979137127817</v>
      </c>
      <c r="K939" s="16">
        <f t="shared" si="75"/>
        <v>46.80263157894737</v>
      </c>
      <c r="L939" s="16">
        <f t="shared" si="71"/>
        <v>46.230612244897962</v>
      </c>
      <c r="M939" s="25" t="str">
        <f t="shared" si="72"/>
        <v>HOLD</v>
      </c>
    </row>
    <row r="940" spans="2:13">
      <c r="B940" s="3">
        <v>43413</v>
      </c>
      <c r="C940" s="5">
        <v>49.68</v>
      </c>
      <c r="D940" s="5">
        <v>49.39</v>
      </c>
      <c r="E940" s="5">
        <v>49.89</v>
      </c>
      <c r="F940" s="5">
        <v>49.36</v>
      </c>
      <c r="G940" s="18" t="s">
        <v>1028</v>
      </c>
      <c r="H940" s="2">
        <v>7.1000000000000004E-3</v>
      </c>
      <c r="I940" s="16">
        <f t="shared" si="73"/>
        <v>7.0950739914859406E-3</v>
      </c>
      <c r="J940" s="16">
        <f t="shared" si="74"/>
        <v>1.0070950739914859</v>
      </c>
      <c r="K940" s="16">
        <f t="shared" si="75"/>
        <v>47.047368421052632</v>
      </c>
      <c r="L940" s="16">
        <f t="shared" si="71"/>
        <v>46.320000000000007</v>
      </c>
      <c r="M940" s="25" t="str">
        <f t="shared" si="72"/>
        <v>HOLD</v>
      </c>
    </row>
    <row r="941" spans="2:13">
      <c r="B941" s="3">
        <v>43416</v>
      </c>
      <c r="C941" s="5">
        <v>49.87</v>
      </c>
      <c r="D941" s="5">
        <v>49.61</v>
      </c>
      <c r="E941" s="5">
        <v>50.24</v>
      </c>
      <c r="F941" s="5">
        <v>49.54</v>
      </c>
      <c r="G941" s="18" t="s">
        <v>333</v>
      </c>
      <c r="H941" s="2">
        <v>3.8E-3</v>
      </c>
      <c r="I941" s="16">
        <f t="shared" si="73"/>
        <v>3.8244766505635612E-3</v>
      </c>
      <c r="J941" s="16">
        <f t="shared" si="74"/>
        <v>1.0038244766505635</v>
      </c>
      <c r="K941" s="16">
        <f t="shared" si="75"/>
        <v>47.298421052631582</v>
      </c>
      <c r="L941" s="16">
        <f t="shared" si="71"/>
        <v>46.424285714285723</v>
      </c>
      <c r="M941" s="25" t="str">
        <f t="shared" si="72"/>
        <v>HOLD</v>
      </c>
    </row>
    <row r="942" spans="2:13">
      <c r="B942" s="3">
        <v>43417</v>
      </c>
      <c r="C942" s="5">
        <v>49.86</v>
      </c>
      <c r="D942" s="5">
        <v>49.81</v>
      </c>
      <c r="E942" s="5">
        <v>50</v>
      </c>
      <c r="F942" s="5">
        <v>49.58</v>
      </c>
      <c r="G942" s="18" t="s">
        <v>681</v>
      </c>
      <c r="H942" s="2">
        <v>-2.0000000000000001E-4</v>
      </c>
      <c r="I942" s="16">
        <f t="shared" si="73"/>
        <v>-2.0052135552432347E-4</v>
      </c>
      <c r="J942" s="16">
        <f t="shared" si="74"/>
        <v>0.99979947864447571</v>
      </c>
      <c r="K942" s="16">
        <f t="shared" si="75"/>
        <v>47.528947368421058</v>
      </c>
      <c r="L942" s="16">
        <f t="shared" si="71"/>
        <v>46.528571428571432</v>
      </c>
      <c r="M942" s="25" t="str">
        <f t="shared" si="72"/>
        <v>HOLD</v>
      </c>
    </row>
    <row r="943" spans="2:13">
      <c r="B943" s="3">
        <v>43418</v>
      </c>
      <c r="C943" s="5">
        <v>49.76</v>
      </c>
      <c r="D943" s="5">
        <v>49.85</v>
      </c>
      <c r="E943" s="5">
        <v>49.94</v>
      </c>
      <c r="F943" s="5">
        <v>49.59</v>
      </c>
      <c r="G943" s="18" t="s">
        <v>1027</v>
      </c>
      <c r="H943" s="2">
        <v>-2E-3</v>
      </c>
      <c r="I943" s="16">
        <f t="shared" si="73"/>
        <v>-2.0056157240273048E-3</v>
      </c>
      <c r="J943" s="16">
        <f t="shared" si="74"/>
        <v>0.99799438427597265</v>
      </c>
      <c r="K943" s="16">
        <f t="shared" si="75"/>
        <v>47.739473684210523</v>
      </c>
      <c r="L943" s="16">
        <f t="shared" si="71"/>
        <v>46.620000000000005</v>
      </c>
      <c r="M943" s="25" t="str">
        <f t="shared" si="72"/>
        <v>HOLD</v>
      </c>
    </row>
    <row r="944" spans="2:13">
      <c r="B944" s="3">
        <v>43419</v>
      </c>
      <c r="C944" s="5">
        <v>49.74</v>
      </c>
      <c r="D944" s="5">
        <v>49.66</v>
      </c>
      <c r="E944" s="5">
        <v>49.75</v>
      </c>
      <c r="F944" s="5">
        <v>49.27</v>
      </c>
      <c r="G944" s="18" t="s">
        <v>141</v>
      </c>
      <c r="H944" s="2">
        <v>-4.0000000000000002E-4</v>
      </c>
      <c r="I944" s="16">
        <f t="shared" si="73"/>
        <v>-4.0192926045008081E-4</v>
      </c>
      <c r="J944" s="16">
        <f t="shared" si="74"/>
        <v>0.99959807073954987</v>
      </c>
      <c r="K944" s="16">
        <f t="shared" si="75"/>
        <v>47.957894736842107</v>
      </c>
      <c r="L944" s="16">
        <f t="shared" si="71"/>
        <v>46.701428571428579</v>
      </c>
      <c r="M944" s="25" t="str">
        <f t="shared" si="72"/>
        <v>HOLD</v>
      </c>
    </row>
    <row r="945" spans="2:13">
      <c r="B945" s="3">
        <v>43420</v>
      </c>
      <c r="C945" s="5">
        <v>50.17</v>
      </c>
      <c r="D945" s="5">
        <v>49.66</v>
      </c>
      <c r="E945" s="5">
        <v>50.25</v>
      </c>
      <c r="F945" s="5">
        <v>49.63</v>
      </c>
      <c r="G945" s="18" t="s">
        <v>604</v>
      </c>
      <c r="H945" s="2">
        <v>8.6E-3</v>
      </c>
      <c r="I945" s="16">
        <f t="shared" si="73"/>
        <v>8.6449537595496527E-3</v>
      </c>
      <c r="J945" s="16">
        <f t="shared" si="74"/>
        <v>1.0086449537595497</v>
      </c>
      <c r="K945" s="16">
        <f t="shared" si="75"/>
        <v>48.137368421052635</v>
      </c>
      <c r="L945" s="16">
        <f t="shared" si="71"/>
        <v>46.783469387755098</v>
      </c>
      <c r="M945" s="25" t="str">
        <f t="shared" si="72"/>
        <v>HOLD</v>
      </c>
    </row>
    <row r="946" spans="2:13">
      <c r="B946" s="3">
        <v>43423</v>
      </c>
      <c r="C946" s="5">
        <v>50.51</v>
      </c>
      <c r="D946" s="5">
        <v>50.31</v>
      </c>
      <c r="E946" s="5">
        <v>50.76</v>
      </c>
      <c r="F946" s="5">
        <v>50.25</v>
      </c>
      <c r="G946" s="18" t="s">
        <v>1026</v>
      </c>
      <c r="H946" s="2">
        <v>6.7999999999999996E-3</v>
      </c>
      <c r="I946" s="16">
        <f t="shared" si="73"/>
        <v>6.7769583416383552E-3</v>
      </c>
      <c r="J946" s="16">
        <f t="shared" si="74"/>
        <v>1.0067769583416384</v>
      </c>
      <c r="K946" s="16">
        <f t="shared" si="75"/>
        <v>48.358421052631577</v>
      </c>
      <c r="L946" s="16">
        <f t="shared" si="71"/>
        <v>46.867346938775512</v>
      </c>
      <c r="M946" s="25" t="str">
        <f t="shared" si="72"/>
        <v>HOLD</v>
      </c>
    </row>
    <row r="947" spans="2:13">
      <c r="B947" s="3">
        <v>43424</v>
      </c>
      <c r="C947" s="5">
        <v>49.38</v>
      </c>
      <c r="D947" s="5">
        <v>50.82</v>
      </c>
      <c r="E947" s="5">
        <v>50.84</v>
      </c>
      <c r="F947" s="5">
        <v>49.21</v>
      </c>
      <c r="G947" s="18" t="s">
        <v>692</v>
      </c>
      <c r="H947" s="2">
        <v>-2.24E-2</v>
      </c>
      <c r="I947" s="16">
        <f t="shared" si="73"/>
        <v>-2.237180756285875E-2</v>
      </c>
      <c r="J947" s="16">
        <f t="shared" si="74"/>
        <v>0.97762819243714127</v>
      </c>
      <c r="K947" s="16">
        <f t="shared" si="75"/>
        <v>48.576842105263154</v>
      </c>
      <c r="L947" s="16">
        <f t="shared" si="71"/>
        <v>46.958979591836737</v>
      </c>
      <c r="M947" s="25" t="str">
        <f t="shared" si="72"/>
        <v>HOLD</v>
      </c>
    </row>
    <row r="948" spans="2:13">
      <c r="B948" s="3">
        <v>43425</v>
      </c>
      <c r="C948" s="5">
        <v>48.73</v>
      </c>
      <c r="D948" s="5">
        <v>49.23</v>
      </c>
      <c r="E948" s="5">
        <v>49.44</v>
      </c>
      <c r="F948" s="5">
        <v>48.59</v>
      </c>
      <c r="G948" s="18" t="s">
        <v>935</v>
      </c>
      <c r="H948" s="2">
        <v>-1.32E-2</v>
      </c>
      <c r="I948" s="16">
        <f t="shared" si="73"/>
        <v>-1.3163223977318866E-2</v>
      </c>
      <c r="J948" s="16">
        <f t="shared" si="74"/>
        <v>0.98683677602268116</v>
      </c>
      <c r="K948" s="16">
        <f t="shared" si="75"/>
        <v>48.716315789473676</v>
      </c>
      <c r="L948" s="16">
        <f t="shared" si="71"/>
        <v>47.023061224489801</v>
      </c>
      <c r="M948" s="25" t="str">
        <f t="shared" si="72"/>
        <v>HOLD</v>
      </c>
    </row>
    <row r="949" spans="2:13">
      <c r="B949" s="3">
        <v>43427</v>
      </c>
      <c r="C949" s="5">
        <v>49.02</v>
      </c>
      <c r="D949" s="5">
        <v>48.75</v>
      </c>
      <c r="E949" s="5">
        <v>49.23</v>
      </c>
      <c r="F949" s="5">
        <v>48.55</v>
      </c>
      <c r="G949" s="18" t="s">
        <v>1025</v>
      </c>
      <c r="H949" s="2">
        <v>6.0000000000000001E-3</v>
      </c>
      <c r="I949" s="16">
        <f t="shared" si="73"/>
        <v>5.9511594500309102E-3</v>
      </c>
      <c r="J949" s="16">
        <f t="shared" si="74"/>
        <v>1.005951159450031</v>
      </c>
      <c r="K949" s="16">
        <f t="shared" si="75"/>
        <v>48.833157894736836</v>
      </c>
      <c r="L949" s="16">
        <f t="shared" si="71"/>
        <v>47.082244897959178</v>
      </c>
      <c r="M949" s="25" t="str">
        <f t="shared" si="72"/>
        <v>HOLD</v>
      </c>
    </row>
    <row r="950" spans="2:13">
      <c r="B950" s="3">
        <v>43430</v>
      </c>
      <c r="C950" s="5">
        <v>48.87</v>
      </c>
      <c r="D950" s="5">
        <v>49.01</v>
      </c>
      <c r="E950" s="5">
        <v>49.23</v>
      </c>
      <c r="F950" s="5">
        <v>48.67</v>
      </c>
      <c r="G950" s="18" t="s">
        <v>1024</v>
      </c>
      <c r="H950" s="2">
        <v>-3.0999999999999999E-3</v>
      </c>
      <c r="I950" s="16">
        <f t="shared" si="73"/>
        <v>-3.0599755201959544E-3</v>
      </c>
      <c r="J950" s="16">
        <f t="shared" si="74"/>
        <v>0.99694002447980401</v>
      </c>
      <c r="K950" s="16">
        <f t="shared" si="75"/>
        <v>48.996315789473684</v>
      </c>
      <c r="L950" s="16">
        <f t="shared" si="71"/>
        <v>47.144081632653062</v>
      </c>
      <c r="M950" s="25" t="str">
        <f t="shared" si="72"/>
        <v>HOLD</v>
      </c>
    </row>
    <row r="951" spans="2:13">
      <c r="B951" s="3">
        <v>43431</v>
      </c>
      <c r="C951" s="5">
        <v>49.37</v>
      </c>
      <c r="D951" s="5">
        <v>48.88</v>
      </c>
      <c r="E951" s="5">
        <v>49.41</v>
      </c>
      <c r="F951" s="5">
        <v>48.73</v>
      </c>
      <c r="G951" s="18" t="s">
        <v>895</v>
      </c>
      <c r="H951" s="2">
        <v>1.0200000000000001E-2</v>
      </c>
      <c r="I951" s="16">
        <f t="shared" si="73"/>
        <v>1.0231225700838962E-2</v>
      </c>
      <c r="J951" s="16">
        <f t="shared" si="74"/>
        <v>1.010231225700839</v>
      </c>
      <c r="K951" s="16">
        <f t="shared" si="75"/>
        <v>49.123157894736835</v>
      </c>
      <c r="L951" s="16">
        <f t="shared" si="71"/>
        <v>47.196122448979587</v>
      </c>
      <c r="M951" s="25" t="str">
        <f t="shared" si="72"/>
        <v>HOLD</v>
      </c>
    </row>
    <row r="952" spans="2:13">
      <c r="B952" s="3">
        <v>43432</v>
      </c>
      <c r="C952" s="5">
        <v>49.71</v>
      </c>
      <c r="D952" s="5">
        <v>49.21</v>
      </c>
      <c r="E952" s="5">
        <v>49.72</v>
      </c>
      <c r="F952" s="5">
        <v>49.21</v>
      </c>
      <c r="G952" s="18" t="s">
        <v>973</v>
      </c>
      <c r="H952" s="2">
        <v>6.8999999999999999E-3</v>
      </c>
      <c r="I952" s="16">
        <f t="shared" si="73"/>
        <v>6.8867733441361845E-3</v>
      </c>
      <c r="J952" s="16">
        <f t="shared" si="74"/>
        <v>1.0068867733441362</v>
      </c>
      <c r="K952" s="16">
        <f t="shared" si="75"/>
        <v>49.214736842105268</v>
      </c>
      <c r="L952" s="16">
        <f t="shared" si="71"/>
        <v>47.26632653061224</v>
      </c>
      <c r="M952" s="25" t="str">
        <f t="shared" si="72"/>
        <v>HOLD</v>
      </c>
    </row>
    <row r="953" spans="2:13">
      <c r="B953" s="3">
        <v>43433</v>
      </c>
      <c r="C953" s="5">
        <v>48.98</v>
      </c>
      <c r="D953" s="5">
        <v>49.28</v>
      </c>
      <c r="E953" s="5">
        <v>49.43</v>
      </c>
      <c r="F953" s="5">
        <v>48.97</v>
      </c>
      <c r="G953" s="18" t="s">
        <v>360</v>
      </c>
      <c r="H953" s="2">
        <v>-1.47E-2</v>
      </c>
      <c r="I953" s="16">
        <f t="shared" si="73"/>
        <v>-1.4685174009253751E-2</v>
      </c>
      <c r="J953" s="16">
        <f t="shared" si="74"/>
        <v>0.98531482599074627</v>
      </c>
      <c r="K953" s="16">
        <f t="shared" si="75"/>
        <v>49.311052631578946</v>
      </c>
      <c r="L953" s="16">
        <f t="shared" ref="L953:L1016" si="76">AVERAGE(C904:C952)</f>
        <v>47.342857142857135</v>
      </c>
      <c r="M953" s="25" t="str">
        <f t="shared" ref="M953:M1016" si="77">IF(AND(K953&gt;L953,K952&lt;=L952),"BUY",IF(AND(K953&lt;L953,K952&gt;=L952),"SELL","HOLD"))</f>
        <v>HOLD</v>
      </c>
    </row>
    <row r="954" spans="2:13">
      <c r="B954" s="3">
        <v>43434</v>
      </c>
      <c r="C954" s="5">
        <v>50.4</v>
      </c>
      <c r="D954" s="5">
        <v>49</v>
      </c>
      <c r="E954" s="5">
        <v>50.48</v>
      </c>
      <c r="F954" s="5">
        <v>48.99</v>
      </c>
      <c r="G954" s="18" t="s">
        <v>1023</v>
      </c>
      <c r="H954" s="2">
        <v>2.9000000000000001E-2</v>
      </c>
      <c r="I954" s="16">
        <f t="shared" si="73"/>
        <v>2.8991425071457775E-2</v>
      </c>
      <c r="J954" s="16">
        <f t="shared" si="74"/>
        <v>1.0289914250714578</v>
      </c>
      <c r="K954" s="16">
        <f t="shared" si="75"/>
        <v>49.376315789473686</v>
      </c>
      <c r="L954" s="16">
        <f t="shared" si="76"/>
        <v>47.390612244897959</v>
      </c>
      <c r="M954" s="25" t="str">
        <f t="shared" si="77"/>
        <v>HOLD</v>
      </c>
    </row>
    <row r="955" spans="2:13">
      <c r="B955" s="3">
        <v>43437</v>
      </c>
      <c r="C955" s="5">
        <v>49.69</v>
      </c>
      <c r="D955" s="5">
        <v>49.87</v>
      </c>
      <c r="E955" s="5">
        <v>49.96</v>
      </c>
      <c r="F955" s="5">
        <v>48.89</v>
      </c>
      <c r="G955" s="18" t="s">
        <v>283</v>
      </c>
      <c r="H955" s="2">
        <v>-1.41E-2</v>
      </c>
      <c r="I955" s="16">
        <f t="shared" si="73"/>
        <v>-1.4087301587301605E-2</v>
      </c>
      <c r="J955" s="16">
        <f t="shared" si="74"/>
        <v>0.98591269841269835</v>
      </c>
      <c r="K955" s="16">
        <f t="shared" si="75"/>
        <v>49.502631578947373</v>
      </c>
      <c r="L955" s="16">
        <f t="shared" si="76"/>
        <v>47.46857142857143</v>
      </c>
      <c r="M955" s="25" t="str">
        <f t="shared" si="77"/>
        <v>HOLD</v>
      </c>
    </row>
    <row r="956" spans="2:13">
      <c r="B956" s="3">
        <v>43438</v>
      </c>
      <c r="C956" s="5">
        <v>49.58</v>
      </c>
      <c r="D956" s="5">
        <v>49.97</v>
      </c>
      <c r="E956" s="5">
        <v>50.51</v>
      </c>
      <c r="F956" s="5">
        <v>49.5</v>
      </c>
      <c r="G956" s="18" t="s">
        <v>994</v>
      </c>
      <c r="H956" s="2">
        <v>-2.2000000000000001E-3</v>
      </c>
      <c r="I956" s="16">
        <f t="shared" si="73"/>
        <v>-2.2137250955926633E-3</v>
      </c>
      <c r="J956" s="16">
        <f t="shared" si="74"/>
        <v>0.9977862749044073</v>
      </c>
      <c r="K956" s="16">
        <f t="shared" si="75"/>
        <v>49.55526315789475</v>
      </c>
      <c r="L956" s="16">
        <f t="shared" si="76"/>
        <v>47.542448979591846</v>
      </c>
      <c r="M956" s="25" t="str">
        <f t="shared" si="77"/>
        <v>HOLD</v>
      </c>
    </row>
    <row r="957" spans="2:13">
      <c r="B957" s="3">
        <v>43440</v>
      </c>
      <c r="C957" s="5">
        <v>49.38</v>
      </c>
      <c r="D957" s="5">
        <v>49.51</v>
      </c>
      <c r="E957" s="5">
        <v>49.63</v>
      </c>
      <c r="F957" s="5">
        <v>48.66</v>
      </c>
      <c r="G957" s="18" t="s">
        <v>663</v>
      </c>
      <c r="H957" s="2">
        <v>-4.0000000000000001E-3</v>
      </c>
      <c r="I957" s="16">
        <f t="shared" si="73"/>
        <v>-4.0338846308994704E-3</v>
      </c>
      <c r="J957" s="16">
        <f t="shared" si="74"/>
        <v>0.99596611536910051</v>
      </c>
      <c r="K957" s="16">
        <f t="shared" si="75"/>
        <v>49.580000000000005</v>
      </c>
      <c r="L957" s="16">
        <f t="shared" si="76"/>
        <v>47.622040816326532</v>
      </c>
      <c r="M957" s="25" t="str">
        <f t="shared" si="77"/>
        <v>HOLD</v>
      </c>
    </row>
    <row r="958" spans="2:13">
      <c r="B958" s="3">
        <v>43441</v>
      </c>
      <c r="C958" s="5">
        <v>49.09</v>
      </c>
      <c r="D958" s="5">
        <v>49.57</v>
      </c>
      <c r="E958" s="5">
        <v>49.68</v>
      </c>
      <c r="F958" s="5">
        <v>48.88</v>
      </c>
      <c r="G958" s="18" t="s">
        <v>15</v>
      </c>
      <c r="H958" s="2">
        <v>-5.8999999999999999E-3</v>
      </c>
      <c r="I958" s="16">
        <f t="shared" si="73"/>
        <v>-5.8728230052652718E-3</v>
      </c>
      <c r="J958" s="16">
        <f t="shared" si="74"/>
        <v>0.99412717699473474</v>
      </c>
      <c r="K958" s="16">
        <f t="shared" si="75"/>
        <v>49.580526315789484</v>
      </c>
      <c r="L958" s="16">
        <f t="shared" si="76"/>
        <v>47.694081632653059</v>
      </c>
      <c r="M958" s="25" t="str">
        <f t="shared" si="77"/>
        <v>HOLD</v>
      </c>
    </row>
    <row r="959" spans="2:13">
      <c r="B959" s="3">
        <v>43444</v>
      </c>
      <c r="C959" s="5">
        <v>49.24</v>
      </c>
      <c r="D959" s="5">
        <v>49.45</v>
      </c>
      <c r="E959" s="5">
        <v>49.45</v>
      </c>
      <c r="F959" s="5">
        <v>48.47</v>
      </c>
      <c r="G959" s="18" t="s">
        <v>110</v>
      </c>
      <c r="H959" s="2">
        <v>3.0999999999999999E-3</v>
      </c>
      <c r="I959" s="16">
        <f t="shared" si="73"/>
        <v>3.0556121409655444E-3</v>
      </c>
      <c r="J959" s="16">
        <f t="shared" si="74"/>
        <v>1.0030556121409655</v>
      </c>
      <c r="K959" s="16">
        <f t="shared" si="75"/>
        <v>49.567894736842106</v>
      </c>
      <c r="L959" s="16">
        <f t="shared" si="76"/>
        <v>47.756938775510207</v>
      </c>
      <c r="M959" s="25" t="str">
        <f t="shared" si="77"/>
        <v>HOLD</v>
      </c>
    </row>
    <row r="960" spans="2:13">
      <c r="B960" s="3">
        <v>43445</v>
      </c>
      <c r="C960" s="5">
        <v>49.54</v>
      </c>
      <c r="D960" s="5">
        <v>49.59</v>
      </c>
      <c r="E960" s="5">
        <v>50.01</v>
      </c>
      <c r="F960" s="5">
        <v>49.18</v>
      </c>
      <c r="G960" s="18" t="s">
        <v>1022</v>
      </c>
      <c r="H960" s="2">
        <v>6.1000000000000004E-3</v>
      </c>
      <c r="I960" s="16">
        <f t="shared" si="73"/>
        <v>6.0926076360681789E-3</v>
      </c>
      <c r="J960" s="16">
        <f t="shared" si="74"/>
        <v>1.0060926076360681</v>
      </c>
      <c r="K960" s="16">
        <f t="shared" si="75"/>
        <v>49.544736842105266</v>
      </c>
      <c r="L960" s="16">
        <f t="shared" si="76"/>
        <v>47.819183673469382</v>
      </c>
      <c r="M960" s="25" t="str">
        <f t="shared" si="77"/>
        <v>HOLD</v>
      </c>
    </row>
    <row r="961" spans="2:13">
      <c r="B961" s="3">
        <v>43446</v>
      </c>
      <c r="C961" s="5">
        <v>49.22</v>
      </c>
      <c r="D961" s="5">
        <v>49.95</v>
      </c>
      <c r="E961" s="5">
        <v>50.02</v>
      </c>
      <c r="F961" s="5">
        <v>49.19</v>
      </c>
      <c r="G961" s="18" t="s">
        <v>472</v>
      </c>
      <c r="H961" s="2">
        <v>-6.4999999999999997E-3</v>
      </c>
      <c r="I961" s="16">
        <f t="shared" si="73"/>
        <v>-6.4594267258780841E-3</v>
      </c>
      <c r="J961" s="16">
        <f t="shared" si="74"/>
        <v>0.99354057327412193</v>
      </c>
      <c r="K961" s="16">
        <f t="shared" si="75"/>
        <v>49.527368421052635</v>
      </c>
      <c r="L961" s="16">
        <f t="shared" si="76"/>
        <v>47.88673469387755</v>
      </c>
      <c r="M961" s="25" t="str">
        <f t="shared" si="77"/>
        <v>HOLD</v>
      </c>
    </row>
    <row r="962" spans="2:13">
      <c r="B962" s="3">
        <v>43447</v>
      </c>
      <c r="C962" s="5">
        <v>49.47</v>
      </c>
      <c r="D962" s="5">
        <v>48.72</v>
      </c>
      <c r="E962" s="5">
        <v>49.61</v>
      </c>
      <c r="F962" s="5">
        <v>48.57</v>
      </c>
      <c r="G962" s="18" t="s">
        <v>321</v>
      </c>
      <c r="H962" s="2">
        <v>5.1000000000000004E-3</v>
      </c>
      <c r="I962" s="16">
        <f t="shared" si="73"/>
        <v>5.0792360828931333E-3</v>
      </c>
      <c r="J962" s="16">
        <f t="shared" si="74"/>
        <v>1.0050792360828931</v>
      </c>
      <c r="K962" s="16">
        <f t="shared" si="75"/>
        <v>49.493684210526318</v>
      </c>
      <c r="L962" s="16">
        <f t="shared" si="76"/>
        <v>47.942040816326518</v>
      </c>
      <c r="M962" s="25" t="str">
        <f t="shared" si="77"/>
        <v>HOLD</v>
      </c>
    </row>
    <row r="963" spans="2:13">
      <c r="B963" s="3">
        <v>43448</v>
      </c>
      <c r="C963" s="5">
        <v>49.34</v>
      </c>
      <c r="D963" s="5">
        <v>49.23</v>
      </c>
      <c r="E963" s="5">
        <v>49.52</v>
      </c>
      <c r="F963" s="5">
        <v>49.02</v>
      </c>
      <c r="G963" s="18" t="s">
        <v>649</v>
      </c>
      <c r="H963" s="2">
        <v>-2.5999999999999999E-3</v>
      </c>
      <c r="I963" s="16">
        <f t="shared" si="73"/>
        <v>-2.6278552658175755E-3</v>
      </c>
      <c r="J963" s="16">
        <f t="shared" si="74"/>
        <v>0.99737214473418245</v>
      </c>
      <c r="K963" s="16">
        <f t="shared" si="75"/>
        <v>49.478421052631582</v>
      </c>
      <c r="L963" s="16">
        <f t="shared" si="76"/>
        <v>48.015510204081622</v>
      </c>
      <c r="M963" s="25" t="str">
        <f t="shared" si="77"/>
        <v>HOLD</v>
      </c>
    </row>
    <row r="964" spans="2:13">
      <c r="B964" s="3">
        <v>43451</v>
      </c>
      <c r="C964" s="5">
        <v>48.33</v>
      </c>
      <c r="D964" s="5">
        <v>49.34</v>
      </c>
      <c r="E964" s="5">
        <v>49.53</v>
      </c>
      <c r="F964" s="5">
        <v>48.02</v>
      </c>
      <c r="G964" s="18" t="s">
        <v>1021</v>
      </c>
      <c r="H964" s="2">
        <v>-2.0500000000000001E-2</v>
      </c>
      <c r="I964" s="16">
        <f t="shared" si="73"/>
        <v>-2.0470206728820533E-2</v>
      </c>
      <c r="J964" s="16">
        <f t="shared" si="74"/>
        <v>0.97952979327117951</v>
      </c>
      <c r="K964" s="16">
        <f t="shared" si="75"/>
        <v>49.457368421052635</v>
      </c>
      <c r="L964" s="16">
        <f t="shared" si="76"/>
        <v>48.086734693877531</v>
      </c>
      <c r="M964" s="25" t="str">
        <f t="shared" si="77"/>
        <v>HOLD</v>
      </c>
    </row>
    <row r="965" spans="2:13">
      <c r="B965" s="3">
        <v>43452</v>
      </c>
      <c r="C965" s="5">
        <v>48.32</v>
      </c>
      <c r="D965" s="5">
        <v>48.61</v>
      </c>
      <c r="E965" s="5">
        <v>48.83</v>
      </c>
      <c r="F965" s="5">
        <v>47.85</v>
      </c>
      <c r="G965" s="18" t="s">
        <v>326</v>
      </c>
      <c r="H965" s="2">
        <v>-2.0000000000000001E-4</v>
      </c>
      <c r="I965" s="16">
        <f t="shared" si="73"/>
        <v>-2.0691082143591994E-4</v>
      </c>
      <c r="J965" s="16">
        <f t="shared" si="74"/>
        <v>0.99979308917856413</v>
      </c>
      <c r="K965" s="16">
        <f t="shared" si="75"/>
        <v>49.360526315789478</v>
      </c>
      <c r="L965" s="16">
        <f t="shared" si="76"/>
        <v>48.136734693877536</v>
      </c>
      <c r="M965" s="25" t="str">
        <f t="shared" si="77"/>
        <v>HOLD</v>
      </c>
    </row>
    <row r="966" spans="2:13">
      <c r="B966" s="3">
        <v>43453</v>
      </c>
      <c r="C966" s="5">
        <v>47.9</v>
      </c>
      <c r="D966" s="5">
        <v>48.24</v>
      </c>
      <c r="E966" s="5">
        <v>48.76</v>
      </c>
      <c r="F966" s="5">
        <v>47.62</v>
      </c>
      <c r="G966" s="18" t="s">
        <v>626</v>
      </c>
      <c r="H966" s="2">
        <v>-8.6999999999999994E-3</v>
      </c>
      <c r="I966" s="16">
        <f t="shared" si="73"/>
        <v>-8.692052980132486E-3</v>
      </c>
      <c r="J966" s="16">
        <f t="shared" si="74"/>
        <v>0.99130794701986746</v>
      </c>
      <c r="K966" s="16">
        <f t="shared" si="75"/>
        <v>49.245263157894748</v>
      </c>
      <c r="L966" s="16">
        <f t="shared" si="76"/>
        <v>48.174285714285702</v>
      </c>
      <c r="M966" s="25" t="str">
        <f t="shared" si="77"/>
        <v>HOLD</v>
      </c>
    </row>
    <row r="967" spans="2:13">
      <c r="B967" s="3">
        <v>43454</v>
      </c>
      <c r="C967" s="5">
        <v>47.54</v>
      </c>
      <c r="D967" s="5">
        <v>47.81</v>
      </c>
      <c r="E967" s="5">
        <v>48.13</v>
      </c>
      <c r="F967" s="5">
        <v>47.1</v>
      </c>
      <c r="G967" s="18" t="s">
        <v>1020</v>
      </c>
      <c r="H967" s="2">
        <v>-7.4999999999999997E-3</v>
      </c>
      <c r="I967" s="16">
        <f t="shared" si="73"/>
        <v>-7.5156576200417421E-3</v>
      </c>
      <c r="J967" s="16">
        <f t="shared" si="74"/>
        <v>0.99248434237995831</v>
      </c>
      <c r="K967" s="16">
        <f t="shared" si="75"/>
        <v>49.167368421052636</v>
      </c>
      <c r="L967" s="16">
        <f t="shared" si="76"/>
        <v>48.205102040816321</v>
      </c>
      <c r="M967" s="25" t="str">
        <f t="shared" si="77"/>
        <v>HOLD</v>
      </c>
    </row>
    <row r="968" spans="2:13">
      <c r="B968" s="3">
        <v>43455</v>
      </c>
      <c r="C968" s="5">
        <v>47.57</v>
      </c>
      <c r="D968" s="5">
        <v>47.26</v>
      </c>
      <c r="E968" s="5">
        <v>48.75</v>
      </c>
      <c r="F968" s="5">
        <v>47.23</v>
      </c>
      <c r="G968" s="18" t="s">
        <v>1019</v>
      </c>
      <c r="H968" s="2">
        <v>5.9999999999999995E-4</v>
      </c>
      <c r="I968" s="16">
        <f t="shared" si="73"/>
        <v>6.3104753891462216E-4</v>
      </c>
      <c r="J968" s="16">
        <f t="shared" si="74"/>
        <v>1.0006310475389146</v>
      </c>
      <c r="K968" s="16">
        <f t="shared" si="75"/>
        <v>49.104736842105261</v>
      </c>
      <c r="L968" s="16">
        <f t="shared" si="76"/>
        <v>48.243061224489793</v>
      </c>
      <c r="M968" s="25" t="str">
        <f t="shared" si="77"/>
        <v>HOLD</v>
      </c>
    </row>
    <row r="969" spans="2:13">
      <c r="B969" s="3">
        <v>43458</v>
      </c>
      <c r="C969" s="5">
        <v>45.96</v>
      </c>
      <c r="D969" s="5">
        <v>47.62</v>
      </c>
      <c r="E969" s="5">
        <v>47.87</v>
      </c>
      <c r="F969" s="5">
        <v>45.83</v>
      </c>
      <c r="G969" s="18" t="s">
        <v>942</v>
      </c>
      <c r="H969" s="2">
        <v>-3.3799999999999997E-2</v>
      </c>
      <c r="I969" s="16">
        <f t="shared" ref="I969:I1032" si="78">(C969-C968)/C968</f>
        <v>-3.3844860206012177E-2</v>
      </c>
      <c r="J969" s="16">
        <f t="shared" ref="J969:J1032" si="79">C969/C968</f>
        <v>0.96615513979398782</v>
      </c>
      <c r="K969" s="16">
        <f t="shared" si="75"/>
        <v>49.028421052631586</v>
      </c>
      <c r="L969" s="16">
        <f t="shared" si="76"/>
        <v>48.302857142857142</v>
      </c>
      <c r="M969" s="25" t="str">
        <f t="shared" si="77"/>
        <v>HOLD</v>
      </c>
    </row>
    <row r="970" spans="2:13">
      <c r="B970" s="3">
        <v>43460</v>
      </c>
      <c r="C970" s="5">
        <v>46.94</v>
      </c>
      <c r="D970" s="5">
        <v>45.88</v>
      </c>
      <c r="E970" s="5">
        <v>46.96</v>
      </c>
      <c r="F970" s="5">
        <v>45.66</v>
      </c>
      <c r="G970" s="18" t="s">
        <v>442</v>
      </c>
      <c r="H970" s="2">
        <v>2.1299999999999999E-2</v>
      </c>
      <c r="I970" s="16">
        <f t="shared" si="78"/>
        <v>2.13228894691035E-2</v>
      </c>
      <c r="J970" s="16">
        <f t="shared" si="79"/>
        <v>1.0213228894691035</v>
      </c>
      <c r="K970" s="16">
        <f t="shared" si="75"/>
        <v>48.87526315789475</v>
      </c>
      <c r="L970" s="16">
        <f t="shared" si="76"/>
        <v>48.328979591836742</v>
      </c>
      <c r="M970" s="25" t="str">
        <f t="shared" si="77"/>
        <v>HOLD</v>
      </c>
    </row>
    <row r="971" spans="2:13">
      <c r="B971" s="3">
        <v>43461</v>
      </c>
      <c r="C971" s="5">
        <v>47.53</v>
      </c>
      <c r="D971" s="5">
        <v>46.74</v>
      </c>
      <c r="E971" s="5">
        <v>47.55</v>
      </c>
      <c r="F971" s="5">
        <v>46.03</v>
      </c>
      <c r="G971" s="18" t="s">
        <v>573</v>
      </c>
      <c r="H971" s="2">
        <v>1.26E-2</v>
      </c>
      <c r="I971" s="16">
        <f t="shared" si="78"/>
        <v>1.2569237324243789E-2</v>
      </c>
      <c r="J971" s="16">
        <f t="shared" si="79"/>
        <v>1.0125692373242439</v>
      </c>
      <c r="K971" s="16">
        <f t="shared" si="75"/>
        <v>48.747368421052649</v>
      </c>
      <c r="L971" s="16">
        <f t="shared" si="76"/>
        <v>48.370408163265317</v>
      </c>
      <c r="M971" s="25" t="str">
        <f t="shared" si="77"/>
        <v>HOLD</v>
      </c>
    </row>
    <row r="972" spans="2:13">
      <c r="B972" s="3">
        <v>43462</v>
      </c>
      <c r="C972" s="5">
        <v>47.2</v>
      </c>
      <c r="D972" s="5">
        <v>47.89</v>
      </c>
      <c r="E972" s="5">
        <v>48.01</v>
      </c>
      <c r="F972" s="5">
        <v>47.02</v>
      </c>
      <c r="G972" s="18" t="s">
        <v>262</v>
      </c>
      <c r="H972" s="2">
        <v>-6.8999999999999999E-3</v>
      </c>
      <c r="I972" s="16">
        <f t="shared" si="78"/>
        <v>-6.9429833789185413E-3</v>
      </c>
      <c r="J972" s="16">
        <f t="shared" si="79"/>
        <v>0.99305701662108148</v>
      </c>
      <c r="K972" s="16">
        <f t="shared" si="75"/>
        <v>48.632631578947382</v>
      </c>
      <c r="L972" s="16">
        <f t="shared" si="76"/>
        <v>48.412040816326538</v>
      </c>
      <c r="M972" s="25" t="str">
        <f t="shared" si="77"/>
        <v>HOLD</v>
      </c>
    </row>
    <row r="973" spans="2:13">
      <c r="B973" s="3">
        <v>43465</v>
      </c>
      <c r="C973" s="5">
        <v>47.35</v>
      </c>
      <c r="D973" s="5">
        <v>47.49</v>
      </c>
      <c r="E973" s="5">
        <v>47.54</v>
      </c>
      <c r="F973" s="5">
        <v>46.96</v>
      </c>
      <c r="G973" s="18" t="s">
        <v>796</v>
      </c>
      <c r="H973" s="2">
        <v>3.2000000000000002E-3</v>
      </c>
      <c r="I973" s="16">
        <f t="shared" si="78"/>
        <v>3.1779661016948851E-3</v>
      </c>
      <c r="J973" s="16">
        <f t="shared" si="79"/>
        <v>1.0031779661016949</v>
      </c>
      <c r="K973" s="16">
        <f t="shared" si="75"/>
        <v>48.538947368421063</v>
      </c>
      <c r="L973" s="16">
        <f t="shared" si="76"/>
        <v>48.439387755102047</v>
      </c>
      <c r="M973" s="25" t="str">
        <f t="shared" si="77"/>
        <v>HOLD</v>
      </c>
    </row>
    <row r="974" spans="2:13">
      <c r="B974" s="3">
        <v>43467</v>
      </c>
      <c r="C974" s="5">
        <v>46.93</v>
      </c>
      <c r="D974" s="5">
        <v>46.94</v>
      </c>
      <c r="E974" s="5">
        <v>47.22</v>
      </c>
      <c r="F974" s="5">
        <v>46.55</v>
      </c>
      <c r="G974" s="18" t="s">
        <v>1018</v>
      </c>
      <c r="H974" s="2">
        <v>-8.8999999999999999E-3</v>
      </c>
      <c r="I974" s="16">
        <f t="shared" si="78"/>
        <v>-8.8701161562830342E-3</v>
      </c>
      <c r="J974" s="16">
        <f t="shared" si="79"/>
        <v>0.99112988384371692</v>
      </c>
      <c r="K974" s="16">
        <f t="shared" si="75"/>
        <v>48.378421052631587</v>
      </c>
      <c r="L974" s="16">
        <f t="shared" si="76"/>
        <v>48.474897959183686</v>
      </c>
      <c r="M974" s="25" t="str">
        <f t="shared" si="77"/>
        <v>SELL</v>
      </c>
    </row>
    <row r="975" spans="2:13">
      <c r="B975" s="3">
        <v>43468</v>
      </c>
      <c r="C975" s="5">
        <v>46.64</v>
      </c>
      <c r="D975" s="5">
        <v>46.82</v>
      </c>
      <c r="E975" s="5">
        <v>47.37</v>
      </c>
      <c r="F975" s="5">
        <v>46.53</v>
      </c>
      <c r="G975" s="18" t="s">
        <v>1017</v>
      </c>
      <c r="H975" s="2">
        <v>-6.1999999999999998E-3</v>
      </c>
      <c r="I975" s="16">
        <f t="shared" si="78"/>
        <v>-6.1794161517153027E-3</v>
      </c>
      <c r="J975" s="16">
        <f t="shared" si="79"/>
        <v>0.99382058384828464</v>
      </c>
      <c r="K975" s="16">
        <f t="shared" si="75"/>
        <v>48.233157894736848</v>
      </c>
      <c r="L975" s="16">
        <f t="shared" si="76"/>
        <v>48.487142857142857</v>
      </c>
      <c r="M975" s="25" t="str">
        <f t="shared" si="77"/>
        <v>HOLD</v>
      </c>
    </row>
    <row r="976" spans="2:13">
      <c r="B976" s="3">
        <v>43469</v>
      </c>
      <c r="C976" s="5">
        <v>47.57</v>
      </c>
      <c r="D976" s="5">
        <v>46.75</v>
      </c>
      <c r="E976" s="5">
        <v>47.57</v>
      </c>
      <c r="F976" s="5">
        <v>46.64</v>
      </c>
      <c r="G976" s="18" t="s">
        <v>51</v>
      </c>
      <c r="H976" s="2">
        <v>1.9900000000000001E-2</v>
      </c>
      <c r="I976" s="16">
        <f t="shared" si="78"/>
        <v>1.9939965694682669E-2</v>
      </c>
      <c r="J976" s="16">
        <f t="shared" si="79"/>
        <v>1.0199399656946826</v>
      </c>
      <c r="K976" s="16">
        <f t="shared" si="75"/>
        <v>48.078421052631576</v>
      </c>
      <c r="L976" s="16">
        <f t="shared" si="76"/>
        <v>48.50081632653059</v>
      </c>
      <c r="M976" s="25" t="str">
        <f t="shared" si="77"/>
        <v>HOLD</v>
      </c>
    </row>
    <row r="977" spans="2:13">
      <c r="B977" s="3">
        <v>43472</v>
      </c>
      <c r="C977" s="5">
        <v>46.95</v>
      </c>
      <c r="D977" s="5">
        <v>47.57</v>
      </c>
      <c r="E977" s="5">
        <v>47.75</v>
      </c>
      <c r="F977" s="5">
        <v>46.9</v>
      </c>
      <c r="G977" s="18" t="s">
        <v>220</v>
      </c>
      <c r="H977" s="2">
        <v>-1.2999999999999999E-2</v>
      </c>
      <c r="I977" s="16">
        <f t="shared" si="78"/>
        <v>-1.303342442715992E-2</v>
      </c>
      <c r="J977" s="16">
        <f t="shared" si="79"/>
        <v>0.98696657557284007</v>
      </c>
      <c r="K977" s="16">
        <f t="shared" si="75"/>
        <v>47.983157894736848</v>
      </c>
      <c r="L977" s="16">
        <f t="shared" si="76"/>
        <v>48.525510204081627</v>
      </c>
      <c r="M977" s="25" t="str">
        <f t="shared" si="77"/>
        <v>HOLD</v>
      </c>
    </row>
    <row r="978" spans="2:13">
      <c r="B978" s="3">
        <v>43473</v>
      </c>
      <c r="C978" s="5">
        <v>47.48</v>
      </c>
      <c r="D978" s="5">
        <v>47.25</v>
      </c>
      <c r="E978" s="5">
        <v>47.57</v>
      </c>
      <c r="F978" s="5">
        <v>47.03</v>
      </c>
      <c r="G978" s="18" t="s">
        <v>900</v>
      </c>
      <c r="H978" s="2">
        <v>1.1299999999999999E-2</v>
      </c>
      <c r="I978" s="16">
        <f t="shared" si="78"/>
        <v>1.1288604898828413E-2</v>
      </c>
      <c r="J978" s="16">
        <f t="shared" si="79"/>
        <v>1.0112886048988283</v>
      </c>
      <c r="K978" s="16">
        <f t="shared" si="75"/>
        <v>47.870526315789469</v>
      </c>
      <c r="L978" s="16">
        <f t="shared" si="76"/>
        <v>48.529999999999987</v>
      </c>
      <c r="M978" s="25" t="str">
        <f t="shared" si="77"/>
        <v>HOLD</v>
      </c>
    </row>
    <row r="979" spans="2:13">
      <c r="B979" s="3">
        <v>43474</v>
      </c>
      <c r="C979" s="5">
        <v>46.57</v>
      </c>
      <c r="D979" s="5">
        <v>47.08</v>
      </c>
      <c r="E979" s="5">
        <v>47.28</v>
      </c>
      <c r="F979" s="5">
        <v>46.43</v>
      </c>
      <c r="G979" s="18" t="s">
        <v>641</v>
      </c>
      <c r="H979" s="2">
        <v>-1.9199999999999998E-2</v>
      </c>
      <c r="I979" s="16">
        <f t="shared" si="78"/>
        <v>-1.9165964616680638E-2</v>
      </c>
      <c r="J979" s="16">
        <f t="shared" si="79"/>
        <v>0.98083403538331937</v>
      </c>
      <c r="K979" s="16">
        <f t="shared" si="75"/>
        <v>47.777894736842107</v>
      </c>
      <c r="L979" s="16">
        <f t="shared" si="76"/>
        <v>48.54979591836733</v>
      </c>
      <c r="M979" s="25" t="str">
        <f t="shared" si="77"/>
        <v>HOLD</v>
      </c>
    </row>
    <row r="980" spans="2:13">
      <c r="B980" s="3">
        <v>43475</v>
      </c>
      <c r="C980" s="5">
        <v>47.07</v>
      </c>
      <c r="D980" s="5">
        <v>46.66</v>
      </c>
      <c r="E980" s="5">
        <v>47.09</v>
      </c>
      <c r="F980" s="5">
        <v>46.34</v>
      </c>
      <c r="G980" s="18" t="s">
        <v>1016</v>
      </c>
      <c r="H980" s="2">
        <v>1.0699999999999999E-2</v>
      </c>
      <c r="I980" s="16">
        <f t="shared" si="78"/>
        <v>1.0736525660296328E-2</v>
      </c>
      <c r="J980" s="16">
        <f t="shared" si="79"/>
        <v>1.0107365256602963</v>
      </c>
      <c r="K980" s="16">
        <f t="shared" si="75"/>
        <v>47.621578947368427</v>
      </c>
      <c r="L980" s="16">
        <f t="shared" si="76"/>
        <v>48.563061224489786</v>
      </c>
      <c r="M980" s="25" t="str">
        <f t="shared" si="77"/>
        <v>HOLD</v>
      </c>
    </row>
    <row r="981" spans="2:13">
      <c r="B981" s="3">
        <v>43476</v>
      </c>
      <c r="C981" s="5">
        <v>47.34</v>
      </c>
      <c r="D981" s="5">
        <v>47.29</v>
      </c>
      <c r="E981" s="5">
        <v>47.35</v>
      </c>
      <c r="F981" s="5">
        <v>46.97</v>
      </c>
      <c r="G981" s="18" t="s">
        <v>390</v>
      </c>
      <c r="H981" s="2">
        <v>5.7000000000000002E-3</v>
      </c>
      <c r="I981" s="16">
        <f t="shared" si="78"/>
        <v>5.7361376673040814E-3</v>
      </c>
      <c r="J981" s="16">
        <f t="shared" si="79"/>
        <v>1.0057361376673042</v>
      </c>
      <c r="K981" s="16">
        <f t="shared" si="75"/>
        <v>47.50842105263159</v>
      </c>
      <c r="L981" s="16">
        <f t="shared" si="76"/>
        <v>48.575510204081631</v>
      </c>
      <c r="M981" s="25" t="str">
        <f t="shared" si="77"/>
        <v>HOLD</v>
      </c>
    </row>
    <row r="982" spans="2:13">
      <c r="B982" s="3">
        <v>43479</v>
      </c>
      <c r="C982" s="5">
        <v>47.15</v>
      </c>
      <c r="D982" s="5">
        <v>47.25</v>
      </c>
      <c r="E982" s="5">
        <v>47.4</v>
      </c>
      <c r="F982" s="5">
        <v>46.99</v>
      </c>
      <c r="G982" s="18" t="s">
        <v>583</v>
      </c>
      <c r="H982" s="2">
        <v>-4.0000000000000001E-3</v>
      </c>
      <c r="I982" s="16">
        <f t="shared" si="78"/>
        <v>-4.0135192226447994E-3</v>
      </c>
      <c r="J982" s="16">
        <f t="shared" si="79"/>
        <v>0.99598648077735519</v>
      </c>
      <c r="K982" s="16">
        <f t="shared" si="75"/>
        <v>47.39631578947369</v>
      </c>
      <c r="L982" s="16">
        <f t="shared" si="76"/>
        <v>48.569591836734702</v>
      </c>
      <c r="M982" s="25" t="str">
        <f t="shared" si="77"/>
        <v>HOLD</v>
      </c>
    </row>
    <row r="983" spans="2:13">
      <c r="B983" s="3">
        <v>43480</v>
      </c>
      <c r="C983" s="5">
        <v>47.57</v>
      </c>
      <c r="D983" s="5">
        <v>46.89</v>
      </c>
      <c r="E983" s="5">
        <v>47.6</v>
      </c>
      <c r="F983" s="5">
        <v>46.81</v>
      </c>
      <c r="G983" s="18" t="s">
        <v>1015</v>
      </c>
      <c r="H983" s="2">
        <v>8.8999999999999999E-3</v>
      </c>
      <c r="I983" s="16">
        <f t="shared" si="78"/>
        <v>8.9077412513255926E-3</v>
      </c>
      <c r="J983" s="16">
        <f t="shared" si="79"/>
        <v>1.0089077412513257</v>
      </c>
      <c r="K983" s="16">
        <f t="shared" si="75"/>
        <v>47.281052631578959</v>
      </c>
      <c r="L983" s="16">
        <f t="shared" si="76"/>
        <v>48.554693877551024</v>
      </c>
      <c r="M983" s="25" t="str">
        <f t="shared" si="77"/>
        <v>HOLD</v>
      </c>
    </row>
    <row r="984" spans="2:13">
      <c r="B984" s="3">
        <v>43481</v>
      </c>
      <c r="C984" s="5">
        <v>46.92</v>
      </c>
      <c r="D984" s="5">
        <v>47.4</v>
      </c>
      <c r="E984" s="5">
        <v>47.47</v>
      </c>
      <c r="F984" s="5">
        <v>46.86</v>
      </c>
      <c r="G984" s="18" t="s">
        <v>489</v>
      </c>
      <c r="H984" s="2">
        <v>-1.37E-2</v>
      </c>
      <c r="I984" s="16">
        <f t="shared" si="78"/>
        <v>-1.3664073996216072E-2</v>
      </c>
      <c r="J984" s="16">
        <f t="shared" si="79"/>
        <v>0.98633592600378395</v>
      </c>
      <c r="K984" s="16">
        <f t="shared" si="75"/>
        <v>47.24105263157896</v>
      </c>
      <c r="L984" s="16">
        <f t="shared" si="76"/>
        <v>48.551224489795935</v>
      </c>
      <c r="M984" s="25" t="str">
        <f t="shared" si="77"/>
        <v>HOLD</v>
      </c>
    </row>
    <row r="985" spans="2:13">
      <c r="B985" s="3">
        <v>43482</v>
      </c>
      <c r="C985" s="5">
        <v>47.06</v>
      </c>
      <c r="D985" s="5">
        <v>46.92</v>
      </c>
      <c r="E985" s="5">
        <v>47.14</v>
      </c>
      <c r="F985" s="5">
        <v>46.88</v>
      </c>
      <c r="G985" s="18" t="s">
        <v>673</v>
      </c>
      <c r="H985" s="2">
        <v>3.0000000000000001E-3</v>
      </c>
      <c r="I985" s="16">
        <f t="shared" si="78"/>
        <v>2.9838022165388015E-3</v>
      </c>
      <c r="J985" s="16">
        <f t="shared" si="79"/>
        <v>1.0029838022165387</v>
      </c>
      <c r="K985" s="16">
        <f t="shared" si="75"/>
        <v>47.167368421052643</v>
      </c>
      <c r="L985" s="16">
        <f t="shared" si="76"/>
        <v>48.529183673469404</v>
      </c>
      <c r="M985" s="25" t="str">
        <f t="shared" si="77"/>
        <v>HOLD</v>
      </c>
    </row>
    <row r="986" spans="2:13">
      <c r="B986" s="3">
        <v>43483</v>
      </c>
      <c r="C986" s="5">
        <v>47.61</v>
      </c>
      <c r="D986" s="5">
        <v>47.25</v>
      </c>
      <c r="E986" s="5">
        <v>47.69</v>
      </c>
      <c r="F986" s="5">
        <v>47.12</v>
      </c>
      <c r="G986" s="18" t="s">
        <v>251</v>
      </c>
      <c r="H986" s="2">
        <v>1.17E-2</v>
      </c>
      <c r="I986" s="16">
        <f t="shared" si="78"/>
        <v>1.1687207819804445E-2</v>
      </c>
      <c r="J986" s="16">
        <f t="shared" si="79"/>
        <v>1.0116872078198045</v>
      </c>
      <c r="K986" s="16">
        <f t="shared" si="75"/>
        <v>47.123157894736849</v>
      </c>
      <c r="L986" s="16">
        <f t="shared" si="76"/>
        <v>48.495918367346952</v>
      </c>
      <c r="M986" s="25" t="str">
        <f t="shared" si="77"/>
        <v>HOLD</v>
      </c>
    </row>
    <row r="987" spans="2:13">
      <c r="B987" s="3">
        <v>43487</v>
      </c>
      <c r="C987" s="5">
        <v>47.72</v>
      </c>
      <c r="D987" s="5">
        <v>47.7</v>
      </c>
      <c r="E987" s="5">
        <v>47.79</v>
      </c>
      <c r="F987" s="5">
        <v>47.2</v>
      </c>
      <c r="G987" s="18" t="s">
        <v>1014</v>
      </c>
      <c r="H987" s="2">
        <v>2.3E-3</v>
      </c>
      <c r="I987" s="16">
        <f t="shared" si="78"/>
        <v>2.3104389834068353E-3</v>
      </c>
      <c r="J987" s="16">
        <f t="shared" si="79"/>
        <v>1.0023104389834068</v>
      </c>
      <c r="K987" s="16">
        <f t="shared" ref="K987:K1050" si="80">AVERAGE(C968:C986)</f>
        <v>47.126842105263165</v>
      </c>
      <c r="L987" s="16">
        <f t="shared" si="76"/>
        <v>48.465306122448993</v>
      </c>
      <c r="M987" s="25" t="str">
        <f t="shared" si="77"/>
        <v>HOLD</v>
      </c>
    </row>
    <row r="988" spans="2:13">
      <c r="B988" s="3">
        <v>43488</v>
      </c>
      <c r="C988" s="5">
        <v>48.27</v>
      </c>
      <c r="D988" s="5">
        <v>47.82</v>
      </c>
      <c r="E988" s="5">
        <v>48.29</v>
      </c>
      <c r="F988" s="5">
        <v>47.65</v>
      </c>
      <c r="G988" s="18" t="s">
        <v>1013</v>
      </c>
      <c r="H988" s="2">
        <v>1.15E-2</v>
      </c>
      <c r="I988" s="16">
        <f t="shared" si="78"/>
        <v>1.1525565800503023E-2</v>
      </c>
      <c r="J988" s="16">
        <f t="shared" si="79"/>
        <v>1.0115255658005031</v>
      </c>
      <c r="K988" s="16">
        <f t="shared" si="80"/>
        <v>47.134736842105269</v>
      </c>
      <c r="L988" s="16">
        <f t="shared" si="76"/>
        <v>48.431632653061229</v>
      </c>
      <c r="M988" s="25" t="str">
        <f t="shared" si="77"/>
        <v>HOLD</v>
      </c>
    </row>
    <row r="989" spans="2:13">
      <c r="B989" s="3">
        <v>43489</v>
      </c>
      <c r="C989" s="5">
        <v>47.69</v>
      </c>
      <c r="D989" s="5">
        <v>48.11</v>
      </c>
      <c r="E989" s="5">
        <v>48.11</v>
      </c>
      <c r="F989" s="5">
        <v>47.38</v>
      </c>
      <c r="G989" s="18" t="s">
        <v>1012</v>
      </c>
      <c r="H989" s="2">
        <v>-1.2E-2</v>
      </c>
      <c r="I989" s="16">
        <f t="shared" si="78"/>
        <v>-1.2015744769007776E-2</v>
      </c>
      <c r="J989" s="16">
        <f t="shared" si="79"/>
        <v>0.9879842552309922</v>
      </c>
      <c r="K989" s="16">
        <f t="shared" si="80"/>
        <v>47.256315789473682</v>
      </c>
      <c r="L989" s="16">
        <f t="shared" si="76"/>
        <v>48.410000000000004</v>
      </c>
      <c r="M989" s="25" t="str">
        <f t="shared" si="77"/>
        <v>HOLD</v>
      </c>
    </row>
    <row r="990" spans="2:13">
      <c r="B990" s="3">
        <v>43490</v>
      </c>
      <c r="C990" s="5">
        <v>47.37</v>
      </c>
      <c r="D990" s="5">
        <v>47.88</v>
      </c>
      <c r="E990" s="5">
        <v>48.02</v>
      </c>
      <c r="F990" s="5">
        <v>47.24</v>
      </c>
      <c r="G990" s="18" t="s">
        <v>25</v>
      </c>
      <c r="H990" s="2">
        <v>-6.7000000000000002E-3</v>
      </c>
      <c r="I990" s="16">
        <f t="shared" si="78"/>
        <v>-6.7100020968756616E-3</v>
      </c>
      <c r="J990" s="16">
        <f t="shared" si="79"/>
        <v>0.99328999790312433</v>
      </c>
      <c r="K990" s="16">
        <f t="shared" si="80"/>
        <v>47.295789473684202</v>
      </c>
      <c r="L990" s="16">
        <f t="shared" si="76"/>
        <v>48.369387755102039</v>
      </c>
      <c r="M990" s="25" t="str">
        <f t="shared" si="77"/>
        <v>HOLD</v>
      </c>
    </row>
    <row r="991" spans="2:13">
      <c r="B991" s="3">
        <v>43493</v>
      </c>
      <c r="C991" s="5">
        <v>47.17</v>
      </c>
      <c r="D991" s="5">
        <v>47.22</v>
      </c>
      <c r="E991" s="5">
        <v>47.3</v>
      </c>
      <c r="F991" s="5">
        <v>46.94</v>
      </c>
      <c r="G991" s="18" t="s">
        <v>893</v>
      </c>
      <c r="H991" s="2">
        <v>-4.1999999999999997E-3</v>
      </c>
      <c r="I991" s="16">
        <f t="shared" si="78"/>
        <v>-4.2220814861725934E-3</v>
      </c>
      <c r="J991" s="16">
        <f t="shared" si="79"/>
        <v>0.99577791851382735</v>
      </c>
      <c r="K991" s="16">
        <f t="shared" si="80"/>
        <v>47.287368421052626</v>
      </c>
      <c r="L991" s="16">
        <f t="shared" si="76"/>
        <v>48.318367346938764</v>
      </c>
      <c r="M991" s="25" t="str">
        <f t="shared" si="77"/>
        <v>HOLD</v>
      </c>
    </row>
    <row r="992" spans="2:13">
      <c r="B992" s="3">
        <v>43494</v>
      </c>
      <c r="C992" s="5">
        <v>47.4</v>
      </c>
      <c r="D992" s="5">
        <v>47.2</v>
      </c>
      <c r="E992" s="5">
        <v>47.63</v>
      </c>
      <c r="F992" s="5">
        <v>47.13</v>
      </c>
      <c r="G992" s="18" t="s">
        <v>327</v>
      </c>
      <c r="H992" s="2">
        <v>4.8999999999999998E-3</v>
      </c>
      <c r="I992" s="16">
        <f t="shared" si="78"/>
        <v>4.8759804960779489E-3</v>
      </c>
      <c r="J992" s="16">
        <f t="shared" si="79"/>
        <v>1.0048759804960778</v>
      </c>
      <c r="K992" s="16">
        <f t="shared" si="80"/>
        <v>47.285789473684204</v>
      </c>
      <c r="L992" s="16">
        <f t="shared" si="76"/>
        <v>48.263469387755102</v>
      </c>
      <c r="M992" s="25" t="str">
        <f t="shared" si="77"/>
        <v>HOLD</v>
      </c>
    </row>
    <row r="993" spans="2:13">
      <c r="B993" s="3">
        <v>43495</v>
      </c>
      <c r="C993" s="5">
        <v>47.86</v>
      </c>
      <c r="D993" s="5">
        <v>47.25</v>
      </c>
      <c r="E993" s="5">
        <v>47.89</v>
      </c>
      <c r="F993" s="5">
        <v>47.19</v>
      </c>
      <c r="G993" s="18" t="s">
        <v>1011</v>
      </c>
      <c r="H993" s="2">
        <v>9.7000000000000003E-3</v>
      </c>
      <c r="I993" s="16">
        <f t="shared" si="78"/>
        <v>9.7046413502109886E-3</v>
      </c>
      <c r="J993" s="16">
        <f t="shared" si="79"/>
        <v>1.0097046413502111</v>
      </c>
      <c r="K993" s="16">
        <f t="shared" si="80"/>
        <v>47.288421052631577</v>
      </c>
      <c r="L993" s="16">
        <f t="shared" si="76"/>
        <v>48.215306122448972</v>
      </c>
      <c r="M993" s="25" t="str">
        <f t="shared" si="77"/>
        <v>HOLD</v>
      </c>
    </row>
    <row r="994" spans="2:13">
      <c r="B994" s="3">
        <v>43496</v>
      </c>
      <c r="C994" s="5">
        <v>48.13</v>
      </c>
      <c r="D994" s="5">
        <v>47.85</v>
      </c>
      <c r="E994" s="5">
        <v>48.78</v>
      </c>
      <c r="F994" s="5">
        <v>47.47</v>
      </c>
      <c r="G994" s="18" t="s">
        <v>1010</v>
      </c>
      <c r="H994" s="2">
        <v>5.5999999999999999E-3</v>
      </c>
      <c r="I994" s="16">
        <f t="shared" si="78"/>
        <v>5.6414542415378841E-3</v>
      </c>
      <c r="J994" s="16">
        <f t="shared" si="79"/>
        <v>1.0056414542415379</v>
      </c>
      <c r="K994" s="16">
        <f t="shared" si="80"/>
        <v>47.337368421052624</v>
      </c>
      <c r="L994" s="16">
        <f t="shared" si="76"/>
        <v>48.176938775510209</v>
      </c>
      <c r="M994" s="25" t="str">
        <f t="shared" si="77"/>
        <v>HOLD</v>
      </c>
    </row>
    <row r="995" spans="2:13">
      <c r="B995" s="3">
        <v>43497</v>
      </c>
      <c r="C995" s="5">
        <v>48.7</v>
      </c>
      <c r="D995" s="5">
        <v>48.48</v>
      </c>
      <c r="E995" s="5">
        <v>48.78</v>
      </c>
      <c r="F995" s="5">
        <v>48.4</v>
      </c>
      <c r="G995" s="18" t="s">
        <v>956</v>
      </c>
      <c r="H995" s="2">
        <v>1.18E-2</v>
      </c>
      <c r="I995" s="16">
        <f t="shared" si="78"/>
        <v>1.1842925410346983E-2</v>
      </c>
      <c r="J995" s="16">
        <f t="shared" si="79"/>
        <v>1.0118429254103469</v>
      </c>
      <c r="K995" s="16">
        <f t="shared" si="80"/>
        <v>47.415789473684207</v>
      </c>
      <c r="L995" s="16">
        <f t="shared" si="76"/>
        <v>48.135306122448988</v>
      </c>
      <c r="M995" s="25" t="str">
        <f t="shared" si="77"/>
        <v>HOLD</v>
      </c>
    </row>
    <row r="996" spans="2:13">
      <c r="B996" s="3">
        <v>43500</v>
      </c>
      <c r="C996" s="5">
        <v>49.25</v>
      </c>
      <c r="D996" s="5">
        <v>48.7</v>
      </c>
      <c r="E996" s="5">
        <v>49.45</v>
      </c>
      <c r="F996" s="5">
        <v>48.54</v>
      </c>
      <c r="G996" s="18" t="s">
        <v>550</v>
      </c>
      <c r="H996" s="2">
        <v>1.1299999999999999E-2</v>
      </c>
      <c r="I996" s="16">
        <f t="shared" si="78"/>
        <v>1.1293634496919858E-2</v>
      </c>
      <c r="J996" s="16">
        <f t="shared" si="79"/>
        <v>1.0112936344969199</v>
      </c>
      <c r="K996" s="16">
        <f t="shared" si="80"/>
        <v>47.475263157894744</v>
      </c>
      <c r="L996" s="16">
        <f t="shared" si="76"/>
        <v>48.09836734693878</v>
      </c>
      <c r="M996" s="25" t="str">
        <f t="shared" si="77"/>
        <v>HOLD</v>
      </c>
    </row>
    <row r="997" spans="2:13">
      <c r="B997" s="3">
        <v>43501</v>
      </c>
      <c r="C997" s="5">
        <v>49.26</v>
      </c>
      <c r="D997" s="5">
        <v>49.33</v>
      </c>
      <c r="E997" s="5">
        <v>49.47</v>
      </c>
      <c r="F997" s="5">
        <v>49.1</v>
      </c>
      <c r="G997" s="18" t="s">
        <v>136</v>
      </c>
      <c r="H997" s="2">
        <v>2.0000000000000001E-4</v>
      </c>
      <c r="I997" s="16">
        <f t="shared" si="78"/>
        <v>2.0304568527914742E-4</v>
      </c>
      <c r="J997" s="16">
        <f t="shared" si="79"/>
        <v>1.0002030456852791</v>
      </c>
      <c r="K997" s="16">
        <f t="shared" si="80"/>
        <v>47.596315789473685</v>
      </c>
      <c r="L997" s="16">
        <f t="shared" si="76"/>
        <v>48.095714285714287</v>
      </c>
      <c r="M997" s="25" t="str">
        <f t="shared" si="77"/>
        <v>HOLD</v>
      </c>
    </row>
    <row r="998" spans="2:13">
      <c r="B998" s="3">
        <v>43502</v>
      </c>
      <c r="C998" s="5">
        <v>49.26</v>
      </c>
      <c r="D998" s="5">
        <v>49.21</v>
      </c>
      <c r="E998" s="5">
        <v>49.36</v>
      </c>
      <c r="F998" s="5">
        <v>49.02</v>
      </c>
      <c r="G998" s="18" t="s">
        <v>970</v>
      </c>
      <c r="H998" s="2">
        <v>0</v>
      </c>
      <c r="I998" s="16">
        <f t="shared" si="78"/>
        <v>0</v>
      </c>
      <c r="J998" s="16">
        <f t="shared" si="79"/>
        <v>1</v>
      </c>
      <c r="K998" s="16">
        <f t="shared" si="80"/>
        <v>47.69</v>
      </c>
      <c r="L998" s="16">
        <f t="shared" si="76"/>
        <v>48.106530612244903</v>
      </c>
      <c r="M998" s="25" t="str">
        <f t="shared" si="77"/>
        <v>HOLD</v>
      </c>
    </row>
    <row r="999" spans="2:13">
      <c r="B999" s="3">
        <v>43503</v>
      </c>
      <c r="C999" s="5">
        <v>49.42</v>
      </c>
      <c r="D999" s="5">
        <v>49.17</v>
      </c>
      <c r="E999" s="5">
        <v>49.46</v>
      </c>
      <c r="F999" s="5">
        <v>49</v>
      </c>
      <c r="G999" s="18" t="s">
        <v>944</v>
      </c>
      <c r="H999" s="2">
        <v>3.2000000000000002E-3</v>
      </c>
      <c r="I999" s="16">
        <f t="shared" si="78"/>
        <v>3.2480714575721416E-3</v>
      </c>
      <c r="J999" s="16">
        <f t="shared" si="79"/>
        <v>1.0032480714575722</v>
      </c>
      <c r="K999" s="16">
        <f t="shared" si="80"/>
        <v>47.831578947368421</v>
      </c>
      <c r="L999" s="16">
        <f t="shared" si="76"/>
        <v>48.111428571428583</v>
      </c>
      <c r="M999" s="25" t="str">
        <f t="shared" si="77"/>
        <v>HOLD</v>
      </c>
    </row>
    <row r="1000" spans="2:13">
      <c r="B1000" s="3">
        <v>43504</v>
      </c>
      <c r="C1000" s="5">
        <v>49.5</v>
      </c>
      <c r="D1000" s="5">
        <v>49.37</v>
      </c>
      <c r="E1000" s="5">
        <v>49.5</v>
      </c>
      <c r="F1000" s="5">
        <v>49.11</v>
      </c>
      <c r="G1000" s="18" t="s">
        <v>197</v>
      </c>
      <c r="H1000" s="2">
        <v>1.6000000000000001E-3</v>
      </c>
      <c r="I1000" s="16">
        <f t="shared" si="78"/>
        <v>1.6187778227437939E-3</v>
      </c>
      <c r="J1000" s="16">
        <f t="shared" si="79"/>
        <v>1.0016187778227439</v>
      </c>
      <c r="K1000" s="16">
        <f t="shared" si="80"/>
        <v>47.955263157894734</v>
      </c>
      <c r="L1000" s="16">
        <f t="shared" si="76"/>
        <v>48.122653061224504</v>
      </c>
      <c r="M1000" s="25" t="str">
        <f t="shared" si="77"/>
        <v>HOLD</v>
      </c>
    </row>
    <row r="1001" spans="2:13">
      <c r="B1001" s="3">
        <v>43507</v>
      </c>
      <c r="C1001" s="5">
        <v>49.61</v>
      </c>
      <c r="D1001" s="5">
        <v>49.57</v>
      </c>
      <c r="E1001" s="5">
        <v>49.88</v>
      </c>
      <c r="F1001" s="5">
        <v>49.48</v>
      </c>
      <c r="G1001" s="18" t="s">
        <v>105</v>
      </c>
      <c r="H1001" s="2">
        <v>2.2000000000000001E-3</v>
      </c>
      <c r="I1001" s="16">
        <f t="shared" si="78"/>
        <v>2.2222222222222109E-3</v>
      </c>
      <c r="J1001" s="16">
        <f t="shared" si="79"/>
        <v>1.0022222222222221</v>
      </c>
      <c r="K1001" s="16">
        <f t="shared" si="80"/>
        <v>48.06894736842105</v>
      </c>
      <c r="L1001" s="16">
        <f t="shared" si="76"/>
        <v>48.12530612244899</v>
      </c>
      <c r="M1001" s="25" t="str">
        <f t="shared" si="77"/>
        <v>HOLD</v>
      </c>
    </row>
    <row r="1002" spans="2:13">
      <c r="B1002" s="3">
        <v>43508</v>
      </c>
      <c r="C1002" s="5">
        <v>49.66</v>
      </c>
      <c r="D1002" s="5">
        <v>49.69</v>
      </c>
      <c r="E1002" s="5">
        <v>49.8</v>
      </c>
      <c r="F1002" s="5">
        <v>49.46</v>
      </c>
      <c r="G1002" s="18" t="s">
        <v>84</v>
      </c>
      <c r="H1002" s="2">
        <v>1E-3</v>
      </c>
      <c r="I1002" s="16">
        <f t="shared" si="78"/>
        <v>1.0078613182825471E-3</v>
      </c>
      <c r="J1002" s="16">
        <f t="shared" si="79"/>
        <v>1.0010078613182825</v>
      </c>
      <c r="K1002" s="16">
        <f t="shared" si="80"/>
        <v>48.198421052631581</v>
      </c>
      <c r="L1002" s="16">
        <f t="shared" si="76"/>
        <v>48.12326530612247</v>
      </c>
      <c r="M1002" s="25" t="str">
        <f t="shared" si="77"/>
        <v>BUY</v>
      </c>
    </row>
    <row r="1003" spans="2:13">
      <c r="B1003" s="3">
        <v>43509</v>
      </c>
      <c r="C1003" s="5">
        <v>49.79</v>
      </c>
      <c r="D1003" s="5">
        <v>49.61</v>
      </c>
      <c r="E1003" s="5">
        <v>49.94</v>
      </c>
      <c r="F1003" s="5">
        <v>49.56</v>
      </c>
      <c r="G1003" s="18" t="s">
        <v>750</v>
      </c>
      <c r="H1003" s="2">
        <v>2.5999999999999999E-3</v>
      </c>
      <c r="I1003" s="16">
        <f t="shared" si="78"/>
        <v>2.6178010471204706E-3</v>
      </c>
      <c r="J1003" s="16">
        <f t="shared" si="79"/>
        <v>1.0026178010471205</v>
      </c>
      <c r="K1003" s="16">
        <f t="shared" si="80"/>
        <v>48.30842105263158</v>
      </c>
      <c r="L1003" s="16">
        <f t="shared" si="76"/>
        <v>48.137142857142869</v>
      </c>
      <c r="M1003" s="25" t="str">
        <f t="shared" si="77"/>
        <v>HOLD</v>
      </c>
    </row>
    <row r="1004" spans="2:13">
      <c r="B1004" s="3">
        <v>43510</v>
      </c>
      <c r="C1004" s="5">
        <v>45.59</v>
      </c>
      <c r="D1004" s="5">
        <v>46.7</v>
      </c>
      <c r="E1004" s="5">
        <v>46.96</v>
      </c>
      <c r="F1004" s="5">
        <v>45.5</v>
      </c>
      <c r="G1004" s="18" t="s">
        <v>1009</v>
      </c>
      <c r="H1004" s="2">
        <v>-8.4400000000000003E-2</v>
      </c>
      <c r="I1004" s="16">
        <f t="shared" si="78"/>
        <v>-8.4354288009640399E-2</v>
      </c>
      <c r="J1004" s="16">
        <f t="shared" si="79"/>
        <v>0.9156457119903596</v>
      </c>
      <c r="K1004" s="16">
        <f t="shared" si="80"/>
        <v>48.459473684210522</v>
      </c>
      <c r="L1004" s="16">
        <f t="shared" si="76"/>
        <v>48.124693877551032</v>
      </c>
      <c r="M1004" s="25" t="str">
        <f t="shared" si="77"/>
        <v>HOLD</v>
      </c>
    </row>
    <row r="1005" spans="2:13">
      <c r="B1005" s="3">
        <v>43511</v>
      </c>
      <c r="C1005" s="5">
        <v>45.24</v>
      </c>
      <c r="D1005" s="5">
        <v>45.9</v>
      </c>
      <c r="E1005" s="5">
        <v>46.26</v>
      </c>
      <c r="F1005" s="5">
        <v>45.2</v>
      </c>
      <c r="G1005" s="18" t="s">
        <v>1008</v>
      </c>
      <c r="H1005" s="2">
        <v>-7.7000000000000002E-3</v>
      </c>
      <c r="I1005" s="16">
        <f t="shared" si="78"/>
        <v>-7.6771221759158017E-3</v>
      </c>
      <c r="J1005" s="16">
        <f t="shared" si="79"/>
        <v>0.99232287782408424</v>
      </c>
      <c r="K1005" s="16">
        <f t="shared" si="80"/>
        <v>48.382105263157889</v>
      </c>
      <c r="L1005" s="16">
        <f t="shared" si="76"/>
        <v>48.04102040816327</v>
      </c>
      <c r="M1005" s="25" t="str">
        <f t="shared" si="77"/>
        <v>HOLD</v>
      </c>
    </row>
    <row r="1006" spans="2:13">
      <c r="B1006" s="3">
        <v>43515</v>
      </c>
      <c r="C1006" s="5">
        <v>44.83</v>
      </c>
      <c r="D1006" s="5">
        <v>45.32</v>
      </c>
      <c r="E1006" s="5">
        <v>45.59</v>
      </c>
      <c r="F1006" s="5">
        <v>44.77</v>
      </c>
      <c r="G1006" s="18" t="s">
        <v>1007</v>
      </c>
      <c r="H1006" s="2">
        <v>-9.1000000000000004E-3</v>
      </c>
      <c r="I1006" s="16">
        <f t="shared" si="78"/>
        <v>-9.0627763041556952E-3</v>
      </c>
      <c r="J1006" s="16">
        <f t="shared" si="79"/>
        <v>0.99093722369584425</v>
      </c>
      <c r="K1006" s="16">
        <f t="shared" si="80"/>
        <v>48.257368421052632</v>
      </c>
      <c r="L1006" s="16">
        <f t="shared" si="76"/>
        <v>47.952448979591829</v>
      </c>
      <c r="M1006" s="25" t="str">
        <f t="shared" si="77"/>
        <v>HOLD</v>
      </c>
    </row>
    <row r="1007" spans="2:13">
      <c r="B1007" s="3">
        <v>43516</v>
      </c>
      <c r="C1007" s="5">
        <v>45.1</v>
      </c>
      <c r="D1007" s="5">
        <v>44.91</v>
      </c>
      <c r="E1007" s="5">
        <v>45.24</v>
      </c>
      <c r="F1007" s="5">
        <v>44.8</v>
      </c>
      <c r="G1007" s="18" t="s">
        <v>883</v>
      </c>
      <c r="H1007" s="2">
        <v>6.0000000000000001E-3</v>
      </c>
      <c r="I1007" s="16">
        <f t="shared" si="78"/>
        <v>6.0227526210127847E-3</v>
      </c>
      <c r="J1007" s="16">
        <f t="shared" si="79"/>
        <v>1.0060227526210128</v>
      </c>
      <c r="K1007" s="16">
        <f t="shared" si="80"/>
        <v>48.10526315789474</v>
      </c>
      <c r="L1007" s="16">
        <f t="shared" si="76"/>
        <v>47.859591836734694</v>
      </c>
      <c r="M1007" s="25" t="str">
        <f t="shared" si="77"/>
        <v>HOLD</v>
      </c>
    </row>
    <row r="1008" spans="2:13">
      <c r="B1008" s="3">
        <v>43517</v>
      </c>
      <c r="C1008" s="5">
        <v>45.86</v>
      </c>
      <c r="D1008" s="5">
        <v>45</v>
      </c>
      <c r="E1008" s="5">
        <v>45.91</v>
      </c>
      <c r="F1008" s="5">
        <v>44.96</v>
      </c>
      <c r="G1008" s="18" t="s">
        <v>761</v>
      </c>
      <c r="H1008" s="2">
        <v>1.6899999999999998E-2</v>
      </c>
      <c r="I1008" s="16">
        <f t="shared" si="78"/>
        <v>1.6851441241685101E-2</v>
      </c>
      <c r="J1008" s="16">
        <f t="shared" si="79"/>
        <v>1.0168514412416851</v>
      </c>
      <c r="K1008" s="16">
        <f t="shared" si="80"/>
        <v>47.938421052631583</v>
      </c>
      <c r="L1008" s="16">
        <f t="shared" si="76"/>
        <v>47.778163265306112</v>
      </c>
      <c r="M1008" s="25" t="str">
        <f t="shared" si="77"/>
        <v>HOLD</v>
      </c>
    </row>
    <row r="1009" spans="2:13">
      <c r="B1009" s="3">
        <v>43518</v>
      </c>
      <c r="C1009" s="5">
        <v>45.28</v>
      </c>
      <c r="D1009" s="5">
        <v>45.76</v>
      </c>
      <c r="E1009" s="5">
        <v>45.95</v>
      </c>
      <c r="F1009" s="5">
        <v>45.2</v>
      </c>
      <c r="G1009" s="18" t="s">
        <v>1006</v>
      </c>
      <c r="H1009" s="2">
        <v>-1.26E-2</v>
      </c>
      <c r="I1009" s="16">
        <f t="shared" si="78"/>
        <v>-1.2647187091146933E-2</v>
      </c>
      <c r="J1009" s="16">
        <f t="shared" si="79"/>
        <v>0.98735281290885302</v>
      </c>
      <c r="K1009" s="16">
        <f t="shared" si="80"/>
        <v>47.842105263157897</v>
      </c>
      <c r="L1009" s="16">
        <f t="shared" si="76"/>
        <v>47.70918367346939</v>
      </c>
      <c r="M1009" s="25" t="str">
        <f t="shared" si="77"/>
        <v>HOLD</v>
      </c>
    </row>
    <row r="1010" spans="2:13">
      <c r="B1010" s="3">
        <v>43521</v>
      </c>
      <c r="C1010" s="5">
        <v>44.94</v>
      </c>
      <c r="D1010" s="5">
        <v>45.44</v>
      </c>
      <c r="E1010" s="5">
        <v>45.57</v>
      </c>
      <c r="F1010" s="5">
        <v>44.84</v>
      </c>
      <c r="G1010" s="18" t="s">
        <v>1005</v>
      </c>
      <c r="H1010" s="2">
        <v>-7.4999999999999997E-3</v>
      </c>
      <c r="I1010" s="16">
        <f t="shared" si="78"/>
        <v>-7.5088339222615591E-3</v>
      </c>
      <c r="J1010" s="16">
        <f t="shared" si="79"/>
        <v>0.99249116607773846</v>
      </c>
      <c r="K1010" s="16">
        <f t="shared" si="80"/>
        <v>47.732105263157891</v>
      </c>
      <c r="L1010" s="16">
        <f t="shared" si="76"/>
        <v>47.622244897959199</v>
      </c>
      <c r="M1010" s="25" t="str">
        <f t="shared" si="77"/>
        <v>HOLD</v>
      </c>
    </row>
    <row r="1011" spans="2:13">
      <c r="B1011" s="3">
        <v>43522</v>
      </c>
      <c r="C1011" s="5">
        <v>44.69</v>
      </c>
      <c r="D1011" s="5">
        <v>45.1</v>
      </c>
      <c r="E1011" s="5">
        <v>45.14</v>
      </c>
      <c r="F1011" s="5">
        <v>44.66</v>
      </c>
      <c r="G1011" s="18" t="s">
        <v>1004</v>
      </c>
      <c r="H1011" s="2">
        <v>-5.5999999999999999E-3</v>
      </c>
      <c r="I1011" s="16">
        <f t="shared" si="78"/>
        <v>-5.5629728526924794E-3</v>
      </c>
      <c r="J1011" s="16">
        <f t="shared" si="79"/>
        <v>0.99443702714730753</v>
      </c>
      <c r="K1011" s="16">
        <f t="shared" si="80"/>
        <v>47.614736842105266</v>
      </c>
      <c r="L1011" s="16">
        <f t="shared" si="76"/>
        <v>47.534897959183681</v>
      </c>
      <c r="M1011" s="25" t="str">
        <f t="shared" si="77"/>
        <v>HOLD</v>
      </c>
    </row>
    <row r="1012" spans="2:13">
      <c r="B1012" s="3">
        <v>43523</v>
      </c>
      <c r="C1012" s="5">
        <v>44.94</v>
      </c>
      <c r="D1012" s="5">
        <v>44.6</v>
      </c>
      <c r="E1012" s="5">
        <v>45.02</v>
      </c>
      <c r="F1012" s="5">
        <v>44.42</v>
      </c>
      <c r="G1012" s="18" t="s">
        <v>753</v>
      </c>
      <c r="H1012" s="2">
        <v>5.5999999999999999E-3</v>
      </c>
      <c r="I1012" s="16">
        <f t="shared" si="78"/>
        <v>5.5940926381740884E-3</v>
      </c>
      <c r="J1012" s="16">
        <f t="shared" si="79"/>
        <v>1.0055940926381741</v>
      </c>
      <c r="K1012" s="16">
        <f t="shared" si="80"/>
        <v>47.472105263157893</v>
      </c>
      <c r="L1012" s="16">
        <f t="shared" si="76"/>
        <v>47.437346938775519</v>
      </c>
      <c r="M1012" s="25" t="str">
        <f t="shared" si="77"/>
        <v>HOLD</v>
      </c>
    </row>
    <row r="1013" spans="2:13">
      <c r="B1013" s="3">
        <v>43524</v>
      </c>
      <c r="C1013" s="5">
        <v>45.34</v>
      </c>
      <c r="D1013" s="5">
        <v>45.12</v>
      </c>
      <c r="E1013" s="5">
        <v>45.61</v>
      </c>
      <c r="F1013" s="5">
        <v>45.11</v>
      </c>
      <c r="G1013" s="18" t="s">
        <v>1003</v>
      </c>
      <c r="H1013" s="2">
        <v>8.8999999999999999E-3</v>
      </c>
      <c r="I1013" s="16">
        <f t="shared" si="78"/>
        <v>8.9007565643080926E-3</v>
      </c>
      <c r="J1013" s="16">
        <f t="shared" si="79"/>
        <v>1.008900756564308</v>
      </c>
      <c r="K1013" s="16">
        <f t="shared" si="80"/>
        <v>47.318421052631585</v>
      </c>
      <c r="L1013" s="16">
        <f t="shared" si="76"/>
        <v>47.347551020408176</v>
      </c>
      <c r="M1013" s="25" t="str">
        <f t="shared" si="77"/>
        <v>SELL</v>
      </c>
    </row>
    <row r="1014" spans="2:13">
      <c r="B1014" s="3">
        <v>43525</v>
      </c>
      <c r="C1014" s="5">
        <v>45.38</v>
      </c>
      <c r="D1014" s="5">
        <v>45.47</v>
      </c>
      <c r="E1014" s="5">
        <v>45.64</v>
      </c>
      <c r="F1014" s="5">
        <v>45.2</v>
      </c>
      <c r="G1014" s="18" t="s">
        <v>1002</v>
      </c>
      <c r="H1014" s="2">
        <v>8.9999999999999998E-4</v>
      </c>
      <c r="I1014" s="16">
        <f t="shared" si="78"/>
        <v>8.8222320247020609E-4</v>
      </c>
      <c r="J1014" s="16">
        <f t="shared" si="79"/>
        <v>1.0008822232024701</v>
      </c>
      <c r="K1014" s="16">
        <f t="shared" si="80"/>
        <v>47.171578947368424</v>
      </c>
      <c r="L1014" s="16">
        <f t="shared" si="76"/>
        <v>47.28653061224491</v>
      </c>
      <c r="M1014" s="25" t="str">
        <f t="shared" si="77"/>
        <v>HOLD</v>
      </c>
    </row>
    <row r="1015" spans="2:13">
      <c r="B1015" s="3">
        <v>43528</v>
      </c>
      <c r="C1015" s="5">
        <v>45.65</v>
      </c>
      <c r="D1015" s="5">
        <v>45.53</v>
      </c>
      <c r="E1015" s="5">
        <v>45.67</v>
      </c>
      <c r="F1015" s="5">
        <v>45.3</v>
      </c>
      <c r="G1015" s="18" t="s">
        <v>365</v>
      </c>
      <c r="H1015" s="2">
        <v>5.8999999999999999E-3</v>
      </c>
      <c r="I1015" s="16">
        <f t="shared" si="78"/>
        <v>5.9497576024679592E-3</v>
      </c>
      <c r="J1015" s="16">
        <f t="shared" si="79"/>
        <v>1.0059497576024679</v>
      </c>
      <c r="K1015" s="16">
        <f t="shared" si="80"/>
        <v>46.99684210526317</v>
      </c>
      <c r="L1015" s="16">
        <f t="shared" si="76"/>
        <v>47.226530612244908</v>
      </c>
      <c r="M1015" s="25" t="str">
        <f t="shared" si="77"/>
        <v>HOLD</v>
      </c>
    </row>
    <row r="1016" spans="2:13">
      <c r="B1016" s="3">
        <v>43529</v>
      </c>
      <c r="C1016" s="5">
        <v>45.6</v>
      </c>
      <c r="D1016" s="5">
        <v>45.65</v>
      </c>
      <c r="E1016" s="5">
        <v>45.7</v>
      </c>
      <c r="F1016" s="5">
        <v>45.4</v>
      </c>
      <c r="G1016" s="18" t="s">
        <v>1001</v>
      </c>
      <c r="H1016" s="2">
        <v>-1.1000000000000001E-3</v>
      </c>
      <c r="I1016" s="16">
        <f t="shared" si="78"/>
        <v>-1.0952902519166957E-3</v>
      </c>
      <c r="J1016" s="16">
        <f t="shared" si="79"/>
        <v>0.99890470974808332</v>
      </c>
      <c r="K1016" s="16">
        <f t="shared" si="80"/>
        <v>46.807368421052637</v>
      </c>
      <c r="L1016" s="16">
        <f t="shared" si="76"/>
        <v>47.180612244897965</v>
      </c>
      <c r="M1016" s="25" t="str">
        <f t="shared" si="77"/>
        <v>HOLD</v>
      </c>
    </row>
    <row r="1017" spans="2:13">
      <c r="B1017" s="3">
        <v>43530</v>
      </c>
      <c r="C1017" s="5">
        <v>45.45</v>
      </c>
      <c r="D1017" s="5">
        <v>45.67</v>
      </c>
      <c r="E1017" s="5">
        <v>45.78</v>
      </c>
      <c r="F1017" s="5">
        <v>45.44</v>
      </c>
      <c r="G1017" s="18" t="s">
        <v>1000</v>
      </c>
      <c r="H1017" s="2">
        <v>-3.3E-3</v>
      </c>
      <c r="I1017" s="16">
        <f t="shared" si="78"/>
        <v>-3.2894736842104949E-3</v>
      </c>
      <c r="J1017" s="16">
        <f t="shared" si="79"/>
        <v>0.99671052631578949</v>
      </c>
      <c r="K1017" s="16">
        <f t="shared" si="80"/>
        <v>46.614736842105266</v>
      </c>
      <c r="L1017" s="16">
        <f t="shared" ref="L1017:L1080" si="81">AVERAGE(C968:C1016)</f>
        <v>47.141020408163271</v>
      </c>
      <c r="M1017" s="25" t="str">
        <f t="shared" ref="M1017:M1080" si="82">IF(AND(K1017&gt;L1017,K1016&lt;=L1016),"BUY",IF(AND(K1017&lt;L1017,K1016&gt;=L1016),"SELL","HOLD"))</f>
        <v>HOLD</v>
      </c>
    </row>
    <row r="1018" spans="2:13">
      <c r="B1018" s="3">
        <v>43531</v>
      </c>
      <c r="C1018" s="5">
        <v>45.28</v>
      </c>
      <c r="D1018" s="5">
        <v>45.49</v>
      </c>
      <c r="E1018" s="5">
        <v>45.53</v>
      </c>
      <c r="F1018" s="5">
        <v>45.12</v>
      </c>
      <c r="G1018" s="18" t="s">
        <v>141</v>
      </c>
      <c r="H1018" s="2">
        <v>-3.7000000000000002E-3</v>
      </c>
      <c r="I1018" s="16">
        <f t="shared" si="78"/>
        <v>-3.7403740374037779E-3</v>
      </c>
      <c r="J1018" s="16">
        <f t="shared" si="79"/>
        <v>0.99625962596259621</v>
      </c>
      <c r="K1018" s="16">
        <f t="shared" si="80"/>
        <v>46.414210526315799</v>
      </c>
      <c r="L1018" s="16">
        <f t="shared" si="81"/>
        <v>47.097755102040814</v>
      </c>
      <c r="M1018" s="25" t="str">
        <f t="shared" si="82"/>
        <v>HOLD</v>
      </c>
    </row>
    <row r="1019" spans="2:13">
      <c r="B1019" s="3">
        <v>43532</v>
      </c>
      <c r="C1019" s="5">
        <v>44.84</v>
      </c>
      <c r="D1019" s="5">
        <v>45.15</v>
      </c>
      <c r="E1019" s="5">
        <v>45.25</v>
      </c>
      <c r="F1019" s="5">
        <v>44.61</v>
      </c>
      <c r="G1019" s="18" t="s">
        <v>62</v>
      </c>
      <c r="H1019" s="2">
        <v>-9.7000000000000003E-3</v>
      </c>
      <c r="I1019" s="16">
        <f t="shared" si="78"/>
        <v>-9.7173144876324582E-3</v>
      </c>
      <c r="J1019" s="16">
        <f t="shared" si="79"/>
        <v>0.99028268551236753</v>
      </c>
      <c r="K1019" s="16">
        <f t="shared" si="80"/>
        <v>46.196315789473694</v>
      </c>
      <c r="L1019" s="16">
        <f t="shared" si="81"/>
        <v>47.083877551020407</v>
      </c>
      <c r="M1019" s="25" t="str">
        <f t="shared" si="82"/>
        <v>HOLD</v>
      </c>
    </row>
    <row r="1020" spans="2:13">
      <c r="B1020" s="3">
        <v>43535</v>
      </c>
      <c r="C1020" s="5">
        <v>46.18</v>
      </c>
      <c r="D1020" s="5">
        <v>45.14</v>
      </c>
      <c r="E1020" s="5">
        <v>46.23</v>
      </c>
      <c r="F1020" s="5">
        <v>45.1</v>
      </c>
      <c r="G1020" s="18" t="s">
        <v>999</v>
      </c>
      <c r="H1020" s="2">
        <v>2.9899999999999999E-2</v>
      </c>
      <c r="I1020" s="16">
        <f t="shared" si="78"/>
        <v>2.9884032114183681E-2</v>
      </c>
      <c r="J1020" s="16">
        <f t="shared" si="79"/>
        <v>1.0298840321141838</v>
      </c>
      <c r="K1020" s="16">
        <f t="shared" si="80"/>
        <v>45.951052631578953</v>
      </c>
      <c r="L1020" s="16">
        <f t="shared" si="81"/>
        <v>47.041020408163263</v>
      </c>
      <c r="M1020" s="25" t="str">
        <f t="shared" si="82"/>
        <v>HOLD</v>
      </c>
    </row>
    <row r="1021" spans="2:13">
      <c r="B1021" s="3">
        <v>43536</v>
      </c>
      <c r="C1021" s="5">
        <v>46.05</v>
      </c>
      <c r="D1021" s="5">
        <v>45.95</v>
      </c>
      <c r="E1021" s="5">
        <v>46.25</v>
      </c>
      <c r="F1021" s="5">
        <v>45.9</v>
      </c>
      <c r="G1021" s="18" t="s">
        <v>202</v>
      </c>
      <c r="H1021" s="2">
        <v>-2.8E-3</v>
      </c>
      <c r="I1021" s="16">
        <f t="shared" si="78"/>
        <v>-2.815071459506335E-3</v>
      </c>
      <c r="J1021" s="16">
        <f t="shared" si="79"/>
        <v>0.99718492854049368</v>
      </c>
      <c r="K1021" s="16">
        <f t="shared" si="80"/>
        <v>45.770526315789475</v>
      </c>
      <c r="L1021" s="16">
        <f t="shared" si="81"/>
        <v>47.013469387755102</v>
      </c>
      <c r="M1021" s="25" t="str">
        <f t="shared" si="82"/>
        <v>HOLD</v>
      </c>
    </row>
    <row r="1022" spans="2:13">
      <c r="B1022" s="3">
        <v>43537</v>
      </c>
      <c r="C1022" s="5">
        <v>46.22</v>
      </c>
      <c r="D1022" s="5">
        <v>46.13</v>
      </c>
      <c r="E1022" s="5">
        <v>46.34</v>
      </c>
      <c r="F1022" s="5">
        <v>45.91</v>
      </c>
      <c r="G1022" s="18" t="s">
        <v>493</v>
      </c>
      <c r="H1022" s="2">
        <v>3.7000000000000002E-3</v>
      </c>
      <c r="I1022" s="16">
        <f t="shared" si="78"/>
        <v>3.6916395222584522E-3</v>
      </c>
      <c r="J1022" s="16">
        <f t="shared" si="79"/>
        <v>1.0036916395222584</v>
      </c>
      <c r="K1022" s="16">
        <f t="shared" si="80"/>
        <v>45.580526315789463</v>
      </c>
      <c r="L1022" s="16">
        <f t="shared" si="81"/>
        <v>46.99</v>
      </c>
      <c r="M1022" s="25" t="str">
        <f t="shared" si="82"/>
        <v>HOLD</v>
      </c>
    </row>
    <row r="1023" spans="2:13">
      <c r="B1023" s="3">
        <v>43538</v>
      </c>
      <c r="C1023" s="5">
        <v>45.7</v>
      </c>
      <c r="D1023" s="5">
        <v>45.84</v>
      </c>
      <c r="E1023" s="5">
        <v>46.11</v>
      </c>
      <c r="F1023" s="5">
        <v>45.63</v>
      </c>
      <c r="G1023" s="18" t="s">
        <v>998</v>
      </c>
      <c r="H1023" s="2">
        <v>-1.1299999999999999E-2</v>
      </c>
      <c r="I1023" s="16">
        <f t="shared" si="78"/>
        <v>-1.1250540891388923E-2</v>
      </c>
      <c r="J1023" s="16">
        <f t="shared" si="79"/>
        <v>0.98874945910861112</v>
      </c>
      <c r="K1023" s="16">
        <f t="shared" si="80"/>
        <v>45.392631578947366</v>
      </c>
      <c r="L1023" s="16">
        <f t="shared" si="81"/>
        <v>46.966938775510194</v>
      </c>
      <c r="M1023" s="25" t="str">
        <f t="shared" si="82"/>
        <v>HOLD</v>
      </c>
    </row>
    <row r="1024" spans="2:13">
      <c r="B1024" s="3">
        <v>43539</v>
      </c>
      <c r="C1024" s="5">
        <v>45.3</v>
      </c>
      <c r="D1024" s="5">
        <v>45.72</v>
      </c>
      <c r="E1024" s="5">
        <v>45.9</v>
      </c>
      <c r="F1024" s="5">
        <v>45.14</v>
      </c>
      <c r="G1024" s="18" t="s">
        <v>997</v>
      </c>
      <c r="H1024" s="2">
        <v>-8.8000000000000005E-3</v>
      </c>
      <c r="I1024" s="16">
        <f t="shared" si="78"/>
        <v>-8.7527352297594244E-3</v>
      </c>
      <c r="J1024" s="16">
        <f t="shared" si="79"/>
        <v>0.99124726477024061</v>
      </c>
      <c r="K1024" s="16">
        <f t="shared" si="80"/>
        <v>45.398421052631583</v>
      </c>
      <c r="L1024" s="16">
        <f t="shared" si="81"/>
        <v>46.941836734693872</v>
      </c>
      <c r="M1024" s="25" t="str">
        <f t="shared" si="82"/>
        <v>HOLD</v>
      </c>
    </row>
    <row r="1025" spans="2:13">
      <c r="B1025" s="3">
        <v>43542</v>
      </c>
      <c r="C1025" s="5">
        <v>45.41</v>
      </c>
      <c r="D1025" s="5">
        <v>45.43</v>
      </c>
      <c r="E1025" s="5">
        <v>45.68</v>
      </c>
      <c r="F1025" s="5">
        <v>45.36</v>
      </c>
      <c r="G1025" s="18" t="s">
        <v>996</v>
      </c>
      <c r="H1025" s="2">
        <v>2.3999999999999998E-3</v>
      </c>
      <c r="I1025" s="16">
        <f t="shared" si="78"/>
        <v>2.428256070640164E-3</v>
      </c>
      <c r="J1025" s="16">
        <f t="shared" si="79"/>
        <v>1.0024282560706401</v>
      </c>
      <c r="K1025" s="16">
        <f t="shared" si="80"/>
        <v>45.401578947368421</v>
      </c>
      <c r="L1025" s="16">
        <f t="shared" si="81"/>
        <v>46.914489795918364</v>
      </c>
      <c r="M1025" s="25" t="str">
        <f t="shared" si="82"/>
        <v>HOLD</v>
      </c>
    </row>
    <row r="1026" spans="2:13">
      <c r="B1026" s="3">
        <v>43543</v>
      </c>
      <c r="C1026" s="5">
        <v>45.56</v>
      </c>
      <c r="D1026" s="5">
        <v>45.55</v>
      </c>
      <c r="E1026" s="5">
        <v>45.69</v>
      </c>
      <c r="F1026" s="5">
        <v>45.34</v>
      </c>
      <c r="G1026" s="18" t="s">
        <v>995</v>
      </c>
      <c r="H1026" s="2">
        <v>3.3E-3</v>
      </c>
      <c r="I1026" s="16">
        <f t="shared" si="78"/>
        <v>3.3032371724291058E-3</v>
      </c>
      <c r="J1026" s="16">
        <f t="shared" si="79"/>
        <v>1.0033032371724291</v>
      </c>
      <c r="K1026" s="16">
        <f t="shared" si="80"/>
        <v>45.432105263157894</v>
      </c>
      <c r="L1026" s="16">
        <f t="shared" si="81"/>
        <v>46.870408163265296</v>
      </c>
      <c r="M1026" s="25" t="str">
        <f t="shared" si="82"/>
        <v>HOLD</v>
      </c>
    </row>
    <row r="1027" spans="2:13">
      <c r="B1027" s="3">
        <v>43544</v>
      </c>
      <c r="C1027" s="5">
        <v>45.53</v>
      </c>
      <c r="D1027" s="5">
        <v>45.4</v>
      </c>
      <c r="E1027" s="5">
        <v>45.9</v>
      </c>
      <c r="F1027" s="5">
        <v>45.18</v>
      </c>
      <c r="G1027" s="18" t="s">
        <v>86</v>
      </c>
      <c r="H1027" s="2">
        <v>-6.9999999999999999E-4</v>
      </c>
      <c r="I1027" s="16">
        <f t="shared" si="78"/>
        <v>-6.5847234416157013E-4</v>
      </c>
      <c r="J1027" s="16">
        <f t="shared" si="79"/>
        <v>0.99934152765583839</v>
      </c>
      <c r="K1027" s="16">
        <f t="shared" si="80"/>
        <v>45.456315789473678</v>
      </c>
      <c r="L1027" s="16">
        <f t="shared" si="81"/>
        <v>46.842040816326517</v>
      </c>
      <c r="M1027" s="25" t="str">
        <f t="shared" si="82"/>
        <v>HOLD</v>
      </c>
    </row>
    <row r="1028" spans="2:13">
      <c r="B1028" s="3">
        <v>43545</v>
      </c>
      <c r="C1028" s="5">
        <v>45.51</v>
      </c>
      <c r="D1028" s="5">
        <v>45.53</v>
      </c>
      <c r="E1028" s="5">
        <v>45.76</v>
      </c>
      <c r="F1028" s="5">
        <v>45.44</v>
      </c>
      <c r="G1028" s="18" t="s">
        <v>674</v>
      </c>
      <c r="H1028" s="2">
        <v>-4.0000000000000002E-4</v>
      </c>
      <c r="I1028" s="16">
        <f t="shared" si="78"/>
        <v>-4.3927081045471393E-4</v>
      </c>
      <c r="J1028" s="16">
        <f t="shared" si="79"/>
        <v>0.99956072918954531</v>
      </c>
      <c r="K1028" s="16">
        <f t="shared" si="80"/>
        <v>45.438947368421047</v>
      </c>
      <c r="L1028" s="16">
        <f t="shared" si="81"/>
        <v>46.80224489795917</v>
      </c>
      <c r="M1028" s="25" t="str">
        <f t="shared" si="82"/>
        <v>HOLD</v>
      </c>
    </row>
    <row r="1029" spans="2:13">
      <c r="B1029" s="3">
        <v>43546</v>
      </c>
      <c r="C1029" s="5">
        <v>45.93</v>
      </c>
      <c r="D1029" s="5">
        <v>45.46</v>
      </c>
      <c r="E1029" s="5">
        <v>46.1</v>
      </c>
      <c r="F1029" s="5">
        <v>45.46</v>
      </c>
      <c r="G1029" s="18" t="s">
        <v>994</v>
      </c>
      <c r="H1029" s="2">
        <v>9.1999999999999998E-3</v>
      </c>
      <c r="I1029" s="16">
        <f t="shared" si="78"/>
        <v>9.2287409360580479E-3</v>
      </c>
      <c r="J1029" s="16">
        <f t="shared" si="79"/>
        <v>1.0092287409360581</v>
      </c>
      <c r="K1029" s="16">
        <f t="shared" si="80"/>
        <v>45.451052631578946</v>
      </c>
      <c r="L1029" s="16">
        <f t="shared" si="81"/>
        <v>46.780612244897959</v>
      </c>
      <c r="M1029" s="25" t="str">
        <f t="shared" si="82"/>
        <v>HOLD</v>
      </c>
    </row>
    <row r="1030" spans="2:13">
      <c r="B1030" s="3">
        <v>43549</v>
      </c>
      <c r="C1030" s="5">
        <v>46.03</v>
      </c>
      <c r="D1030" s="5">
        <v>45.86</v>
      </c>
      <c r="E1030" s="5">
        <v>46.2</v>
      </c>
      <c r="F1030" s="5">
        <v>45.79</v>
      </c>
      <c r="G1030" s="18" t="s">
        <v>216</v>
      </c>
      <c r="H1030" s="2">
        <v>2.2000000000000001E-3</v>
      </c>
      <c r="I1030" s="16">
        <f t="shared" si="78"/>
        <v>2.1772262138036453E-3</v>
      </c>
      <c r="J1030" s="16">
        <f t="shared" si="79"/>
        <v>1.0021772262138036</v>
      </c>
      <c r="K1030" s="16">
        <f t="shared" si="80"/>
        <v>45.503157894736844</v>
      </c>
      <c r="L1030" s="16">
        <f t="shared" si="81"/>
        <v>46.757346938775513</v>
      </c>
      <c r="M1030" s="25" t="str">
        <f t="shared" si="82"/>
        <v>HOLD</v>
      </c>
    </row>
    <row r="1031" spans="2:13">
      <c r="B1031" s="3">
        <v>43550</v>
      </c>
      <c r="C1031" s="5">
        <v>46.64</v>
      </c>
      <c r="D1031" s="5">
        <v>46.17</v>
      </c>
      <c r="E1031" s="5">
        <v>46.79</v>
      </c>
      <c r="F1031" s="5">
        <v>46.17</v>
      </c>
      <c r="G1031" s="18" t="s">
        <v>157</v>
      </c>
      <c r="H1031" s="2">
        <v>1.3299999999999999E-2</v>
      </c>
      <c r="I1031" s="16">
        <f t="shared" si="78"/>
        <v>1.3252226808603072E-2</v>
      </c>
      <c r="J1031" s="16">
        <f t="shared" si="79"/>
        <v>1.0132522268086031</v>
      </c>
      <c r="K1031" s="16">
        <f t="shared" si="80"/>
        <v>45.573684210526316</v>
      </c>
      <c r="L1031" s="16">
        <f t="shared" si="81"/>
        <v>46.730612244897962</v>
      </c>
      <c r="M1031" s="25" t="str">
        <f t="shared" si="82"/>
        <v>HOLD</v>
      </c>
    </row>
    <row r="1032" spans="2:13">
      <c r="B1032" s="3">
        <v>43551</v>
      </c>
      <c r="C1032" s="5">
        <v>46.61</v>
      </c>
      <c r="D1032" s="5">
        <v>46.65</v>
      </c>
      <c r="E1032" s="5">
        <v>46.91</v>
      </c>
      <c r="F1032" s="5">
        <v>46.33</v>
      </c>
      <c r="G1032" s="18" t="s">
        <v>190</v>
      </c>
      <c r="H1032" s="2">
        <v>-5.9999999999999995E-4</v>
      </c>
      <c r="I1032" s="16">
        <f t="shared" si="78"/>
        <v>-6.4322469982849774E-4</v>
      </c>
      <c r="J1032" s="16">
        <f t="shared" si="79"/>
        <v>0.99935677530017153</v>
      </c>
      <c r="K1032" s="16">
        <f t="shared" si="80"/>
        <v>45.663157894736834</v>
      </c>
      <c r="L1032" s="16">
        <f t="shared" si="81"/>
        <v>46.720204081632659</v>
      </c>
      <c r="M1032" s="25" t="str">
        <f t="shared" si="82"/>
        <v>HOLD</v>
      </c>
    </row>
    <row r="1033" spans="2:13">
      <c r="B1033" s="3">
        <v>43552</v>
      </c>
      <c r="C1033" s="5">
        <v>46.58</v>
      </c>
      <c r="D1033" s="5">
        <v>46.68</v>
      </c>
      <c r="E1033" s="5">
        <v>46.92</v>
      </c>
      <c r="F1033" s="5">
        <v>46.48</v>
      </c>
      <c r="G1033" s="18" t="s">
        <v>993</v>
      </c>
      <c r="H1033" s="2">
        <v>-5.9999999999999995E-4</v>
      </c>
      <c r="I1033" s="16">
        <f t="shared" ref="I1033:I1096" si="83">(C1033-C1032)/C1032</f>
        <v>-6.4363870414076672E-4</v>
      </c>
      <c r="J1033" s="16">
        <f t="shared" ref="J1033:J1096" si="84">C1033/C1032</f>
        <v>0.99935636129585925</v>
      </c>
      <c r="K1033" s="16">
        <f t="shared" si="80"/>
        <v>45.72999999999999</v>
      </c>
      <c r="L1033" s="16">
        <f t="shared" si="81"/>
        <v>46.700612244897968</v>
      </c>
      <c r="M1033" s="25" t="str">
        <f t="shared" si="82"/>
        <v>HOLD</v>
      </c>
    </row>
    <row r="1034" spans="2:13">
      <c r="B1034" s="3">
        <v>43553</v>
      </c>
      <c r="C1034" s="5">
        <v>46.86</v>
      </c>
      <c r="D1034" s="5">
        <v>46.67</v>
      </c>
      <c r="E1034" s="5">
        <v>46.91</v>
      </c>
      <c r="F1034" s="5">
        <v>46.48</v>
      </c>
      <c r="G1034" s="18" t="s">
        <v>977</v>
      </c>
      <c r="H1034" s="2">
        <v>6.0000000000000001E-3</v>
      </c>
      <c r="I1034" s="16">
        <f t="shared" si="83"/>
        <v>6.0111635895234257E-3</v>
      </c>
      <c r="J1034" s="16">
        <f t="shared" si="84"/>
        <v>1.0060111635895235</v>
      </c>
      <c r="K1034" s="16">
        <f t="shared" si="80"/>
        <v>45.793157894736837</v>
      </c>
      <c r="L1034" s="16">
        <f t="shared" si="81"/>
        <v>46.693673469387754</v>
      </c>
      <c r="M1034" s="25" t="str">
        <f t="shared" si="82"/>
        <v>HOLD</v>
      </c>
    </row>
    <row r="1035" spans="2:13">
      <c r="B1035" s="3">
        <v>43556</v>
      </c>
      <c r="C1035" s="5">
        <v>46.72</v>
      </c>
      <c r="D1035" s="5">
        <v>46.99</v>
      </c>
      <c r="E1035" s="5">
        <v>47.16</v>
      </c>
      <c r="F1035" s="5">
        <v>46.59</v>
      </c>
      <c r="G1035" s="18" t="s">
        <v>357</v>
      </c>
      <c r="H1035" s="2">
        <v>-3.0000000000000001E-3</v>
      </c>
      <c r="I1035" s="16">
        <f t="shared" si="83"/>
        <v>-2.9876227059325773E-3</v>
      </c>
      <c r="J1035" s="16">
        <f t="shared" si="84"/>
        <v>0.99701237729406744</v>
      </c>
      <c r="K1035" s="16">
        <f t="shared" si="80"/>
        <v>45.856842105263155</v>
      </c>
      <c r="L1035" s="16">
        <f t="shared" si="81"/>
        <v>46.689591836734692</v>
      </c>
      <c r="M1035" s="25" t="str">
        <f t="shared" si="82"/>
        <v>HOLD</v>
      </c>
    </row>
    <row r="1036" spans="2:13">
      <c r="B1036" s="3">
        <v>43557</v>
      </c>
      <c r="C1036" s="5">
        <v>46.57</v>
      </c>
      <c r="D1036" s="5">
        <v>46.75</v>
      </c>
      <c r="E1036" s="5">
        <v>46.93</v>
      </c>
      <c r="F1036" s="5">
        <v>46.57</v>
      </c>
      <c r="G1036" s="18" t="s">
        <v>782</v>
      </c>
      <c r="H1036" s="2">
        <v>-3.2000000000000002E-3</v>
      </c>
      <c r="I1036" s="16">
        <f t="shared" si="83"/>
        <v>-3.2106164383561338E-3</v>
      </c>
      <c r="J1036" s="16">
        <f t="shared" si="84"/>
        <v>0.99678938356164382</v>
      </c>
      <c r="K1036" s="16">
        <f t="shared" si="80"/>
        <v>45.915789473684207</v>
      </c>
      <c r="L1036" s="16">
        <f t="shared" si="81"/>
        <v>46.671428571428571</v>
      </c>
      <c r="M1036" s="25" t="str">
        <f t="shared" si="82"/>
        <v>HOLD</v>
      </c>
    </row>
    <row r="1037" spans="2:13">
      <c r="B1037" s="3">
        <v>43558</v>
      </c>
      <c r="C1037" s="5">
        <v>46.18</v>
      </c>
      <c r="D1037" s="5">
        <v>46.42</v>
      </c>
      <c r="E1037" s="5">
        <v>46.59</v>
      </c>
      <c r="F1037" s="5">
        <v>46.03</v>
      </c>
      <c r="G1037" s="18" t="s">
        <v>992</v>
      </c>
      <c r="H1037" s="2">
        <v>-8.3999999999999995E-3</v>
      </c>
      <c r="I1037" s="16">
        <f t="shared" si="83"/>
        <v>-8.3744900150311483E-3</v>
      </c>
      <c r="J1037" s="16">
        <f t="shared" si="84"/>
        <v>0.9916255099849689</v>
      </c>
      <c r="K1037" s="16">
        <f t="shared" si="80"/>
        <v>45.974736842105266</v>
      </c>
      <c r="L1037" s="16">
        <f t="shared" si="81"/>
        <v>46.647959183673478</v>
      </c>
      <c r="M1037" s="25" t="str">
        <f t="shared" si="82"/>
        <v>HOLD</v>
      </c>
    </row>
    <row r="1038" spans="2:13">
      <c r="B1038" s="3">
        <v>43559</v>
      </c>
      <c r="C1038" s="5">
        <v>46.48</v>
      </c>
      <c r="D1038" s="5">
        <v>46.34</v>
      </c>
      <c r="E1038" s="5">
        <v>46.54</v>
      </c>
      <c r="F1038" s="5">
        <v>46.11</v>
      </c>
      <c r="G1038" s="18" t="s">
        <v>991</v>
      </c>
      <c r="H1038" s="2">
        <v>6.4999999999999997E-3</v>
      </c>
      <c r="I1038" s="16">
        <f t="shared" si="83"/>
        <v>6.4963187527067381E-3</v>
      </c>
      <c r="J1038" s="16">
        <f t="shared" si="84"/>
        <v>1.0064963187527067</v>
      </c>
      <c r="K1038" s="16">
        <f t="shared" si="80"/>
        <v>46.022105263157904</v>
      </c>
      <c r="L1038" s="16">
        <f t="shared" si="81"/>
        <v>46.605306122448987</v>
      </c>
      <c r="M1038" s="25" t="str">
        <f t="shared" si="82"/>
        <v>HOLD</v>
      </c>
    </row>
    <row r="1039" spans="2:13">
      <c r="B1039" s="3">
        <v>43560</v>
      </c>
      <c r="C1039" s="5">
        <v>46.47</v>
      </c>
      <c r="D1039" s="5">
        <v>46.49</v>
      </c>
      <c r="E1039" s="5">
        <v>46.58</v>
      </c>
      <c r="F1039" s="5">
        <v>46.2</v>
      </c>
      <c r="G1039" s="18" t="s">
        <v>990</v>
      </c>
      <c r="H1039" s="2">
        <v>-2.0000000000000001E-4</v>
      </c>
      <c r="I1039" s="16">
        <f t="shared" si="83"/>
        <v>-2.1514629948360609E-4</v>
      </c>
      <c r="J1039" s="16">
        <f t="shared" si="84"/>
        <v>0.9997848537005164</v>
      </c>
      <c r="K1039" s="16">
        <f t="shared" si="80"/>
        <v>46.108421052631591</v>
      </c>
      <c r="L1039" s="16">
        <f t="shared" si="81"/>
        <v>46.580612244897964</v>
      </c>
      <c r="M1039" s="25" t="str">
        <f t="shared" si="82"/>
        <v>HOLD</v>
      </c>
    </row>
    <row r="1040" spans="2:13">
      <c r="B1040" s="3">
        <v>43563</v>
      </c>
      <c r="C1040" s="5">
        <v>46.55</v>
      </c>
      <c r="D1040" s="5">
        <v>46.54</v>
      </c>
      <c r="E1040" s="5">
        <v>46.57</v>
      </c>
      <c r="F1040" s="5">
        <v>46.27</v>
      </c>
      <c r="G1040" s="18" t="s">
        <v>989</v>
      </c>
      <c r="H1040" s="2">
        <v>1.6999999999999999E-3</v>
      </c>
      <c r="I1040" s="16">
        <f t="shared" si="83"/>
        <v>1.7215407789971657E-3</v>
      </c>
      <c r="J1040" s="16">
        <f t="shared" si="84"/>
        <v>1.0017215407789972</v>
      </c>
      <c r="K1040" s="16">
        <f t="shared" si="80"/>
        <v>46.123684210526321</v>
      </c>
      <c r="L1040" s="16">
        <f t="shared" si="81"/>
        <v>46.562244897959175</v>
      </c>
      <c r="M1040" s="25" t="str">
        <f t="shared" si="82"/>
        <v>HOLD</v>
      </c>
    </row>
    <row r="1041" spans="2:13">
      <c r="B1041" s="3">
        <v>43564</v>
      </c>
      <c r="C1041" s="5">
        <v>46.67</v>
      </c>
      <c r="D1041" s="5">
        <v>46.45</v>
      </c>
      <c r="E1041" s="5">
        <v>46.72</v>
      </c>
      <c r="F1041" s="5">
        <v>46.27</v>
      </c>
      <c r="G1041" s="18" t="s">
        <v>100</v>
      </c>
      <c r="H1041" s="2">
        <v>2.5999999999999999E-3</v>
      </c>
      <c r="I1041" s="16">
        <f t="shared" si="83"/>
        <v>2.5778732545650817E-3</v>
      </c>
      <c r="J1041" s="16">
        <f t="shared" si="84"/>
        <v>1.0025778732545652</v>
      </c>
      <c r="K1041" s="16">
        <f t="shared" si="80"/>
        <v>46.150000000000006</v>
      </c>
      <c r="L1041" s="16">
        <f t="shared" si="81"/>
        <v>46.549591836734692</v>
      </c>
      <c r="M1041" s="25" t="str">
        <f t="shared" si="82"/>
        <v>HOLD</v>
      </c>
    </row>
    <row r="1042" spans="2:13">
      <c r="B1042" s="3">
        <v>43565</v>
      </c>
      <c r="C1042" s="5">
        <v>46.64</v>
      </c>
      <c r="D1042" s="5">
        <v>46.84</v>
      </c>
      <c r="E1042" s="5">
        <v>47</v>
      </c>
      <c r="F1042" s="5">
        <v>46.56</v>
      </c>
      <c r="G1042" s="18" t="s">
        <v>988</v>
      </c>
      <c r="H1042" s="2">
        <v>-5.9999999999999995E-4</v>
      </c>
      <c r="I1042" s="16">
        <f t="shared" si="83"/>
        <v>-6.4281122776946938E-4</v>
      </c>
      <c r="J1042" s="16">
        <f t="shared" si="84"/>
        <v>0.99935718877223056</v>
      </c>
      <c r="K1042" s="16">
        <f t="shared" si="80"/>
        <v>46.173684210526311</v>
      </c>
      <c r="L1042" s="16">
        <f t="shared" si="81"/>
        <v>46.534693877551014</v>
      </c>
      <c r="M1042" s="25" t="str">
        <f t="shared" si="82"/>
        <v>HOLD</v>
      </c>
    </row>
    <row r="1043" spans="2:13">
      <c r="B1043" s="3">
        <v>43566</v>
      </c>
      <c r="C1043" s="5">
        <v>46.71</v>
      </c>
      <c r="D1043" s="5">
        <v>46.72</v>
      </c>
      <c r="E1043" s="5">
        <v>46.75</v>
      </c>
      <c r="F1043" s="5">
        <v>46.54</v>
      </c>
      <c r="G1043" s="18" t="s">
        <v>962</v>
      </c>
      <c r="H1043" s="2">
        <v>1.5E-3</v>
      </c>
      <c r="I1043" s="16">
        <f t="shared" si="83"/>
        <v>1.5008576329331106E-3</v>
      </c>
      <c r="J1043" s="16">
        <f t="shared" si="84"/>
        <v>1.0015008576329332</v>
      </c>
      <c r="K1043" s="16">
        <f t="shared" si="80"/>
        <v>46.223157894736836</v>
      </c>
      <c r="L1043" s="16">
        <f t="shared" si="81"/>
        <v>46.509795918367345</v>
      </c>
      <c r="M1043" s="25" t="str">
        <f t="shared" si="82"/>
        <v>HOLD</v>
      </c>
    </row>
    <row r="1044" spans="2:13">
      <c r="B1044" s="3">
        <v>43567</v>
      </c>
      <c r="C1044" s="5">
        <v>46.74</v>
      </c>
      <c r="D1044" s="5">
        <v>46.67</v>
      </c>
      <c r="E1044" s="5">
        <v>46.93</v>
      </c>
      <c r="F1044" s="5">
        <v>46.57</v>
      </c>
      <c r="G1044" s="18" t="s">
        <v>23</v>
      </c>
      <c r="H1044" s="2">
        <v>5.9999999999999995E-4</v>
      </c>
      <c r="I1044" s="16">
        <f t="shared" si="83"/>
        <v>6.4226075786771863E-4</v>
      </c>
      <c r="J1044" s="16">
        <f t="shared" si="84"/>
        <v>1.0006422607578678</v>
      </c>
      <c r="K1044" s="16">
        <f t="shared" si="80"/>
        <v>46.297368421052632</v>
      </c>
      <c r="L1044" s="16">
        <f t="shared" si="81"/>
        <v>46.480816326530608</v>
      </c>
      <c r="M1044" s="25" t="str">
        <f t="shared" si="82"/>
        <v>HOLD</v>
      </c>
    </row>
    <row r="1045" spans="2:13">
      <c r="B1045" s="3">
        <v>43570</v>
      </c>
      <c r="C1045" s="5">
        <v>47</v>
      </c>
      <c r="D1045" s="5">
        <v>46.88</v>
      </c>
      <c r="E1045" s="5">
        <v>47.04</v>
      </c>
      <c r="F1045" s="5">
        <v>46.7</v>
      </c>
      <c r="G1045" s="18" t="s">
        <v>249</v>
      </c>
      <c r="H1045" s="2">
        <v>5.5999999999999999E-3</v>
      </c>
      <c r="I1045" s="16">
        <f t="shared" si="83"/>
        <v>5.5626872058193834E-3</v>
      </c>
      <c r="J1045" s="16">
        <f t="shared" si="84"/>
        <v>1.0055626872058194</v>
      </c>
      <c r="K1045" s="16">
        <f t="shared" si="80"/>
        <v>46.367368421052632</v>
      </c>
      <c r="L1045" s="16">
        <f t="shared" si="81"/>
        <v>46.440816326530609</v>
      </c>
      <c r="M1045" s="25" t="str">
        <f t="shared" si="82"/>
        <v>HOLD</v>
      </c>
    </row>
    <row r="1046" spans="2:13">
      <c r="B1046" s="3">
        <v>43571</v>
      </c>
      <c r="C1046" s="5">
        <v>46.95</v>
      </c>
      <c r="D1046" s="5">
        <v>47.05</v>
      </c>
      <c r="E1046" s="5">
        <v>47.1</v>
      </c>
      <c r="F1046" s="5">
        <v>46.7</v>
      </c>
      <c r="G1046" s="18" t="s">
        <v>950</v>
      </c>
      <c r="H1046" s="2">
        <v>-1.1000000000000001E-3</v>
      </c>
      <c r="I1046" s="16">
        <f t="shared" si="83"/>
        <v>-1.0638297872339821E-3</v>
      </c>
      <c r="J1046" s="16">
        <f t="shared" si="84"/>
        <v>0.99893617021276604</v>
      </c>
      <c r="K1046" s="16">
        <f t="shared" si="80"/>
        <v>46.443157894736842</v>
      </c>
      <c r="L1046" s="16">
        <f t="shared" si="81"/>
        <v>46.394897959183659</v>
      </c>
      <c r="M1046" s="25" t="str">
        <f t="shared" si="82"/>
        <v>BUY</v>
      </c>
    </row>
    <row r="1047" spans="2:13">
      <c r="B1047" s="3">
        <v>43572</v>
      </c>
      <c r="C1047" s="5">
        <v>47.28</v>
      </c>
      <c r="D1047" s="5">
        <v>47.2</v>
      </c>
      <c r="E1047" s="5">
        <v>47.55</v>
      </c>
      <c r="F1047" s="5">
        <v>47.15</v>
      </c>
      <c r="G1047" s="18" t="s">
        <v>987</v>
      </c>
      <c r="H1047" s="2">
        <v>7.0000000000000001E-3</v>
      </c>
      <c r="I1047" s="16">
        <f t="shared" si="83"/>
        <v>7.0287539936101867E-3</v>
      </c>
      <c r="J1047" s="16">
        <f t="shared" si="84"/>
        <v>1.0070287539936102</v>
      </c>
      <c r="K1047" s="16">
        <f t="shared" si="80"/>
        <v>46.517894736842109</v>
      </c>
      <c r="L1047" s="16">
        <f t="shared" si="81"/>
        <v>46.347755102040807</v>
      </c>
      <c r="M1047" s="25" t="str">
        <f t="shared" si="82"/>
        <v>HOLD</v>
      </c>
    </row>
    <row r="1048" spans="2:13">
      <c r="B1048" s="3">
        <v>43573</v>
      </c>
      <c r="C1048" s="5">
        <v>47.48</v>
      </c>
      <c r="D1048" s="5">
        <v>47.33</v>
      </c>
      <c r="E1048" s="5">
        <v>47.58</v>
      </c>
      <c r="F1048" s="5">
        <v>47.27</v>
      </c>
      <c r="G1048" s="18" t="s">
        <v>986</v>
      </c>
      <c r="H1048" s="2">
        <v>4.1999999999999997E-3</v>
      </c>
      <c r="I1048" s="16">
        <f t="shared" si="83"/>
        <v>4.2301184433163226E-3</v>
      </c>
      <c r="J1048" s="16">
        <f t="shared" si="84"/>
        <v>1.0042301184433162</v>
      </c>
      <c r="K1048" s="16">
        <f t="shared" si="80"/>
        <v>46.61105263157895</v>
      </c>
      <c r="L1048" s="16">
        <f t="shared" si="81"/>
        <v>46.30734693877551</v>
      </c>
      <c r="M1048" s="25" t="str">
        <f t="shared" si="82"/>
        <v>HOLD</v>
      </c>
    </row>
    <row r="1049" spans="2:13">
      <c r="B1049" s="3">
        <v>43577</v>
      </c>
      <c r="C1049" s="5">
        <v>47.4</v>
      </c>
      <c r="D1049" s="5">
        <v>47.4</v>
      </c>
      <c r="E1049" s="5">
        <v>47.61</v>
      </c>
      <c r="F1049" s="5">
        <v>47.02</v>
      </c>
      <c r="G1049" s="18" t="s">
        <v>186</v>
      </c>
      <c r="H1049" s="2">
        <v>-1.6999999999999999E-3</v>
      </c>
      <c r="I1049" s="16">
        <f t="shared" si="83"/>
        <v>-1.6849199663015648E-3</v>
      </c>
      <c r="J1049" s="16">
        <f t="shared" si="84"/>
        <v>0.9983150800336984</v>
      </c>
      <c r="K1049" s="16">
        <f t="shared" si="80"/>
        <v>46.692631578947378</v>
      </c>
      <c r="L1049" s="16">
        <f t="shared" si="81"/>
        <v>46.267755102040823</v>
      </c>
      <c r="M1049" s="25" t="str">
        <f t="shared" si="82"/>
        <v>HOLD</v>
      </c>
    </row>
    <row r="1050" spans="2:13">
      <c r="B1050" s="3">
        <v>43578</v>
      </c>
      <c r="C1050" s="5">
        <v>48.21</v>
      </c>
      <c r="D1050" s="5">
        <v>48.09</v>
      </c>
      <c r="E1050" s="5">
        <v>48.72</v>
      </c>
      <c r="F1050" s="5">
        <v>47.55</v>
      </c>
      <c r="G1050" s="18" t="s">
        <v>985</v>
      </c>
      <c r="H1050" s="2">
        <v>1.7100000000000001E-2</v>
      </c>
      <c r="I1050" s="16">
        <f t="shared" si="83"/>
        <v>1.7088607594936758E-2</v>
      </c>
      <c r="J1050" s="16">
        <f t="shared" si="84"/>
        <v>1.0170886075949368</v>
      </c>
      <c r="K1050" s="16">
        <f t="shared" si="80"/>
        <v>46.764736842105265</v>
      </c>
      <c r="L1050" s="16">
        <f t="shared" si="81"/>
        <v>46.224897959183672</v>
      </c>
      <c r="M1050" s="25" t="str">
        <f t="shared" si="82"/>
        <v>HOLD</v>
      </c>
    </row>
    <row r="1051" spans="2:13">
      <c r="B1051" s="3">
        <v>43579</v>
      </c>
      <c r="C1051" s="5">
        <v>47.98</v>
      </c>
      <c r="D1051" s="5">
        <v>48.03</v>
      </c>
      <c r="E1051" s="5">
        <v>48.23</v>
      </c>
      <c r="F1051" s="5">
        <v>47.91</v>
      </c>
      <c r="G1051" s="18" t="s">
        <v>492</v>
      </c>
      <c r="H1051" s="2">
        <v>-4.7999999999999996E-3</v>
      </c>
      <c r="I1051" s="16">
        <f t="shared" si="83"/>
        <v>-4.7707944409874298E-3</v>
      </c>
      <c r="J1051" s="16">
        <f t="shared" si="84"/>
        <v>0.99522920555901262</v>
      </c>
      <c r="K1051" s="16">
        <f t="shared" ref="K1051:K1114" si="85">AVERAGE(C1032:C1050)</f>
        <v>46.847368421052636</v>
      </c>
      <c r="L1051" s="16">
        <f t="shared" si="81"/>
        <v>46.196326530612254</v>
      </c>
      <c r="M1051" s="25" t="str">
        <f t="shared" si="82"/>
        <v>HOLD</v>
      </c>
    </row>
    <row r="1052" spans="2:13">
      <c r="B1052" s="3">
        <v>43580</v>
      </c>
      <c r="C1052" s="5">
        <v>47.84</v>
      </c>
      <c r="D1052" s="5">
        <v>47.74</v>
      </c>
      <c r="E1052" s="5">
        <v>47.89</v>
      </c>
      <c r="F1052" s="5">
        <v>47.47</v>
      </c>
      <c r="G1052" s="18" t="s">
        <v>984</v>
      </c>
      <c r="H1052" s="2">
        <v>-2.8999999999999998E-3</v>
      </c>
      <c r="I1052" s="16">
        <f t="shared" si="83"/>
        <v>-2.9178824510211229E-3</v>
      </c>
      <c r="J1052" s="16">
        <f t="shared" si="84"/>
        <v>0.99708211754897891</v>
      </c>
      <c r="K1052" s="16">
        <f t="shared" si="85"/>
        <v>46.919473684210537</v>
      </c>
      <c r="L1052" s="16">
        <f t="shared" si="81"/>
        <v>46.162040816326531</v>
      </c>
      <c r="M1052" s="25" t="str">
        <f t="shared" si="82"/>
        <v>HOLD</v>
      </c>
    </row>
    <row r="1053" spans="2:13">
      <c r="B1053" s="3">
        <v>43581</v>
      </c>
      <c r="C1053" s="5">
        <v>48.26</v>
      </c>
      <c r="D1053" s="5">
        <v>47.99</v>
      </c>
      <c r="E1053" s="5">
        <v>48.45</v>
      </c>
      <c r="F1053" s="5">
        <v>47.98</v>
      </c>
      <c r="G1053" s="18" t="s">
        <v>233</v>
      </c>
      <c r="H1053" s="2">
        <v>8.8000000000000005E-3</v>
      </c>
      <c r="I1053" s="16">
        <f t="shared" si="83"/>
        <v>8.7792642140467093E-3</v>
      </c>
      <c r="J1053" s="16">
        <f t="shared" si="84"/>
        <v>1.0087792642140467</v>
      </c>
      <c r="K1053" s="16">
        <f t="shared" si="85"/>
        <v>46.985789473684214</v>
      </c>
      <c r="L1053" s="16">
        <f t="shared" si="81"/>
        <v>46.122244897959192</v>
      </c>
      <c r="M1053" s="25" t="str">
        <f t="shared" si="82"/>
        <v>HOLD</v>
      </c>
    </row>
    <row r="1054" spans="2:13">
      <c r="B1054" s="3">
        <v>43584</v>
      </c>
      <c r="C1054" s="5">
        <v>48.42</v>
      </c>
      <c r="D1054" s="5">
        <v>48.17</v>
      </c>
      <c r="E1054" s="5">
        <v>48.45</v>
      </c>
      <c r="F1054" s="5">
        <v>48.11</v>
      </c>
      <c r="G1054" s="18" t="s">
        <v>482</v>
      </c>
      <c r="H1054" s="2">
        <v>3.3E-3</v>
      </c>
      <c r="I1054" s="16">
        <f t="shared" si="83"/>
        <v>3.3153750518028118E-3</v>
      </c>
      <c r="J1054" s="16">
        <f t="shared" si="84"/>
        <v>1.0033153750518029</v>
      </c>
      <c r="K1054" s="16">
        <f t="shared" si="85"/>
        <v>47.059473684210531</v>
      </c>
      <c r="L1054" s="16">
        <f t="shared" si="81"/>
        <v>46.176734693877556</v>
      </c>
      <c r="M1054" s="25" t="str">
        <f t="shared" si="82"/>
        <v>HOLD</v>
      </c>
    </row>
    <row r="1055" spans="2:13">
      <c r="B1055" s="3">
        <v>43585</v>
      </c>
      <c r="C1055" s="5">
        <v>49.06</v>
      </c>
      <c r="D1055" s="5">
        <v>48.53</v>
      </c>
      <c r="E1055" s="5">
        <v>49.18</v>
      </c>
      <c r="F1055" s="5">
        <v>48.39</v>
      </c>
      <c r="G1055" s="18" t="s">
        <v>738</v>
      </c>
      <c r="H1055" s="2">
        <v>1.32E-2</v>
      </c>
      <c r="I1055" s="16">
        <f t="shared" si="83"/>
        <v>1.321767864518795E-2</v>
      </c>
      <c r="J1055" s="16">
        <f t="shared" si="84"/>
        <v>1.0132176786451879</v>
      </c>
      <c r="K1055" s="16">
        <f t="shared" si="85"/>
        <v>47.148947368421055</v>
      </c>
      <c r="L1055" s="16">
        <f t="shared" si="81"/>
        <v>46.241632653061238</v>
      </c>
      <c r="M1055" s="25" t="str">
        <f t="shared" si="82"/>
        <v>HOLD</v>
      </c>
    </row>
    <row r="1056" spans="2:13">
      <c r="B1056" s="3">
        <v>43586</v>
      </c>
      <c r="C1056" s="5">
        <v>48.59</v>
      </c>
      <c r="D1056" s="5">
        <v>48.95</v>
      </c>
      <c r="E1056" s="5">
        <v>49.08</v>
      </c>
      <c r="F1056" s="5">
        <v>48.55</v>
      </c>
      <c r="G1056" s="18" t="s">
        <v>168</v>
      </c>
      <c r="H1056" s="2">
        <v>-9.5999999999999992E-3</v>
      </c>
      <c r="I1056" s="16">
        <f t="shared" si="83"/>
        <v>-9.5801059926620222E-3</v>
      </c>
      <c r="J1056" s="16">
        <f t="shared" si="84"/>
        <v>0.99041989400733799</v>
      </c>
      <c r="K1056" s="16">
        <f t="shared" si="85"/>
        <v>47.279999999999994</v>
      </c>
      <c r="L1056" s="16">
        <f t="shared" si="81"/>
        <v>46.327959183673485</v>
      </c>
      <c r="M1056" s="25" t="str">
        <f t="shared" si="82"/>
        <v>HOLD</v>
      </c>
    </row>
    <row r="1057" spans="2:13">
      <c r="B1057" s="3">
        <v>43587</v>
      </c>
      <c r="C1057" s="5">
        <v>48.39</v>
      </c>
      <c r="D1057" s="5">
        <v>48.53</v>
      </c>
      <c r="E1057" s="5">
        <v>48.77</v>
      </c>
      <c r="F1057" s="5">
        <v>48.27</v>
      </c>
      <c r="G1057" s="18" t="s">
        <v>983</v>
      </c>
      <c r="H1057" s="2">
        <v>-4.1000000000000003E-3</v>
      </c>
      <c r="I1057" s="16">
        <f t="shared" si="83"/>
        <v>-4.1160732661041947E-3</v>
      </c>
      <c r="J1057" s="16">
        <f t="shared" si="84"/>
        <v>0.99588392673389581</v>
      </c>
      <c r="K1057" s="16">
        <f t="shared" si="85"/>
        <v>47.406842105263166</v>
      </c>
      <c r="L1057" s="16">
        <f t="shared" si="81"/>
        <v>46.399183673469395</v>
      </c>
      <c r="M1057" s="25" t="str">
        <f t="shared" si="82"/>
        <v>HOLD</v>
      </c>
    </row>
    <row r="1058" spans="2:13">
      <c r="B1058" s="3">
        <v>43588</v>
      </c>
      <c r="C1058" s="5">
        <v>48.72</v>
      </c>
      <c r="D1058" s="5">
        <v>48.6</v>
      </c>
      <c r="E1058" s="5">
        <v>48.96</v>
      </c>
      <c r="F1058" s="5">
        <v>48.52</v>
      </c>
      <c r="G1058" s="18" t="s">
        <v>982</v>
      </c>
      <c r="H1058" s="2">
        <v>6.7999999999999996E-3</v>
      </c>
      <c r="I1058" s="16">
        <f t="shared" si="83"/>
        <v>6.8195908245504916E-3</v>
      </c>
      <c r="J1058" s="16">
        <f t="shared" si="84"/>
        <v>1.0068195908245505</v>
      </c>
      <c r="K1058" s="16">
        <f t="shared" si="85"/>
        <v>47.507368421052639</v>
      </c>
      <c r="L1058" s="16">
        <f t="shared" si="81"/>
        <v>46.450816326530614</v>
      </c>
      <c r="M1058" s="25" t="str">
        <f t="shared" si="82"/>
        <v>HOLD</v>
      </c>
    </row>
    <row r="1059" spans="2:13">
      <c r="B1059" s="3">
        <v>43591</v>
      </c>
      <c r="C1059" s="5">
        <v>48.47</v>
      </c>
      <c r="D1059" s="5">
        <v>48.33</v>
      </c>
      <c r="E1059" s="5">
        <v>48.61</v>
      </c>
      <c r="F1059" s="5">
        <v>48.26</v>
      </c>
      <c r="G1059" s="18" t="s">
        <v>179</v>
      </c>
      <c r="H1059" s="2">
        <v>-5.1000000000000004E-3</v>
      </c>
      <c r="I1059" s="16">
        <f t="shared" si="83"/>
        <v>-5.1313628899835794E-3</v>
      </c>
      <c r="J1059" s="16">
        <f t="shared" si="84"/>
        <v>0.99486863711001638</v>
      </c>
      <c r="K1059" s="16">
        <f t="shared" si="85"/>
        <v>47.625789473684215</v>
      </c>
      <c r="L1059" s="16">
        <f t="shared" si="81"/>
        <v>46.52102040816326</v>
      </c>
      <c r="M1059" s="25" t="str">
        <f t="shared" si="82"/>
        <v>HOLD</v>
      </c>
    </row>
    <row r="1060" spans="2:13">
      <c r="B1060" s="3">
        <v>43592</v>
      </c>
      <c r="C1060" s="5">
        <v>48</v>
      </c>
      <c r="D1060" s="5">
        <v>48.23</v>
      </c>
      <c r="E1060" s="5">
        <v>48.29</v>
      </c>
      <c r="F1060" s="5">
        <v>47.77</v>
      </c>
      <c r="G1060" s="18" t="s">
        <v>778</v>
      </c>
      <c r="H1060" s="2">
        <v>-9.7000000000000003E-3</v>
      </c>
      <c r="I1060" s="16">
        <f t="shared" si="83"/>
        <v>-9.6967196203837196E-3</v>
      </c>
      <c r="J1060" s="16">
        <f t="shared" si="84"/>
        <v>0.99030328037961624</v>
      </c>
      <c r="K1060" s="16">
        <f t="shared" si="85"/>
        <v>47.726842105263152</v>
      </c>
      <c r="L1060" s="16">
        <f t="shared" si="81"/>
        <v>46.593061224489794</v>
      </c>
      <c r="M1060" s="25" t="str">
        <f t="shared" si="82"/>
        <v>HOLD</v>
      </c>
    </row>
    <row r="1061" spans="2:13">
      <c r="B1061" s="3">
        <v>43593</v>
      </c>
      <c r="C1061" s="5">
        <v>47.85</v>
      </c>
      <c r="D1061" s="5">
        <v>48.05</v>
      </c>
      <c r="E1061" s="5">
        <v>48.23</v>
      </c>
      <c r="F1061" s="5">
        <v>47.82</v>
      </c>
      <c r="G1061" s="18" t="s">
        <v>355</v>
      </c>
      <c r="H1061" s="2">
        <v>-3.0999999999999999E-3</v>
      </c>
      <c r="I1061" s="16">
        <f t="shared" si="83"/>
        <v>-3.1249999999999702E-3</v>
      </c>
      <c r="J1061" s="16">
        <f t="shared" si="84"/>
        <v>0.99687500000000007</v>
      </c>
      <c r="K1061" s="16">
        <f t="shared" si="85"/>
        <v>47.79684210526316</v>
      </c>
      <c r="L1061" s="16">
        <f t="shared" si="81"/>
        <v>46.660612244897955</v>
      </c>
      <c r="M1061" s="25" t="str">
        <f t="shared" si="82"/>
        <v>HOLD</v>
      </c>
    </row>
    <row r="1062" spans="2:13">
      <c r="B1062" s="3">
        <v>43594</v>
      </c>
      <c r="C1062" s="5">
        <v>47.4</v>
      </c>
      <c r="D1062" s="5">
        <v>47.8</v>
      </c>
      <c r="E1062" s="5">
        <v>47.98</v>
      </c>
      <c r="F1062" s="5">
        <v>47.07</v>
      </c>
      <c r="G1062" s="18" t="s">
        <v>507</v>
      </c>
      <c r="H1062" s="2">
        <v>-9.4000000000000004E-3</v>
      </c>
      <c r="I1062" s="16">
        <f t="shared" si="83"/>
        <v>-9.4043887147336018E-3</v>
      </c>
      <c r="J1062" s="16">
        <f t="shared" si="84"/>
        <v>0.99059561128526641</v>
      </c>
      <c r="K1062" s="16">
        <f t="shared" si="85"/>
        <v>47.860526315789478</v>
      </c>
      <c r="L1062" s="16">
        <f t="shared" si="81"/>
        <v>46.719999999999992</v>
      </c>
      <c r="M1062" s="25" t="str">
        <f t="shared" si="82"/>
        <v>HOLD</v>
      </c>
    </row>
    <row r="1063" spans="2:13">
      <c r="B1063" s="3">
        <v>43595</v>
      </c>
      <c r="C1063" s="5">
        <v>48.19</v>
      </c>
      <c r="D1063" s="5">
        <v>47.41</v>
      </c>
      <c r="E1063" s="5">
        <v>48.3</v>
      </c>
      <c r="F1063" s="5">
        <v>47.4</v>
      </c>
      <c r="G1063" s="18" t="s">
        <v>981</v>
      </c>
      <c r="H1063" s="2">
        <v>1.67E-2</v>
      </c>
      <c r="I1063" s="16">
        <f t="shared" si="83"/>
        <v>1.6666666666666649E-2</v>
      </c>
      <c r="J1063" s="16">
        <f t="shared" si="84"/>
        <v>1.0166666666666666</v>
      </c>
      <c r="K1063" s="16">
        <f t="shared" si="85"/>
        <v>47.896842105263154</v>
      </c>
      <c r="L1063" s="16">
        <f t="shared" si="81"/>
        <v>46.762040816326525</v>
      </c>
      <c r="M1063" s="25" t="str">
        <f t="shared" si="82"/>
        <v>HOLD</v>
      </c>
    </row>
    <row r="1064" spans="2:13">
      <c r="B1064" s="3">
        <v>43598</v>
      </c>
      <c r="C1064" s="5">
        <v>48.05</v>
      </c>
      <c r="D1064" s="5">
        <v>47.91</v>
      </c>
      <c r="E1064" s="5">
        <v>48.13</v>
      </c>
      <c r="F1064" s="5">
        <v>47.73</v>
      </c>
      <c r="G1064" s="18" t="s">
        <v>958</v>
      </c>
      <c r="H1064" s="2">
        <v>-2.8999999999999998E-3</v>
      </c>
      <c r="I1064" s="16">
        <f t="shared" si="83"/>
        <v>-2.9051670471052205E-3</v>
      </c>
      <c r="J1064" s="16">
        <f t="shared" si="84"/>
        <v>0.99709483295289481</v>
      </c>
      <c r="K1064" s="16">
        <f t="shared" si="85"/>
        <v>47.973157894736843</v>
      </c>
      <c r="L1064" s="16">
        <f t="shared" si="81"/>
        <v>46.819387755102042</v>
      </c>
      <c r="M1064" s="25" t="str">
        <f t="shared" si="82"/>
        <v>HOLD</v>
      </c>
    </row>
    <row r="1065" spans="2:13">
      <c r="B1065" s="3">
        <v>43599</v>
      </c>
      <c r="C1065" s="5">
        <v>48.69</v>
      </c>
      <c r="D1065" s="5">
        <v>48.53</v>
      </c>
      <c r="E1065" s="5">
        <v>49.32</v>
      </c>
      <c r="F1065" s="5">
        <v>48.35</v>
      </c>
      <c r="G1065" s="18" t="s">
        <v>980</v>
      </c>
      <c r="H1065" s="2">
        <v>1.3299999999999999E-2</v>
      </c>
      <c r="I1065" s="16">
        <f t="shared" si="83"/>
        <v>1.3319458896982323E-2</v>
      </c>
      <c r="J1065" s="16">
        <f t="shared" si="84"/>
        <v>1.0133194588969823</v>
      </c>
      <c r="K1065" s="16">
        <f t="shared" si="85"/>
        <v>48.028421052631579</v>
      </c>
      <c r="L1065" s="16">
        <f t="shared" si="81"/>
        <v>46.86836734693879</v>
      </c>
      <c r="M1065" s="25" t="str">
        <f t="shared" si="82"/>
        <v>HOLD</v>
      </c>
    </row>
    <row r="1066" spans="2:13">
      <c r="B1066" s="3">
        <v>43600</v>
      </c>
      <c r="C1066" s="5">
        <v>49.18</v>
      </c>
      <c r="D1066" s="5">
        <v>48.67</v>
      </c>
      <c r="E1066" s="5">
        <v>49.38</v>
      </c>
      <c r="F1066" s="5">
        <v>48.6</v>
      </c>
      <c r="G1066" s="18" t="s">
        <v>120</v>
      </c>
      <c r="H1066" s="2">
        <v>1.01E-2</v>
      </c>
      <c r="I1066" s="16">
        <f t="shared" si="83"/>
        <v>1.006366810433358E-2</v>
      </c>
      <c r="J1066" s="16">
        <f t="shared" si="84"/>
        <v>1.0100636681043336</v>
      </c>
      <c r="K1066" s="16">
        <f t="shared" si="85"/>
        <v>48.12</v>
      </c>
      <c r="L1066" s="16">
        <f t="shared" si="81"/>
        <v>46.931428571428576</v>
      </c>
      <c r="M1066" s="25" t="str">
        <f t="shared" si="82"/>
        <v>HOLD</v>
      </c>
    </row>
    <row r="1067" spans="2:13">
      <c r="B1067" s="3">
        <v>43601</v>
      </c>
      <c r="C1067" s="5">
        <v>49.58</v>
      </c>
      <c r="D1067" s="5">
        <v>49.27</v>
      </c>
      <c r="E1067" s="5">
        <v>49.66</v>
      </c>
      <c r="F1067" s="5">
        <v>49.21</v>
      </c>
      <c r="G1067" s="18" t="s">
        <v>979</v>
      </c>
      <c r="H1067" s="2">
        <v>8.0999999999999996E-3</v>
      </c>
      <c r="I1067" s="16">
        <f t="shared" si="83"/>
        <v>8.1333875559170109E-3</v>
      </c>
      <c r="J1067" s="16">
        <f t="shared" si="84"/>
        <v>1.0081333875559171</v>
      </c>
      <c r="K1067" s="16">
        <f t="shared" si="85"/>
        <v>48.22</v>
      </c>
      <c r="L1067" s="16">
        <f t="shared" si="81"/>
        <v>47.007551020408179</v>
      </c>
      <c r="M1067" s="25" t="str">
        <f t="shared" si="82"/>
        <v>HOLD</v>
      </c>
    </row>
    <row r="1068" spans="2:13">
      <c r="B1068" s="3">
        <v>43602</v>
      </c>
      <c r="C1068" s="5">
        <v>49.2</v>
      </c>
      <c r="D1068" s="5">
        <v>49.27</v>
      </c>
      <c r="E1068" s="5">
        <v>49.55</v>
      </c>
      <c r="F1068" s="5">
        <v>49.17</v>
      </c>
      <c r="G1068" s="18" t="s">
        <v>288</v>
      </c>
      <c r="H1068" s="2">
        <v>-7.7000000000000002E-3</v>
      </c>
      <c r="I1068" s="16">
        <f t="shared" si="83"/>
        <v>-7.6643807987090652E-3</v>
      </c>
      <c r="J1068" s="16">
        <f t="shared" si="84"/>
        <v>0.99233561920129099</v>
      </c>
      <c r="K1068" s="16">
        <f t="shared" si="85"/>
        <v>48.33052631578947</v>
      </c>
      <c r="L1068" s="16">
        <f t="shared" si="81"/>
        <v>47.095306122448989</v>
      </c>
      <c r="M1068" s="25" t="str">
        <f t="shared" si="82"/>
        <v>HOLD</v>
      </c>
    </row>
    <row r="1069" spans="2:13">
      <c r="B1069" s="3">
        <v>43605</v>
      </c>
      <c r="C1069" s="5">
        <v>48.85</v>
      </c>
      <c r="D1069" s="5">
        <v>49.04</v>
      </c>
      <c r="E1069" s="5">
        <v>49.14</v>
      </c>
      <c r="F1069" s="5">
        <v>48.76</v>
      </c>
      <c r="G1069" s="18" t="s">
        <v>640</v>
      </c>
      <c r="H1069" s="2">
        <v>-7.1000000000000004E-3</v>
      </c>
      <c r="I1069" s="16">
        <f t="shared" si="83"/>
        <v>-7.1138211382114104E-3</v>
      </c>
      <c r="J1069" s="16">
        <f t="shared" si="84"/>
        <v>0.99288617886178854</v>
      </c>
      <c r="K1069" s="16">
        <f t="shared" si="85"/>
        <v>48.425263157894747</v>
      </c>
      <c r="L1069" s="16">
        <f t="shared" si="81"/>
        <v>47.184285714285721</v>
      </c>
      <c r="M1069" s="25" t="str">
        <f t="shared" si="82"/>
        <v>HOLD</v>
      </c>
    </row>
    <row r="1070" spans="2:13">
      <c r="B1070" s="3">
        <v>43606</v>
      </c>
      <c r="C1070" s="5">
        <v>48.6</v>
      </c>
      <c r="D1070" s="5">
        <v>49</v>
      </c>
      <c r="E1070" s="5">
        <v>49.03</v>
      </c>
      <c r="F1070" s="5">
        <v>48.45</v>
      </c>
      <c r="G1070" s="18" t="s">
        <v>978</v>
      </c>
      <c r="H1070" s="2">
        <v>-5.1000000000000004E-3</v>
      </c>
      <c r="I1070" s="16">
        <f t="shared" si="83"/>
        <v>-5.1177072671443188E-3</v>
      </c>
      <c r="J1070" s="16">
        <f t="shared" si="84"/>
        <v>0.99488229273285567</v>
      </c>
      <c r="K1070" s="16">
        <f t="shared" si="85"/>
        <v>48.458947368421057</v>
      </c>
      <c r="L1070" s="16">
        <f t="shared" si="81"/>
        <v>47.238775510204079</v>
      </c>
      <c r="M1070" s="25" t="str">
        <f t="shared" si="82"/>
        <v>HOLD</v>
      </c>
    </row>
    <row r="1071" spans="2:13">
      <c r="B1071" s="3">
        <v>43607</v>
      </c>
      <c r="C1071" s="5">
        <v>49.65</v>
      </c>
      <c r="D1071" s="5">
        <v>48.78</v>
      </c>
      <c r="E1071" s="5">
        <v>49.71</v>
      </c>
      <c r="F1071" s="5">
        <v>48.72</v>
      </c>
      <c r="G1071" s="18" t="s">
        <v>977</v>
      </c>
      <c r="H1071" s="2">
        <v>2.1600000000000001E-2</v>
      </c>
      <c r="I1071" s="16">
        <f t="shared" si="83"/>
        <v>2.1604938271604878E-2</v>
      </c>
      <c r="J1071" s="16">
        <f t="shared" si="84"/>
        <v>1.0216049382716048</v>
      </c>
      <c r="K1071" s="16">
        <f t="shared" si="85"/>
        <v>48.491578947368431</v>
      </c>
      <c r="L1071" s="16">
        <f t="shared" si="81"/>
        <v>47.290816326530603</v>
      </c>
      <c r="M1071" s="25" t="str">
        <f t="shared" si="82"/>
        <v>HOLD</v>
      </c>
    </row>
    <row r="1072" spans="2:13">
      <c r="B1072" s="3">
        <v>43608</v>
      </c>
      <c r="C1072" s="5">
        <v>49.85</v>
      </c>
      <c r="D1072" s="5">
        <v>49.5</v>
      </c>
      <c r="E1072" s="5">
        <v>49.9</v>
      </c>
      <c r="F1072" s="5">
        <v>49.46</v>
      </c>
      <c r="G1072" s="18" t="s">
        <v>976</v>
      </c>
      <c r="H1072" s="2">
        <v>4.0000000000000001E-3</v>
      </c>
      <c r="I1072" s="16">
        <f t="shared" si="83"/>
        <v>4.0281973816717592E-3</v>
      </c>
      <c r="J1072" s="16">
        <f t="shared" si="84"/>
        <v>1.0040281973816718</v>
      </c>
      <c r="K1072" s="16">
        <f t="shared" si="85"/>
        <v>48.586842105263166</v>
      </c>
      <c r="L1072" s="16">
        <f t="shared" si="81"/>
        <v>47.36081632653061</v>
      </c>
      <c r="M1072" s="25" t="str">
        <f t="shared" si="82"/>
        <v>HOLD</v>
      </c>
    </row>
    <row r="1073" spans="2:13">
      <c r="B1073" s="3">
        <v>43609</v>
      </c>
      <c r="C1073" s="5">
        <v>49.61</v>
      </c>
      <c r="D1073" s="5">
        <v>49.82</v>
      </c>
      <c r="E1073" s="5">
        <v>49.89</v>
      </c>
      <c r="F1073" s="5">
        <v>49.53</v>
      </c>
      <c r="G1073" s="18" t="s">
        <v>975</v>
      </c>
      <c r="H1073" s="2">
        <v>-4.7999999999999996E-3</v>
      </c>
      <c r="I1073" s="16">
        <f t="shared" si="83"/>
        <v>-4.81444332999001E-3</v>
      </c>
      <c r="J1073" s="16">
        <f t="shared" si="84"/>
        <v>0.99518555667000996</v>
      </c>
      <c r="K1073" s="16">
        <f t="shared" si="85"/>
        <v>48.670526315789473</v>
      </c>
      <c r="L1073" s="16">
        <f t="shared" si="81"/>
        <v>47.445510204081629</v>
      </c>
      <c r="M1073" s="25" t="str">
        <f t="shared" si="82"/>
        <v>HOLD</v>
      </c>
    </row>
    <row r="1074" spans="2:13">
      <c r="B1074" s="3">
        <v>43613</v>
      </c>
      <c r="C1074" s="5">
        <v>49.1</v>
      </c>
      <c r="D1074" s="5">
        <v>49.6</v>
      </c>
      <c r="E1074" s="5">
        <v>49.67</v>
      </c>
      <c r="F1074" s="5">
        <v>49.03</v>
      </c>
      <c r="G1074" s="18" t="s">
        <v>589</v>
      </c>
      <c r="H1074" s="2">
        <v>-1.03E-2</v>
      </c>
      <c r="I1074" s="16">
        <f t="shared" si="83"/>
        <v>-1.0280185446482524E-2</v>
      </c>
      <c r="J1074" s="16">
        <f t="shared" si="84"/>
        <v>0.98971981455351743</v>
      </c>
      <c r="K1074" s="16">
        <f t="shared" si="85"/>
        <v>48.733157894736848</v>
      </c>
      <c r="L1074" s="16">
        <f t="shared" si="81"/>
        <v>47.533469387755112</v>
      </c>
      <c r="M1074" s="25" t="str">
        <f t="shared" si="82"/>
        <v>HOLD</v>
      </c>
    </row>
    <row r="1075" spans="2:13">
      <c r="B1075" s="3">
        <v>43614</v>
      </c>
      <c r="C1075" s="5">
        <v>48.61</v>
      </c>
      <c r="D1075" s="5">
        <v>48.74</v>
      </c>
      <c r="E1075" s="5">
        <v>49.03</v>
      </c>
      <c r="F1075" s="5">
        <v>48.41</v>
      </c>
      <c r="G1075" s="18" t="s">
        <v>974</v>
      </c>
      <c r="H1075" s="2">
        <v>-0.01</v>
      </c>
      <c r="I1075" s="16">
        <f t="shared" si="83"/>
        <v>-9.9796334012220364E-3</v>
      </c>
      <c r="J1075" s="16">
        <f t="shared" si="84"/>
        <v>0.99002036659877801</v>
      </c>
      <c r="K1075" s="16">
        <f t="shared" si="85"/>
        <v>48.735263157894742</v>
      </c>
      <c r="L1075" s="16">
        <f t="shared" si="81"/>
        <v>47.60877551020409</v>
      </c>
      <c r="M1075" s="25" t="str">
        <f t="shared" si="82"/>
        <v>HOLD</v>
      </c>
    </row>
    <row r="1076" spans="2:13">
      <c r="B1076" s="3">
        <v>43615</v>
      </c>
      <c r="C1076" s="5">
        <v>49.25</v>
      </c>
      <c r="D1076" s="5">
        <v>48.72</v>
      </c>
      <c r="E1076" s="5">
        <v>49.31</v>
      </c>
      <c r="F1076" s="5">
        <v>48.67</v>
      </c>
      <c r="G1076" s="18" t="s">
        <v>403</v>
      </c>
      <c r="H1076" s="2">
        <v>1.32E-2</v>
      </c>
      <c r="I1076" s="16">
        <f t="shared" si="83"/>
        <v>1.3166015223205114E-2</v>
      </c>
      <c r="J1076" s="16">
        <f t="shared" si="84"/>
        <v>1.0131660152232052</v>
      </c>
      <c r="K1076" s="16">
        <f t="shared" si="85"/>
        <v>48.736315789473693</v>
      </c>
      <c r="L1076" s="16">
        <f t="shared" si="81"/>
        <v>47.671020408163265</v>
      </c>
      <c r="M1076" s="25" t="str">
        <f t="shared" si="82"/>
        <v>HOLD</v>
      </c>
    </row>
    <row r="1077" spans="2:13">
      <c r="B1077" s="3">
        <v>43616</v>
      </c>
      <c r="C1077" s="5">
        <v>49.13</v>
      </c>
      <c r="D1077" s="5">
        <v>49</v>
      </c>
      <c r="E1077" s="5">
        <v>49.31</v>
      </c>
      <c r="F1077" s="5">
        <v>48.78</v>
      </c>
      <c r="G1077" s="18" t="s">
        <v>973</v>
      </c>
      <c r="H1077" s="2">
        <v>-2.3999999999999998E-3</v>
      </c>
      <c r="I1077" s="16">
        <f t="shared" si="83"/>
        <v>-2.4365482233502018E-3</v>
      </c>
      <c r="J1077" s="16">
        <f t="shared" si="84"/>
        <v>0.99756345177664985</v>
      </c>
      <c r="K1077" s="16">
        <f t="shared" si="85"/>
        <v>48.78157894736843</v>
      </c>
      <c r="L1077" s="16">
        <f t="shared" si="81"/>
        <v>47.746938775510202</v>
      </c>
      <c r="M1077" s="25" t="str">
        <f t="shared" si="82"/>
        <v>HOLD</v>
      </c>
    </row>
    <row r="1078" spans="2:13">
      <c r="B1078" s="3">
        <v>43619</v>
      </c>
      <c r="C1078" s="5">
        <v>49.98</v>
      </c>
      <c r="D1078" s="5">
        <v>49.16</v>
      </c>
      <c r="E1078" s="5">
        <v>49.98</v>
      </c>
      <c r="F1078" s="5">
        <v>49.02</v>
      </c>
      <c r="G1078" s="18" t="s">
        <v>505</v>
      </c>
      <c r="H1078" s="2">
        <v>1.7299999999999999E-2</v>
      </c>
      <c r="I1078" s="16">
        <f t="shared" si="83"/>
        <v>1.730103806228362E-2</v>
      </c>
      <c r="J1078" s="16">
        <f t="shared" si="84"/>
        <v>1.0173010380622836</v>
      </c>
      <c r="K1078" s="16">
        <f t="shared" si="85"/>
        <v>48.803157894736842</v>
      </c>
      <c r="L1078" s="16">
        <f t="shared" si="81"/>
        <v>47.820816326530618</v>
      </c>
      <c r="M1078" s="25" t="str">
        <f t="shared" si="82"/>
        <v>HOLD</v>
      </c>
    </row>
    <row r="1079" spans="2:13">
      <c r="B1079" s="3">
        <v>43620</v>
      </c>
      <c r="C1079" s="5">
        <v>50</v>
      </c>
      <c r="D1079" s="5">
        <v>50</v>
      </c>
      <c r="E1079" s="5">
        <v>50.28</v>
      </c>
      <c r="F1079" s="5">
        <v>49.62</v>
      </c>
      <c r="G1079" s="18" t="s">
        <v>972</v>
      </c>
      <c r="H1079" s="2">
        <v>4.0000000000000002E-4</v>
      </c>
      <c r="I1079" s="16">
        <f t="shared" si="83"/>
        <v>4.0016006402567283E-4</v>
      </c>
      <c r="J1079" s="16">
        <f t="shared" si="84"/>
        <v>1.0004001600640258</v>
      </c>
      <c r="K1079" s="16">
        <f t="shared" si="85"/>
        <v>48.882631578947375</v>
      </c>
      <c r="L1079" s="16">
        <f t="shared" si="81"/>
        <v>47.903469387755109</v>
      </c>
      <c r="M1079" s="25" t="str">
        <f t="shared" si="82"/>
        <v>HOLD</v>
      </c>
    </row>
    <row r="1080" spans="2:13">
      <c r="B1080" s="3">
        <v>43621</v>
      </c>
      <c r="C1080" s="5">
        <v>50.78</v>
      </c>
      <c r="D1080" s="5">
        <v>50.01</v>
      </c>
      <c r="E1080" s="5">
        <v>51.14</v>
      </c>
      <c r="F1080" s="5">
        <v>49.69</v>
      </c>
      <c r="G1080" s="18" t="s">
        <v>486</v>
      </c>
      <c r="H1080" s="2">
        <v>1.5599999999999999E-2</v>
      </c>
      <c r="I1080" s="16">
        <f t="shared" si="83"/>
        <v>1.5600000000000024E-2</v>
      </c>
      <c r="J1080" s="16">
        <f t="shared" si="84"/>
        <v>1.0156000000000001</v>
      </c>
      <c r="K1080" s="16">
        <f t="shared" si="85"/>
        <v>48.987894736842108</v>
      </c>
      <c r="L1080" s="16">
        <f t="shared" si="81"/>
        <v>47.984489795918371</v>
      </c>
      <c r="M1080" s="25" t="str">
        <f t="shared" si="82"/>
        <v>HOLD</v>
      </c>
    </row>
    <row r="1081" spans="2:13">
      <c r="B1081" s="3">
        <v>43622</v>
      </c>
      <c r="C1081" s="5">
        <v>51.4</v>
      </c>
      <c r="D1081" s="5">
        <v>50.91</v>
      </c>
      <c r="E1081" s="5">
        <v>51.54</v>
      </c>
      <c r="F1081" s="5">
        <v>50.59</v>
      </c>
      <c r="G1081" s="18" t="s">
        <v>376</v>
      </c>
      <c r="H1081" s="2">
        <v>1.2200000000000001E-2</v>
      </c>
      <c r="I1081" s="16">
        <f t="shared" si="83"/>
        <v>1.2209531311539925E-2</v>
      </c>
      <c r="J1081" s="16">
        <f t="shared" si="84"/>
        <v>1.01220953131154</v>
      </c>
      <c r="K1081" s="16">
        <f t="shared" si="85"/>
        <v>49.142105263157895</v>
      </c>
      <c r="L1081" s="16">
        <f t="shared" ref="L1081:L1144" si="86">AVERAGE(C1032:C1080)</f>
        <v>48.068979591836744</v>
      </c>
      <c r="M1081" s="25" t="str">
        <f t="shared" ref="M1081:M1144" si="87">IF(AND(K1081&gt;L1081,K1080&lt;=L1080),"BUY",IF(AND(K1081&lt;L1081,K1080&gt;=L1080),"SELL","HOLD"))</f>
        <v>HOLD</v>
      </c>
    </row>
    <row r="1082" spans="2:13">
      <c r="B1082" s="3">
        <v>43623</v>
      </c>
      <c r="C1082" s="5">
        <v>51.49</v>
      </c>
      <c r="D1082" s="5">
        <v>51.47</v>
      </c>
      <c r="E1082" s="5">
        <v>52.19</v>
      </c>
      <c r="F1082" s="5">
        <v>51.45</v>
      </c>
      <c r="G1082" s="18" t="s">
        <v>789</v>
      </c>
      <c r="H1082" s="2">
        <v>1.8E-3</v>
      </c>
      <c r="I1082" s="16">
        <f t="shared" si="83"/>
        <v>1.7509727626459808E-3</v>
      </c>
      <c r="J1082" s="16">
        <f t="shared" si="84"/>
        <v>1.0017509727626459</v>
      </c>
      <c r="K1082" s="16">
        <f t="shared" si="85"/>
        <v>49.352631578947374</v>
      </c>
      <c r="L1082" s="16">
        <f t="shared" si="86"/>
        <v>48.166734693877565</v>
      </c>
      <c r="M1082" s="25" t="str">
        <f t="shared" si="87"/>
        <v>HOLD</v>
      </c>
    </row>
    <row r="1083" spans="2:13">
      <c r="B1083" s="3">
        <v>43626</v>
      </c>
      <c r="C1083" s="5">
        <v>51.38</v>
      </c>
      <c r="D1083" s="5">
        <v>51.54</v>
      </c>
      <c r="E1083" s="5">
        <v>51.54</v>
      </c>
      <c r="F1083" s="5">
        <v>51.09</v>
      </c>
      <c r="G1083" s="18" t="s">
        <v>428</v>
      </c>
      <c r="H1083" s="2">
        <v>-2.0999999999999999E-3</v>
      </c>
      <c r="I1083" s="16">
        <f t="shared" si="83"/>
        <v>-2.1363371528452016E-3</v>
      </c>
      <c r="J1083" s="16">
        <f t="shared" si="84"/>
        <v>0.99786366284715478</v>
      </c>
      <c r="K1083" s="16">
        <f t="shared" si="85"/>
        <v>49.526315789473685</v>
      </c>
      <c r="L1083" s="16">
        <f t="shared" si="86"/>
        <v>48.266938775510205</v>
      </c>
      <c r="M1083" s="25" t="str">
        <f t="shared" si="87"/>
        <v>HOLD</v>
      </c>
    </row>
    <row r="1084" spans="2:13">
      <c r="B1084" s="3">
        <v>43627</v>
      </c>
      <c r="C1084" s="5">
        <v>51.33</v>
      </c>
      <c r="D1084" s="5">
        <v>51.45</v>
      </c>
      <c r="E1084" s="5">
        <v>51.59</v>
      </c>
      <c r="F1084" s="5">
        <v>51.18</v>
      </c>
      <c r="G1084" s="18" t="s">
        <v>971</v>
      </c>
      <c r="H1084" s="2">
        <v>-1E-3</v>
      </c>
      <c r="I1084" s="16">
        <f t="shared" si="83"/>
        <v>-9.7314130011685992E-4</v>
      </c>
      <c r="J1084" s="16">
        <f t="shared" si="84"/>
        <v>0.99902685869988317</v>
      </c>
      <c r="K1084" s="16">
        <f t="shared" si="85"/>
        <v>49.701578947368418</v>
      </c>
      <c r="L1084" s="16">
        <f t="shared" si="86"/>
        <v>48.359183673469389</v>
      </c>
      <c r="M1084" s="25" t="str">
        <f t="shared" si="87"/>
        <v>HOLD</v>
      </c>
    </row>
    <row r="1085" spans="2:13">
      <c r="B1085" s="3">
        <v>43628</v>
      </c>
      <c r="C1085" s="5">
        <v>51.64</v>
      </c>
      <c r="D1085" s="5">
        <v>51.5</v>
      </c>
      <c r="E1085" s="5">
        <v>52.13</v>
      </c>
      <c r="F1085" s="5">
        <v>51.47</v>
      </c>
      <c r="G1085" s="18" t="s">
        <v>390</v>
      </c>
      <c r="H1085" s="2">
        <v>6.0000000000000001E-3</v>
      </c>
      <c r="I1085" s="16">
        <f t="shared" si="83"/>
        <v>6.0393532047536003E-3</v>
      </c>
      <c r="J1085" s="16">
        <f t="shared" si="84"/>
        <v>1.0060393532047536</v>
      </c>
      <c r="K1085" s="16">
        <f t="shared" si="85"/>
        <v>49.840526315789475</v>
      </c>
      <c r="L1085" s="16">
        <f t="shared" si="86"/>
        <v>48.453265306122447</v>
      </c>
      <c r="M1085" s="25" t="str">
        <f t="shared" si="87"/>
        <v>HOLD</v>
      </c>
    </row>
    <row r="1086" spans="2:13">
      <c r="B1086" s="3">
        <v>43629</v>
      </c>
      <c r="C1086" s="5">
        <v>51.13</v>
      </c>
      <c r="D1086" s="5">
        <v>51.46</v>
      </c>
      <c r="E1086" s="5">
        <v>51.7</v>
      </c>
      <c r="F1086" s="5">
        <v>50.77</v>
      </c>
      <c r="G1086" s="18" t="s">
        <v>682</v>
      </c>
      <c r="H1086" s="2">
        <v>-9.9000000000000008E-3</v>
      </c>
      <c r="I1086" s="16">
        <f t="shared" si="83"/>
        <v>-9.8760650658403955E-3</v>
      </c>
      <c r="J1086" s="16">
        <f t="shared" si="84"/>
        <v>0.99012393493415962</v>
      </c>
      <c r="K1086" s="16">
        <f t="shared" si="85"/>
        <v>49.970000000000006</v>
      </c>
      <c r="L1086" s="16">
        <f t="shared" si="86"/>
        <v>48.556734693877544</v>
      </c>
      <c r="M1086" s="25" t="str">
        <f t="shared" si="87"/>
        <v>HOLD</v>
      </c>
    </row>
    <row r="1087" spans="2:13">
      <c r="B1087" s="3">
        <v>43630</v>
      </c>
      <c r="C1087" s="5">
        <v>51.31</v>
      </c>
      <c r="D1087" s="5">
        <v>51.05</v>
      </c>
      <c r="E1087" s="5">
        <v>51.53</v>
      </c>
      <c r="F1087" s="5">
        <v>51.05</v>
      </c>
      <c r="G1087" s="18" t="s">
        <v>970</v>
      </c>
      <c r="H1087" s="2">
        <v>3.5000000000000001E-3</v>
      </c>
      <c r="I1087" s="16">
        <f t="shared" si="83"/>
        <v>3.5204380989634207E-3</v>
      </c>
      <c r="J1087" s="16">
        <f t="shared" si="84"/>
        <v>1.0035204380989635</v>
      </c>
      <c r="K1087" s="16">
        <f t="shared" si="85"/>
        <v>50.051578947368419</v>
      </c>
      <c r="L1087" s="16">
        <f t="shared" si="86"/>
        <v>48.657755102040817</v>
      </c>
      <c r="M1087" s="25" t="str">
        <f t="shared" si="87"/>
        <v>HOLD</v>
      </c>
    </row>
    <row r="1088" spans="2:13">
      <c r="B1088" s="3">
        <v>43633</v>
      </c>
      <c r="C1088" s="5">
        <v>50.87</v>
      </c>
      <c r="D1088" s="5">
        <v>51.25</v>
      </c>
      <c r="E1088" s="5">
        <v>51.48</v>
      </c>
      <c r="F1088" s="5">
        <v>50.61</v>
      </c>
      <c r="G1088" s="18" t="s">
        <v>472</v>
      </c>
      <c r="H1088" s="2">
        <v>-8.6E-3</v>
      </c>
      <c r="I1088" s="16">
        <f t="shared" si="83"/>
        <v>-8.5753264470864315E-3</v>
      </c>
      <c r="J1088" s="16">
        <f t="shared" si="84"/>
        <v>0.99142467355291353</v>
      </c>
      <c r="K1088" s="16">
        <f t="shared" si="85"/>
        <v>50.162631578947376</v>
      </c>
      <c r="L1088" s="16">
        <f t="shared" si="86"/>
        <v>48.756326530612235</v>
      </c>
      <c r="M1088" s="25" t="str">
        <f t="shared" si="87"/>
        <v>HOLD</v>
      </c>
    </row>
    <row r="1089" spans="2:13">
      <c r="B1089" s="3">
        <v>43634</v>
      </c>
      <c r="C1089" s="5">
        <v>50.64</v>
      </c>
      <c r="D1089" s="5">
        <v>51.25</v>
      </c>
      <c r="E1089" s="5">
        <v>51.3</v>
      </c>
      <c r="F1089" s="5">
        <v>50.53</v>
      </c>
      <c r="G1089" s="18" t="s">
        <v>680</v>
      </c>
      <c r="H1089" s="2">
        <v>-4.4999999999999997E-3</v>
      </c>
      <c r="I1089" s="16">
        <f t="shared" si="83"/>
        <v>-4.5213288775309002E-3</v>
      </c>
      <c r="J1089" s="16">
        <f t="shared" si="84"/>
        <v>0.99547867112246913</v>
      </c>
      <c r="K1089" s="16">
        <f t="shared" si="85"/>
        <v>50.268947368421053</v>
      </c>
      <c r="L1089" s="16">
        <f t="shared" si="86"/>
        <v>48.846122448979585</v>
      </c>
      <c r="M1089" s="25" t="str">
        <f t="shared" si="87"/>
        <v>HOLD</v>
      </c>
    </row>
    <row r="1090" spans="2:13">
      <c r="B1090" s="3">
        <v>43635</v>
      </c>
      <c r="C1090" s="5">
        <v>51.12</v>
      </c>
      <c r="D1090" s="5">
        <v>50.54</v>
      </c>
      <c r="E1090" s="5">
        <v>51.24</v>
      </c>
      <c r="F1090" s="5">
        <v>50.47</v>
      </c>
      <c r="G1090" s="18" t="s">
        <v>342</v>
      </c>
      <c r="H1090" s="2">
        <v>9.4999999999999998E-3</v>
      </c>
      <c r="I1090" s="16">
        <f t="shared" si="83"/>
        <v>9.4786729857819288E-3</v>
      </c>
      <c r="J1090" s="16">
        <f t="shared" si="84"/>
        <v>1.0094786729857819</v>
      </c>
      <c r="K1090" s="16">
        <f t="shared" si="85"/>
        <v>50.376315789473686</v>
      </c>
      <c r="L1090" s="16">
        <f t="shared" si="86"/>
        <v>48.92959183673468</v>
      </c>
      <c r="M1090" s="25" t="str">
        <f t="shared" si="87"/>
        <v>HOLD</v>
      </c>
    </row>
    <row r="1091" spans="2:13">
      <c r="B1091" s="3">
        <v>43636</v>
      </c>
      <c r="C1091" s="5">
        <v>51.66</v>
      </c>
      <c r="D1091" s="5">
        <v>51.5</v>
      </c>
      <c r="E1091" s="5">
        <v>51.78</v>
      </c>
      <c r="F1091" s="5">
        <v>51.35</v>
      </c>
      <c r="G1091" s="18" t="s">
        <v>483</v>
      </c>
      <c r="H1091" s="2">
        <v>1.06E-2</v>
      </c>
      <c r="I1091" s="16">
        <f t="shared" si="83"/>
        <v>1.0563380281690125E-2</v>
      </c>
      <c r="J1091" s="16">
        <f t="shared" si="84"/>
        <v>1.01056338028169</v>
      </c>
      <c r="K1091" s="16">
        <f t="shared" si="85"/>
        <v>50.453684210526319</v>
      </c>
      <c r="L1091" s="16">
        <f t="shared" si="86"/>
        <v>49.020408163265294</v>
      </c>
      <c r="M1091" s="25" t="str">
        <f t="shared" si="87"/>
        <v>HOLD</v>
      </c>
    </row>
    <row r="1092" spans="2:13">
      <c r="B1092" s="3">
        <v>43637</v>
      </c>
      <c r="C1092" s="5">
        <v>51.55</v>
      </c>
      <c r="D1092" s="5">
        <v>51.53</v>
      </c>
      <c r="E1092" s="5">
        <v>51.89</v>
      </c>
      <c r="F1092" s="5">
        <v>51.41</v>
      </c>
      <c r="G1092" s="18" t="s">
        <v>596</v>
      </c>
      <c r="H1092" s="2">
        <v>-2.0999999999999999E-3</v>
      </c>
      <c r="I1092" s="16">
        <f t="shared" si="83"/>
        <v>-2.129307007355777E-3</v>
      </c>
      <c r="J1092" s="16">
        <f t="shared" si="84"/>
        <v>0.99787069299264419</v>
      </c>
      <c r="K1092" s="16">
        <f t="shared" si="85"/>
        <v>50.548947368421054</v>
      </c>
      <c r="L1092" s="16">
        <f t="shared" si="86"/>
        <v>49.122857142857136</v>
      </c>
      <c r="M1092" s="25" t="str">
        <f t="shared" si="87"/>
        <v>HOLD</v>
      </c>
    </row>
    <row r="1093" spans="2:13">
      <c r="B1093" s="3">
        <v>43640</v>
      </c>
      <c r="C1093" s="5">
        <v>51.92</v>
      </c>
      <c r="D1093" s="5">
        <v>51.74</v>
      </c>
      <c r="E1093" s="5">
        <v>52.2</v>
      </c>
      <c r="F1093" s="5">
        <v>51.7</v>
      </c>
      <c r="G1093" s="18" t="s">
        <v>531</v>
      </c>
      <c r="H1093" s="2">
        <v>7.1999999999999998E-3</v>
      </c>
      <c r="I1093" s="16">
        <f t="shared" si="83"/>
        <v>7.1774975751698264E-3</v>
      </c>
      <c r="J1093" s="16">
        <f t="shared" si="84"/>
        <v>1.0071774975751697</v>
      </c>
      <c r="K1093" s="16">
        <f t="shared" si="85"/>
        <v>50.651052631578942</v>
      </c>
      <c r="L1093" s="16">
        <f t="shared" si="86"/>
        <v>49.221632653061221</v>
      </c>
      <c r="M1093" s="25" t="str">
        <f t="shared" si="87"/>
        <v>HOLD</v>
      </c>
    </row>
    <row r="1094" spans="2:13">
      <c r="B1094" s="3">
        <v>43641</v>
      </c>
      <c r="C1094" s="5">
        <v>51.76</v>
      </c>
      <c r="D1094" s="5">
        <v>52</v>
      </c>
      <c r="E1094" s="5">
        <v>52.1</v>
      </c>
      <c r="F1094" s="5">
        <v>51.64</v>
      </c>
      <c r="G1094" s="18" t="s">
        <v>357</v>
      </c>
      <c r="H1094" s="2">
        <v>-3.0999999999999999E-3</v>
      </c>
      <c r="I1094" s="16">
        <f t="shared" si="83"/>
        <v>-3.0816640986133224E-3</v>
      </c>
      <c r="J1094" s="16">
        <f t="shared" si="84"/>
        <v>0.99691833590138668</v>
      </c>
      <c r="K1094" s="16">
        <f t="shared" si="85"/>
        <v>50.799473684210525</v>
      </c>
      <c r="L1094" s="16">
        <f t="shared" si="86"/>
        <v>49.327346938775499</v>
      </c>
      <c r="M1094" s="25" t="str">
        <f t="shared" si="87"/>
        <v>HOLD</v>
      </c>
    </row>
    <row r="1095" spans="2:13">
      <c r="B1095" s="3">
        <v>43642</v>
      </c>
      <c r="C1095" s="5">
        <v>51.12</v>
      </c>
      <c r="D1095" s="5">
        <v>51.52</v>
      </c>
      <c r="E1095" s="5">
        <v>51.64</v>
      </c>
      <c r="F1095" s="5">
        <v>51.09</v>
      </c>
      <c r="G1095" s="18" t="s">
        <v>430</v>
      </c>
      <c r="H1095" s="2">
        <v>-1.24E-2</v>
      </c>
      <c r="I1095" s="16">
        <f t="shared" si="83"/>
        <v>-1.2364760432766627E-2</v>
      </c>
      <c r="J1095" s="16">
        <f t="shared" si="84"/>
        <v>0.98763523956723343</v>
      </c>
      <c r="K1095" s="16">
        <f t="shared" si="85"/>
        <v>50.965263157894725</v>
      </c>
      <c r="L1095" s="16">
        <f t="shared" si="86"/>
        <v>49.424489795918369</v>
      </c>
      <c r="M1095" s="25" t="str">
        <f t="shared" si="87"/>
        <v>HOLD</v>
      </c>
    </row>
    <row r="1096" spans="2:13">
      <c r="B1096" s="3">
        <v>43643</v>
      </c>
      <c r="C1096" s="5">
        <v>51.08</v>
      </c>
      <c r="D1096" s="5">
        <v>51.29</v>
      </c>
      <c r="E1096" s="5">
        <v>51.4</v>
      </c>
      <c r="F1096" s="5">
        <v>50.97</v>
      </c>
      <c r="G1096" s="18" t="s">
        <v>969</v>
      </c>
      <c r="H1096" s="2">
        <v>-8.0000000000000004E-4</v>
      </c>
      <c r="I1096" s="16">
        <f t="shared" si="83"/>
        <v>-7.8247261345851227E-4</v>
      </c>
      <c r="J1096" s="16">
        <f t="shared" si="84"/>
        <v>0.99921752738654146</v>
      </c>
      <c r="K1096" s="16">
        <f t="shared" si="85"/>
        <v>51.063684210526304</v>
      </c>
      <c r="L1096" s="16">
        <f t="shared" si="86"/>
        <v>49.509591836734693</v>
      </c>
      <c r="M1096" s="25" t="str">
        <f t="shared" si="87"/>
        <v>HOLD</v>
      </c>
    </row>
    <row r="1097" spans="2:13">
      <c r="B1097" s="3">
        <v>43644</v>
      </c>
      <c r="C1097" s="5">
        <v>50.92</v>
      </c>
      <c r="D1097" s="5">
        <v>51.27</v>
      </c>
      <c r="E1097" s="5">
        <v>51.4</v>
      </c>
      <c r="F1097" s="5">
        <v>50.52</v>
      </c>
      <c r="G1097" s="18" t="s">
        <v>968</v>
      </c>
      <c r="H1097" s="2">
        <v>-3.0999999999999999E-3</v>
      </c>
      <c r="I1097" s="16">
        <f t="shared" ref="I1097:I1160" si="88">(C1097-C1096)/C1096</f>
        <v>-3.1323414252152817E-3</v>
      </c>
      <c r="J1097" s="16">
        <f t="shared" ref="J1097:J1160" si="89">C1097/C1096</f>
        <v>0.99686765857478477</v>
      </c>
      <c r="K1097" s="16">
        <f t="shared" si="85"/>
        <v>51.166315789473678</v>
      </c>
      <c r="L1097" s="16">
        <f t="shared" si="86"/>
        <v>49.587142857142858</v>
      </c>
      <c r="M1097" s="25" t="str">
        <f t="shared" si="87"/>
        <v>HOLD</v>
      </c>
    </row>
    <row r="1098" spans="2:13">
      <c r="B1098" s="3">
        <v>43647</v>
      </c>
      <c r="C1098" s="5">
        <v>51.6</v>
      </c>
      <c r="D1098" s="5">
        <v>51.07</v>
      </c>
      <c r="E1098" s="5">
        <v>51.63</v>
      </c>
      <c r="F1098" s="5">
        <v>50.78</v>
      </c>
      <c r="G1098" s="18" t="s">
        <v>967</v>
      </c>
      <c r="H1098" s="2">
        <v>1.34E-2</v>
      </c>
      <c r="I1098" s="16">
        <f t="shared" si="88"/>
        <v>1.3354281225451682E-2</v>
      </c>
      <c r="J1098" s="16">
        <f t="shared" si="89"/>
        <v>1.0133542812254517</v>
      </c>
      <c r="K1098" s="16">
        <f t="shared" si="85"/>
        <v>51.215789473684204</v>
      </c>
      <c r="L1098" s="16">
        <f t="shared" si="86"/>
        <v>49.657346938775518</v>
      </c>
      <c r="M1098" s="25" t="str">
        <f t="shared" si="87"/>
        <v>HOLD</v>
      </c>
    </row>
    <row r="1099" spans="2:13">
      <c r="B1099" s="3">
        <v>43648</v>
      </c>
      <c r="C1099" s="5">
        <v>51.98</v>
      </c>
      <c r="D1099" s="5">
        <v>51.78</v>
      </c>
      <c r="E1099" s="5">
        <v>52.05</v>
      </c>
      <c r="F1099" s="5">
        <v>51.55</v>
      </c>
      <c r="G1099" s="18" t="s">
        <v>727</v>
      </c>
      <c r="H1099" s="2">
        <v>7.4000000000000003E-3</v>
      </c>
      <c r="I1099" s="16">
        <f t="shared" si="88"/>
        <v>7.3643410852712293E-3</v>
      </c>
      <c r="J1099" s="16">
        <f t="shared" si="89"/>
        <v>1.0073643410852713</v>
      </c>
      <c r="K1099" s="16">
        <f t="shared" si="85"/>
        <v>51.29999999999999</v>
      </c>
      <c r="L1099" s="16">
        <f t="shared" si="86"/>
        <v>49.7430612244898</v>
      </c>
      <c r="M1099" s="25" t="str">
        <f t="shared" si="87"/>
        <v>HOLD</v>
      </c>
    </row>
    <row r="1100" spans="2:13">
      <c r="B1100" s="3">
        <v>43649</v>
      </c>
      <c r="C1100" s="5">
        <v>52.1</v>
      </c>
      <c r="D1100" s="5">
        <v>52</v>
      </c>
      <c r="E1100" s="5">
        <v>52.33</v>
      </c>
      <c r="F1100" s="5">
        <v>52</v>
      </c>
      <c r="G1100" s="18" t="s">
        <v>966</v>
      </c>
      <c r="H1100" s="2">
        <v>2.3E-3</v>
      </c>
      <c r="I1100" s="16">
        <f t="shared" si="88"/>
        <v>2.3085802231628426E-3</v>
      </c>
      <c r="J1100" s="16">
        <f t="shared" si="89"/>
        <v>1.0023085802231628</v>
      </c>
      <c r="K1100" s="16">
        <f t="shared" si="85"/>
        <v>51.363157894736837</v>
      </c>
      <c r="L1100" s="16">
        <f t="shared" si="86"/>
        <v>49.820000000000007</v>
      </c>
      <c r="M1100" s="25" t="str">
        <f t="shared" si="87"/>
        <v>HOLD</v>
      </c>
    </row>
    <row r="1101" spans="2:13">
      <c r="B1101" s="3">
        <v>43651</v>
      </c>
      <c r="C1101" s="5">
        <v>52.11</v>
      </c>
      <c r="D1101" s="5">
        <v>51.89</v>
      </c>
      <c r="E1101" s="5">
        <v>52.12</v>
      </c>
      <c r="F1101" s="5">
        <v>51.48</v>
      </c>
      <c r="G1101" s="18" t="s">
        <v>517</v>
      </c>
      <c r="H1101" s="2">
        <v>2.0000000000000001E-4</v>
      </c>
      <c r="I1101" s="16">
        <f t="shared" si="88"/>
        <v>1.9193857965447237E-4</v>
      </c>
      <c r="J1101" s="16">
        <f t="shared" si="89"/>
        <v>1.0001919385796545</v>
      </c>
      <c r="K1101" s="16">
        <f t="shared" si="85"/>
        <v>51.4</v>
      </c>
      <c r="L1101" s="16">
        <f t="shared" si="86"/>
        <v>49.904081632653067</v>
      </c>
      <c r="M1101" s="25" t="str">
        <f t="shared" si="87"/>
        <v>HOLD</v>
      </c>
    </row>
    <row r="1102" spans="2:13">
      <c r="B1102" s="3">
        <v>43654</v>
      </c>
      <c r="C1102" s="5">
        <v>52</v>
      </c>
      <c r="D1102" s="5">
        <v>52.2</v>
      </c>
      <c r="E1102" s="5">
        <v>52.33</v>
      </c>
      <c r="F1102" s="5">
        <v>51.89</v>
      </c>
      <c r="G1102" s="18" t="s">
        <v>965</v>
      </c>
      <c r="H1102" s="2">
        <v>-2.0999999999999999E-3</v>
      </c>
      <c r="I1102" s="16">
        <f t="shared" si="88"/>
        <v>-2.1109192093647943E-3</v>
      </c>
      <c r="J1102" s="16">
        <f t="shared" si="89"/>
        <v>0.99788908079063521</v>
      </c>
      <c r="K1102" s="16">
        <f t="shared" si="85"/>
        <v>51.432631578947372</v>
      </c>
      <c r="L1102" s="16">
        <f t="shared" si="86"/>
        <v>49.991224489795933</v>
      </c>
      <c r="M1102" s="25" t="str">
        <f t="shared" si="87"/>
        <v>HOLD</v>
      </c>
    </row>
    <row r="1103" spans="2:13">
      <c r="B1103" s="3">
        <v>43655</v>
      </c>
      <c r="C1103" s="5">
        <v>51.59</v>
      </c>
      <c r="D1103" s="5">
        <v>51.72</v>
      </c>
      <c r="E1103" s="5">
        <v>51.97</v>
      </c>
      <c r="F1103" s="5">
        <v>51.43</v>
      </c>
      <c r="G1103" s="18" t="s">
        <v>796</v>
      </c>
      <c r="H1103" s="2">
        <v>-7.9000000000000008E-3</v>
      </c>
      <c r="I1103" s="16">
        <f t="shared" si="88"/>
        <v>-7.8846153846153198E-3</v>
      </c>
      <c r="J1103" s="16">
        <f t="shared" si="89"/>
        <v>0.99211538461538473</v>
      </c>
      <c r="K1103" s="16">
        <f t="shared" si="85"/>
        <v>51.465263157894739</v>
      </c>
      <c r="L1103" s="16">
        <f t="shared" si="86"/>
        <v>50.067551020408175</v>
      </c>
      <c r="M1103" s="25" t="str">
        <f t="shared" si="87"/>
        <v>HOLD</v>
      </c>
    </row>
    <row r="1104" spans="2:13">
      <c r="B1104" s="3">
        <v>43656</v>
      </c>
      <c r="C1104" s="5">
        <v>51.82</v>
      </c>
      <c r="D1104" s="5">
        <v>51.8</v>
      </c>
      <c r="E1104" s="5">
        <v>51.97</v>
      </c>
      <c r="F1104" s="5">
        <v>51.66</v>
      </c>
      <c r="G1104" s="18" t="s">
        <v>964</v>
      </c>
      <c r="H1104" s="2">
        <v>4.4999999999999997E-3</v>
      </c>
      <c r="I1104" s="16">
        <f t="shared" si="88"/>
        <v>4.4582283388252932E-3</v>
      </c>
      <c r="J1104" s="16">
        <f t="shared" si="89"/>
        <v>1.0044582283388253</v>
      </c>
      <c r="K1104" s="16">
        <f t="shared" si="85"/>
        <v>51.478947368421061</v>
      </c>
      <c r="L1104" s="16">
        <f t="shared" si="86"/>
        <v>50.132244897959204</v>
      </c>
      <c r="M1104" s="25" t="str">
        <f t="shared" si="87"/>
        <v>HOLD</v>
      </c>
    </row>
    <row r="1105" spans="2:13">
      <c r="B1105" s="3">
        <v>43657</v>
      </c>
      <c r="C1105" s="5">
        <v>52.04</v>
      </c>
      <c r="D1105" s="5">
        <v>51.99</v>
      </c>
      <c r="E1105" s="5">
        <v>52.06</v>
      </c>
      <c r="F1105" s="5">
        <v>51.66</v>
      </c>
      <c r="G1105" s="18" t="s">
        <v>963</v>
      </c>
      <c r="H1105" s="2">
        <v>4.1999999999999997E-3</v>
      </c>
      <c r="I1105" s="16">
        <f t="shared" si="88"/>
        <v>4.2454650714009818E-3</v>
      </c>
      <c r="J1105" s="16">
        <f t="shared" si="89"/>
        <v>1.004245465071401</v>
      </c>
      <c r="K1105" s="16">
        <f t="shared" si="85"/>
        <v>51.488421052631587</v>
      </c>
      <c r="L1105" s="16">
        <f t="shared" si="86"/>
        <v>50.188571428571443</v>
      </c>
      <c r="M1105" s="25" t="str">
        <f t="shared" si="87"/>
        <v>HOLD</v>
      </c>
    </row>
    <row r="1106" spans="2:13">
      <c r="B1106" s="3">
        <v>43658</v>
      </c>
      <c r="C1106" s="5">
        <v>52.12</v>
      </c>
      <c r="D1106" s="5">
        <v>52.25</v>
      </c>
      <c r="E1106" s="5">
        <v>52.29</v>
      </c>
      <c r="F1106" s="5">
        <v>51.91</v>
      </c>
      <c r="G1106" s="18" t="s">
        <v>962</v>
      </c>
      <c r="H1106" s="2">
        <v>1.5E-3</v>
      </c>
      <c r="I1106" s="16">
        <f t="shared" si="88"/>
        <v>1.5372790161413969E-3</v>
      </c>
      <c r="J1106" s="16">
        <f t="shared" si="89"/>
        <v>1.0015372790161414</v>
      </c>
      <c r="K1106" s="16">
        <f t="shared" si="85"/>
        <v>51.53631578947369</v>
      </c>
      <c r="L1106" s="16">
        <f t="shared" si="86"/>
        <v>50.258979591836749</v>
      </c>
      <c r="M1106" s="25" t="str">
        <f t="shared" si="87"/>
        <v>HOLD</v>
      </c>
    </row>
    <row r="1107" spans="2:13">
      <c r="B1107" s="3">
        <v>43661</v>
      </c>
      <c r="C1107" s="5">
        <v>52.13</v>
      </c>
      <c r="D1107" s="5">
        <v>52.28</v>
      </c>
      <c r="E1107" s="5">
        <v>52.29</v>
      </c>
      <c r="F1107" s="5">
        <v>51.87</v>
      </c>
      <c r="G1107" s="18" t="s">
        <v>961</v>
      </c>
      <c r="H1107" s="2">
        <v>2.0000000000000001E-4</v>
      </c>
      <c r="I1107" s="16">
        <f t="shared" si="88"/>
        <v>1.9186492709142588E-4</v>
      </c>
      <c r="J1107" s="16">
        <f t="shared" si="89"/>
        <v>1.0001918649270913</v>
      </c>
      <c r="K1107" s="16">
        <f t="shared" si="85"/>
        <v>51.578947368421062</v>
      </c>
      <c r="L1107" s="16">
        <f t="shared" si="86"/>
        <v>50.335102040816338</v>
      </c>
      <c r="M1107" s="25" t="str">
        <f t="shared" si="87"/>
        <v>HOLD</v>
      </c>
    </row>
    <row r="1108" spans="2:13">
      <c r="B1108" s="3">
        <v>43662</v>
      </c>
      <c r="C1108" s="5">
        <v>52.14</v>
      </c>
      <c r="D1108" s="5">
        <v>51.96</v>
      </c>
      <c r="E1108" s="5">
        <v>52.47</v>
      </c>
      <c r="F1108" s="5">
        <v>51.81</v>
      </c>
      <c r="G1108" s="18" t="s">
        <v>960</v>
      </c>
      <c r="H1108" s="2">
        <v>2.0000000000000001E-4</v>
      </c>
      <c r="I1108" s="16">
        <f t="shared" si="88"/>
        <v>1.9182812200264741E-4</v>
      </c>
      <c r="J1108" s="16">
        <f t="shared" si="89"/>
        <v>1.0001918281220026</v>
      </c>
      <c r="K1108" s="16">
        <f t="shared" si="85"/>
        <v>51.645263157894739</v>
      </c>
      <c r="L1108" s="16">
        <f t="shared" si="86"/>
        <v>50.404693877551026</v>
      </c>
      <c r="M1108" s="25" t="str">
        <f t="shared" si="87"/>
        <v>HOLD</v>
      </c>
    </row>
    <row r="1109" spans="2:13">
      <c r="B1109" s="3">
        <v>43663</v>
      </c>
      <c r="C1109" s="5">
        <v>52.18</v>
      </c>
      <c r="D1109" s="5">
        <v>52.22</v>
      </c>
      <c r="E1109" s="5">
        <v>52.26</v>
      </c>
      <c r="F1109" s="5">
        <v>52.01</v>
      </c>
      <c r="G1109" s="18" t="s">
        <v>959</v>
      </c>
      <c r="H1109" s="2">
        <v>8.0000000000000004E-4</v>
      </c>
      <c r="I1109" s="16">
        <f t="shared" si="88"/>
        <v>7.6716532412733304E-4</v>
      </c>
      <c r="J1109" s="16">
        <f t="shared" si="89"/>
        <v>1.0007671653241272</v>
      </c>
      <c r="K1109" s="16">
        <f t="shared" si="85"/>
        <v>51.724210526315794</v>
      </c>
      <c r="L1109" s="16">
        <f t="shared" si="86"/>
        <v>50.479591836734706</v>
      </c>
      <c r="M1109" s="25" t="str">
        <f t="shared" si="87"/>
        <v>HOLD</v>
      </c>
    </row>
    <row r="1110" spans="2:13">
      <c r="B1110" s="3">
        <v>43664</v>
      </c>
      <c r="C1110" s="5">
        <v>52.03</v>
      </c>
      <c r="D1110" s="5">
        <v>52.04</v>
      </c>
      <c r="E1110" s="5">
        <v>52.17</v>
      </c>
      <c r="F1110" s="5">
        <v>51.67</v>
      </c>
      <c r="G1110" s="18" t="s">
        <v>958</v>
      </c>
      <c r="H1110" s="2">
        <v>-2.8999999999999998E-3</v>
      </c>
      <c r="I1110" s="16">
        <f t="shared" si="88"/>
        <v>-2.8746646224606857E-3</v>
      </c>
      <c r="J1110" s="16">
        <f t="shared" si="89"/>
        <v>0.99712533537753933</v>
      </c>
      <c r="K1110" s="16">
        <f t="shared" si="85"/>
        <v>51.78</v>
      </c>
      <c r="L1110" s="16">
        <f t="shared" si="86"/>
        <v>50.564897959183668</v>
      </c>
      <c r="M1110" s="25" t="str">
        <f t="shared" si="87"/>
        <v>HOLD</v>
      </c>
    </row>
    <row r="1111" spans="2:13">
      <c r="B1111" s="3">
        <v>43665</v>
      </c>
      <c r="C1111" s="5">
        <v>51.39</v>
      </c>
      <c r="D1111" s="5">
        <v>52.14</v>
      </c>
      <c r="E1111" s="5">
        <v>52.15</v>
      </c>
      <c r="F1111" s="5">
        <v>51.37</v>
      </c>
      <c r="G1111" s="18" t="s">
        <v>97</v>
      </c>
      <c r="H1111" s="2">
        <v>-1.23E-2</v>
      </c>
      <c r="I1111" s="16">
        <f t="shared" si="88"/>
        <v>-1.2300595810109562E-2</v>
      </c>
      <c r="J1111" s="16">
        <f t="shared" si="89"/>
        <v>0.98769940418989044</v>
      </c>
      <c r="K1111" s="16">
        <f t="shared" si="85"/>
        <v>51.799473684210533</v>
      </c>
      <c r="L1111" s="16">
        <f t="shared" si="86"/>
        <v>50.650204081632644</v>
      </c>
      <c r="M1111" s="25" t="str">
        <f t="shared" si="87"/>
        <v>HOLD</v>
      </c>
    </row>
    <row r="1112" spans="2:13">
      <c r="B1112" s="3">
        <v>43668</v>
      </c>
      <c r="C1112" s="5">
        <v>51.22</v>
      </c>
      <c r="D1112" s="5">
        <v>51.52</v>
      </c>
      <c r="E1112" s="5">
        <v>51.52</v>
      </c>
      <c r="F1112" s="5">
        <v>51.13</v>
      </c>
      <c r="G1112" s="18" t="s">
        <v>26</v>
      </c>
      <c r="H1112" s="2">
        <v>-3.3E-3</v>
      </c>
      <c r="I1112" s="16">
        <f t="shared" si="88"/>
        <v>-3.3080365829928331E-3</v>
      </c>
      <c r="J1112" s="16">
        <f t="shared" si="89"/>
        <v>0.99669196341700717</v>
      </c>
      <c r="K1112" s="16">
        <f t="shared" si="85"/>
        <v>51.79105263157895</v>
      </c>
      <c r="L1112" s="16">
        <f t="shared" si="86"/>
        <v>50.731632653061226</v>
      </c>
      <c r="M1112" s="25" t="str">
        <f t="shared" si="87"/>
        <v>HOLD</v>
      </c>
    </row>
    <row r="1113" spans="2:13">
      <c r="B1113" s="3">
        <v>43669</v>
      </c>
      <c r="C1113" s="5">
        <v>54.33</v>
      </c>
      <c r="D1113" s="5">
        <v>53.25</v>
      </c>
      <c r="E1113" s="5">
        <v>54.63</v>
      </c>
      <c r="F1113" s="5">
        <v>52.76</v>
      </c>
      <c r="G1113" s="18" t="s">
        <v>957</v>
      </c>
      <c r="H1113" s="2">
        <v>6.0699999999999997E-2</v>
      </c>
      <c r="I1113" s="16">
        <f t="shared" si="88"/>
        <v>6.0718469347910961E-2</v>
      </c>
      <c r="J1113" s="16">
        <f t="shared" si="89"/>
        <v>1.060718469347911</v>
      </c>
      <c r="K1113" s="16">
        <f t="shared" si="85"/>
        <v>51.754210526315795</v>
      </c>
      <c r="L1113" s="16">
        <f t="shared" si="86"/>
        <v>50.793469387755088</v>
      </c>
      <c r="M1113" s="25" t="str">
        <f t="shared" si="87"/>
        <v>HOLD</v>
      </c>
    </row>
    <row r="1114" spans="2:13">
      <c r="B1114" s="3">
        <v>43670</v>
      </c>
      <c r="C1114" s="5">
        <v>53.78</v>
      </c>
      <c r="D1114" s="5">
        <v>54.12</v>
      </c>
      <c r="E1114" s="5">
        <v>54.82</v>
      </c>
      <c r="F1114" s="5">
        <v>53.62</v>
      </c>
      <c r="G1114" s="18" t="s">
        <v>387</v>
      </c>
      <c r="H1114" s="2">
        <v>-1.01E-2</v>
      </c>
      <c r="I1114" s="16">
        <f t="shared" si="88"/>
        <v>-1.0123320449107255E-2</v>
      </c>
      <c r="J1114" s="16">
        <f t="shared" si="89"/>
        <v>0.98987667955089276</v>
      </c>
      <c r="K1114" s="16">
        <f t="shared" si="85"/>
        <v>51.889473684210522</v>
      </c>
      <c r="L1114" s="16">
        <f t="shared" si="86"/>
        <v>50.921632653061202</v>
      </c>
      <c r="M1114" s="25" t="str">
        <f t="shared" si="87"/>
        <v>HOLD</v>
      </c>
    </row>
    <row r="1115" spans="2:13">
      <c r="B1115" s="3">
        <v>43671</v>
      </c>
      <c r="C1115" s="5">
        <v>53.07</v>
      </c>
      <c r="D1115" s="5">
        <v>53.63</v>
      </c>
      <c r="E1115" s="5">
        <v>53.8</v>
      </c>
      <c r="F1115" s="5">
        <v>52.72</v>
      </c>
      <c r="G1115" s="18" t="s">
        <v>956</v>
      </c>
      <c r="H1115" s="2">
        <v>-1.32E-2</v>
      </c>
      <c r="I1115" s="16">
        <f t="shared" si="88"/>
        <v>-1.3201933804388263E-2</v>
      </c>
      <c r="J1115" s="16">
        <f t="shared" si="89"/>
        <v>0.98679806619561172</v>
      </c>
      <c r="K1115" s="16">
        <f t="shared" ref="K1115:K1178" si="90">AVERAGE(C1096:C1114)</f>
        <v>52.029473684210522</v>
      </c>
      <c r="L1115" s="16">
        <f t="shared" si="86"/>
        <v>51.025510204081613</v>
      </c>
      <c r="M1115" s="25" t="str">
        <f t="shared" si="87"/>
        <v>HOLD</v>
      </c>
    </row>
    <row r="1116" spans="2:13">
      <c r="B1116" s="3">
        <v>43672</v>
      </c>
      <c r="C1116" s="5">
        <v>54.17</v>
      </c>
      <c r="D1116" s="5">
        <v>53.34</v>
      </c>
      <c r="E1116" s="5">
        <v>54.31</v>
      </c>
      <c r="F1116" s="5">
        <v>53.19</v>
      </c>
      <c r="G1116" s="18" t="s">
        <v>507</v>
      </c>
      <c r="H1116" s="2">
        <v>2.07E-2</v>
      </c>
      <c r="I1116" s="16">
        <f t="shared" si="88"/>
        <v>2.072734124740911E-2</v>
      </c>
      <c r="J1116" s="16">
        <f t="shared" si="89"/>
        <v>1.0207273412474092</v>
      </c>
      <c r="K1116" s="16">
        <f t="shared" si="90"/>
        <v>52.13421052631579</v>
      </c>
      <c r="L1116" s="16">
        <f t="shared" si="86"/>
        <v>51.10489795918366</v>
      </c>
      <c r="M1116" s="25" t="str">
        <f t="shared" si="87"/>
        <v>HOLD</v>
      </c>
    </row>
    <row r="1117" spans="2:13">
      <c r="B1117" s="3">
        <v>43675</v>
      </c>
      <c r="C1117" s="5">
        <v>53.99</v>
      </c>
      <c r="D1117" s="5">
        <v>54.17</v>
      </c>
      <c r="E1117" s="5">
        <v>54.3</v>
      </c>
      <c r="F1117" s="5">
        <v>53.9</v>
      </c>
      <c r="G1117" s="18" t="s">
        <v>955</v>
      </c>
      <c r="H1117" s="2">
        <v>-3.3E-3</v>
      </c>
      <c r="I1117" s="16">
        <f t="shared" si="88"/>
        <v>-3.3228724386191563E-3</v>
      </c>
      <c r="J1117" s="16">
        <f t="shared" si="89"/>
        <v>0.99667712756138083</v>
      </c>
      <c r="K1117" s="16">
        <f t="shared" si="90"/>
        <v>52.305263157894736</v>
      </c>
      <c r="L1117" s="16">
        <f t="shared" si="86"/>
        <v>51.19857142857142</v>
      </c>
      <c r="M1117" s="25" t="str">
        <f t="shared" si="87"/>
        <v>HOLD</v>
      </c>
    </row>
    <row r="1118" spans="2:13">
      <c r="B1118" s="3">
        <v>43676</v>
      </c>
      <c r="C1118" s="5">
        <v>53.72</v>
      </c>
      <c r="D1118" s="5">
        <v>53.96</v>
      </c>
      <c r="E1118" s="5">
        <v>54.3</v>
      </c>
      <c r="F1118" s="5">
        <v>53.56</v>
      </c>
      <c r="G1118" s="18" t="s">
        <v>954</v>
      </c>
      <c r="H1118" s="2">
        <v>-5.0000000000000001E-3</v>
      </c>
      <c r="I1118" s="16">
        <f t="shared" si="88"/>
        <v>-5.0009260974255071E-3</v>
      </c>
      <c r="J1118" s="16">
        <f t="shared" si="89"/>
        <v>0.99499907390257447</v>
      </c>
      <c r="K1118" s="16">
        <f t="shared" si="90"/>
        <v>52.431052631578943</v>
      </c>
      <c r="L1118" s="16">
        <f t="shared" si="86"/>
        <v>51.296326530612234</v>
      </c>
      <c r="M1118" s="25" t="str">
        <f t="shared" si="87"/>
        <v>HOLD</v>
      </c>
    </row>
    <row r="1119" spans="2:13">
      <c r="B1119" s="3">
        <v>43677</v>
      </c>
      <c r="C1119" s="5">
        <v>52.63</v>
      </c>
      <c r="D1119" s="5">
        <v>53.51</v>
      </c>
      <c r="E1119" s="5">
        <v>53.51</v>
      </c>
      <c r="F1119" s="5">
        <v>52.04</v>
      </c>
      <c r="G1119" s="18" t="s">
        <v>953</v>
      </c>
      <c r="H1119" s="2">
        <v>-2.0299999999999999E-2</v>
      </c>
      <c r="I1119" s="16">
        <f t="shared" si="88"/>
        <v>-2.0290394638868139E-2</v>
      </c>
      <c r="J1119" s="16">
        <f t="shared" si="89"/>
        <v>0.97970960536113183</v>
      </c>
      <c r="K1119" s="16">
        <f t="shared" si="90"/>
        <v>52.522631578947369</v>
      </c>
      <c r="L1119" s="16">
        <f t="shared" si="86"/>
        <v>51.395714285714277</v>
      </c>
      <c r="M1119" s="25" t="str">
        <f t="shared" si="87"/>
        <v>HOLD</v>
      </c>
    </row>
    <row r="1120" spans="2:13">
      <c r="B1120" s="3">
        <v>43678</v>
      </c>
      <c r="C1120" s="5">
        <v>52.03</v>
      </c>
      <c r="D1120" s="5">
        <v>52.78</v>
      </c>
      <c r="E1120" s="5">
        <v>53.2</v>
      </c>
      <c r="F1120" s="5">
        <v>52.01</v>
      </c>
      <c r="G1120" s="18" t="s">
        <v>693</v>
      </c>
      <c r="H1120" s="2">
        <v>-1.14E-2</v>
      </c>
      <c r="I1120" s="16">
        <f t="shared" si="88"/>
        <v>-1.1400342010260335E-2</v>
      </c>
      <c r="J1120" s="16">
        <f t="shared" si="89"/>
        <v>0.9885996579897397</v>
      </c>
      <c r="K1120" s="16">
        <f t="shared" si="90"/>
        <v>52.550526315789476</v>
      </c>
      <c r="L1120" s="16">
        <f t="shared" si="86"/>
        <v>51.477959183673462</v>
      </c>
      <c r="M1120" s="25" t="str">
        <f t="shared" si="87"/>
        <v>HOLD</v>
      </c>
    </row>
    <row r="1121" spans="2:13">
      <c r="B1121" s="3">
        <v>43679</v>
      </c>
      <c r="C1121" s="5">
        <v>52.33</v>
      </c>
      <c r="D1121" s="5">
        <v>51.91</v>
      </c>
      <c r="E1121" s="5">
        <v>52.73</v>
      </c>
      <c r="F1121" s="5">
        <v>51.91</v>
      </c>
      <c r="G1121" s="18" t="s">
        <v>425</v>
      </c>
      <c r="H1121" s="2">
        <v>5.7999999999999996E-3</v>
      </c>
      <c r="I1121" s="16">
        <f t="shared" si="88"/>
        <v>5.7659042859887983E-3</v>
      </c>
      <c r="J1121" s="16">
        <f t="shared" si="89"/>
        <v>1.0057659042859888</v>
      </c>
      <c r="K1121" s="16">
        <f t="shared" si="90"/>
        <v>52.546315789473681</v>
      </c>
      <c r="L1121" s="16">
        <f t="shared" si="86"/>
        <v>51.526530612244891</v>
      </c>
      <c r="M1121" s="25" t="str">
        <f t="shared" si="87"/>
        <v>HOLD</v>
      </c>
    </row>
    <row r="1122" spans="2:13">
      <c r="B1122" s="3">
        <v>43682</v>
      </c>
      <c r="C1122" s="5">
        <v>51.65</v>
      </c>
      <c r="D1122" s="5">
        <v>52.39</v>
      </c>
      <c r="E1122" s="5">
        <v>52.66</v>
      </c>
      <c r="F1122" s="5">
        <v>51.4</v>
      </c>
      <c r="G1122" s="18" t="s">
        <v>952</v>
      </c>
      <c r="H1122" s="2">
        <v>-1.2999999999999999E-2</v>
      </c>
      <c r="I1122" s="16">
        <f t="shared" si="88"/>
        <v>-1.2994458245748132E-2</v>
      </c>
      <c r="J1122" s="16">
        <f t="shared" si="89"/>
        <v>0.98700554175425181</v>
      </c>
      <c r="K1122" s="16">
        <f t="shared" si="90"/>
        <v>52.563684210526318</v>
      </c>
      <c r="L1122" s="16">
        <f t="shared" si="86"/>
        <v>51.57714285714286</v>
      </c>
      <c r="M1122" s="25" t="str">
        <f t="shared" si="87"/>
        <v>HOLD</v>
      </c>
    </row>
    <row r="1123" spans="2:13">
      <c r="B1123" s="3">
        <v>43683</v>
      </c>
      <c r="C1123" s="5">
        <v>52.27</v>
      </c>
      <c r="D1123" s="5">
        <v>51.87</v>
      </c>
      <c r="E1123" s="5">
        <v>52.76</v>
      </c>
      <c r="F1123" s="5">
        <v>51.61</v>
      </c>
      <c r="G1123" s="18" t="s">
        <v>838</v>
      </c>
      <c r="H1123" s="2">
        <v>1.2E-2</v>
      </c>
      <c r="I1123" s="16">
        <f t="shared" si="88"/>
        <v>1.2003872216844232E-2</v>
      </c>
      <c r="J1123" s="16">
        <f t="shared" si="89"/>
        <v>1.0120038722168443</v>
      </c>
      <c r="K1123" s="16">
        <f t="shared" si="90"/>
        <v>52.566842105263163</v>
      </c>
      <c r="L1123" s="16">
        <f t="shared" si="86"/>
        <v>51.618775510204088</v>
      </c>
      <c r="M1123" s="25" t="str">
        <f t="shared" si="87"/>
        <v>HOLD</v>
      </c>
    </row>
    <row r="1124" spans="2:13">
      <c r="B1124" s="3">
        <v>43684</v>
      </c>
      <c r="C1124" s="5">
        <v>53.18</v>
      </c>
      <c r="D1124" s="5">
        <v>52.27</v>
      </c>
      <c r="E1124" s="5">
        <v>53.39</v>
      </c>
      <c r="F1124" s="5">
        <v>51.77</v>
      </c>
      <c r="G1124" s="18" t="s">
        <v>951</v>
      </c>
      <c r="H1124" s="2">
        <v>1.7399999999999999E-2</v>
      </c>
      <c r="I1124" s="16">
        <f t="shared" si="88"/>
        <v>1.7409603979337985E-2</v>
      </c>
      <c r="J1124" s="16">
        <f t="shared" si="89"/>
        <v>1.0174096039793379</v>
      </c>
      <c r="K1124" s="16">
        <f t="shared" si="90"/>
        <v>52.590526315789475</v>
      </c>
      <c r="L1124" s="16">
        <f t="shared" si="86"/>
        <v>51.683469387755096</v>
      </c>
      <c r="M1124" s="25" t="str">
        <f t="shared" si="87"/>
        <v>HOLD</v>
      </c>
    </row>
    <row r="1125" spans="2:13">
      <c r="B1125" s="3">
        <v>43685</v>
      </c>
      <c r="C1125" s="5">
        <v>53.69</v>
      </c>
      <c r="D1125" s="5">
        <v>53.21</v>
      </c>
      <c r="E1125" s="5">
        <v>53.78</v>
      </c>
      <c r="F1125" s="5">
        <v>52.85</v>
      </c>
      <c r="G1125" s="18" t="s">
        <v>950</v>
      </c>
      <c r="H1125" s="2">
        <v>9.5999999999999992E-3</v>
      </c>
      <c r="I1125" s="16">
        <f t="shared" si="88"/>
        <v>9.5900714554343364E-3</v>
      </c>
      <c r="J1125" s="16">
        <f t="shared" si="89"/>
        <v>1.0095900714554344</v>
      </c>
      <c r="K1125" s="16">
        <f t="shared" si="90"/>
        <v>52.650526315789477</v>
      </c>
      <c r="L1125" s="16">
        <f t="shared" si="86"/>
        <v>51.776734693877543</v>
      </c>
      <c r="M1125" s="25" t="str">
        <f t="shared" si="87"/>
        <v>HOLD</v>
      </c>
    </row>
    <row r="1126" spans="2:13">
      <c r="B1126" s="3">
        <v>43686</v>
      </c>
      <c r="C1126" s="5">
        <v>53.42</v>
      </c>
      <c r="D1126" s="5">
        <v>53.79</v>
      </c>
      <c r="E1126" s="5">
        <v>53.9</v>
      </c>
      <c r="F1126" s="5">
        <v>53.08</v>
      </c>
      <c r="G1126" s="18" t="s">
        <v>46</v>
      </c>
      <c r="H1126" s="2">
        <v>-5.0000000000000001E-3</v>
      </c>
      <c r="I1126" s="16">
        <f t="shared" si="88"/>
        <v>-5.028869435649023E-3</v>
      </c>
      <c r="J1126" s="16">
        <f t="shared" si="89"/>
        <v>0.99497113056435094</v>
      </c>
      <c r="K1126" s="16">
        <f t="shared" si="90"/>
        <v>52.733157894736848</v>
      </c>
      <c r="L1126" s="16">
        <f t="shared" si="86"/>
        <v>51.867346938775491</v>
      </c>
      <c r="M1126" s="25" t="str">
        <f t="shared" si="87"/>
        <v>HOLD</v>
      </c>
    </row>
    <row r="1127" spans="2:13">
      <c r="B1127" s="3">
        <v>43689</v>
      </c>
      <c r="C1127" s="5">
        <v>53.2</v>
      </c>
      <c r="D1127" s="5">
        <v>53.28</v>
      </c>
      <c r="E1127" s="5">
        <v>53.44</v>
      </c>
      <c r="F1127" s="5">
        <v>52.99</v>
      </c>
      <c r="G1127" s="18" t="s">
        <v>949</v>
      </c>
      <c r="H1127" s="2">
        <v>-4.1000000000000003E-3</v>
      </c>
      <c r="I1127" s="16">
        <f t="shared" si="88"/>
        <v>-4.1183077499063808E-3</v>
      </c>
      <c r="J1127" s="16">
        <f t="shared" si="89"/>
        <v>0.9958816922500936</v>
      </c>
      <c r="K1127" s="16">
        <f t="shared" si="90"/>
        <v>52.801052631578941</v>
      </c>
      <c r="L1127" s="16">
        <f t="shared" si="86"/>
        <v>51.954897959183661</v>
      </c>
      <c r="M1127" s="25" t="str">
        <f t="shared" si="87"/>
        <v>HOLD</v>
      </c>
    </row>
    <row r="1128" spans="2:13">
      <c r="B1128" s="3">
        <v>43690</v>
      </c>
      <c r="C1128" s="5">
        <v>53.5</v>
      </c>
      <c r="D1128" s="5">
        <v>52.9</v>
      </c>
      <c r="E1128" s="5">
        <v>53.61</v>
      </c>
      <c r="F1128" s="5">
        <v>52.87</v>
      </c>
      <c r="G1128" s="18" t="s">
        <v>179</v>
      </c>
      <c r="H1128" s="2">
        <v>5.5999999999999999E-3</v>
      </c>
      <c r="I1128" s="16">
        <f t="shared" si="88"/>
        <v>5.6390977443608482E-3</v>
      </c>
      <c r="J1128" s="16">
        <f t="shared" si="89"/>
        <v>1.0056390977443608</v>
      </c>
      <c r="K1128" s="16">
        <f t="shared" si="90"/>
        <v>52.856842105263162</v>
      </c>
      <c r="L1128" s="16">
        <f t="shared" si="86"/>
        <v>52.020612244897954</v>
      </c>
      <c r="M1128" s="25" t="str">
        <f t="shared" si="87"/>
        <v>HOLD</v>
      </c>
    </row>
    <row r="1129" spans="2:13">
      <c r="B1129" s="3">
        <v>43691</v>
      </c>
      <c r="C1129" s="5">
        <v>52.99</v>
      </c>
      <c r="D1129" s="5">
        <v>53.34</v>
      </c>
      <c r="E1129" s="5">
        <v>53.97</v>
      </c>
      <c r="F1129" s="5">
        <v>52.97</v>
      </c>
      <c r="G1129" s="18" t="s">
        <v>735</v>
      </c>
      <c r="H1129" s="2">
        <v>-9.4999999999999998E-3</v>
      </c>
      <c r="I1129" s="16">
        <f t="shared" si="88"/>
        <v>-9.5327102803737952E-3</v>
      </c>
      <c r="J1129" s="16">
        <f t="shared" si="89"/>
        <v>0.99046728971962616</v>
      </c>
      <c r="K1129" s="16">
        <f t="shared" si="90"/>
        <v>52.926315789473684</v>
      </c>
      <c r="L1129" s="16">
        <f t="shared" si="86"/>
        <v>52.092040816326524</v>
      </c>
      <c r="M1129" s="25" t="str">
        <f t="shared" si="87"/>
        <v>HOLD</v>
      </c>
    </row>
    <row r="1130" spans="2:13">
      <c r="B1130" s="3">
        <v>43692</v>
      </c>
      <c r="C1130" s="5">
        <v>53.87</v>
      </c>
      <c r="D1130" s="5">
        <v>53.43</v>
      </c>
      <c r="E1130" s="5">
        <v>54</v>
      </c>
      <c r="F1130" s="5">
        <v>53.23</v>
      </c>
      <c r="G1130" s="18" t="s">
        <v>948</v>
      </c>
      <c r="H1130" s="2">
        <v>1.66E-2</v>
      </c>
      <c r="I1130" s="16">
        <f t="shared" si="88"/>
        <v>1.6606906963577948E-2</v>
      </c>
      <c r="J1130" s="16">
        <f t="shared" si="89"/>
        <v>1.0166069069635779</v>
      </c>
      <c r="K1130" s="16">
        <f t="shared" si="90"/>
        <v>52.97684210526316</v>
      </c>
      <c r="L1130" s="16">
        <f t="shared" si="86"/>
        <v>52.137142857142841</v>
      </c>
      <c r="M1130" s="25" t="str">
        <f t="shared" si="87"/>
        <v>HOLD</v>
      </c>
    </row>
    <row r="1131" spans="2:13">
      <c r="B1131" s="3">
        <v>43693</v>
      </c>
      <c r="C1131" s="5">
        <v>54.41</v>
      </c>
      <c r="D1131" s="5">
        <v>53.98</v>
      </c>
      <c r="E1131" s="5">
        <v>54.49</v>
      </c>
      <c r="F1131" s="5">
        <v>53.95</v>
      </c>
      <c r="G1131" s="18" t="s">
        <v>851</v>
      </c>
      <c r="H1131" s="2">
        <v>0.01</v>
      </c>
      <c r="I1131" s="16">
        <f t="shared" si="88"/>
        <v>1.0024132170038967E-2</v>
      </c>
      <c r="J1131" s="16">
        <f t="shared" si="89"/>
        <v>1.0100241321700389</v>
      </c>
      <c r="K1131" s="16">
        <f t="shared" si="90"/>
        <v>53.107368421052627</v>
      </c>
      <c r="L1131" s="16">
        <f t="shared" si="86"/>
        <v>52.187551020408158</v>
      </c>
      <c r="M1131" s="25" t="str">
        <f t="shared" si="87"/>
        <v>HOLD</v>
      </c>
    </row>
    <row r="1132" spans="2:13">
      <c r="B1132" s="3">
        <v>43696</v>
      </c>
      <c r="C1132" s="5">
        <v>54.69</v>
      </c>
      <c r="D1132" s="5">
        <v>54.44</v>
      </c>
      <c r="E1132" s="5">
        <v>54.78</v>
      </c>
      <c r="F1132" s="5">
        <v>54.31</v>
      </c>
      <c r="G1132" s="18" t="s">
        <v>385</v>
      </c>
      <c r="H1132" s="2">
        <v>5.1000000000000004E-3</v>
      </c>
      <c r="I1132" s="16">
        <f t="shared" si="88"/>
        <v>5.1461128469031643E-3</v>
      </c>
      <c r="J1132" s="16">
        <f t="shared" si="89"/>
        <v>1.0051461128469033</v>
      </c>
      <c r="K1132" s="16">
        <f t="shared" si="90"/>
        <v>53.275263157894734</v>
      </c>
      <c r="L1132" s="16">
        <f t="shared" si="86"/>
        <v>52.24714285714284</v>
      </c>
      <c r="M1132" s="25" t="str">
        <f t="shared" si="87"/>
        <v>HOLD</v>
      </c>
    </row>
    <row r="1133" spans="2:13">
      <c r="B1133" s="3">
        <v>43697</v>
      </c>
      <c r="C1133" s="5">
        <v>53.88</v>
      </c>
      <c r="D1133" s="5">
        <v>54.62</v>
      </c>
      <c r="E1133" s="5">
        <v>54.68</v>
      </c>
      <c r="F1133" s="5">
        <v>53.84</v>
      </c>
      <c r="G1133" s="18" t="s">
        <v>173</v>
      </c>
      <c r="H1133" s="2">
        <v>-1.4800000000000001E-2</v>
      </c>
      <c r="I1133" s="16">
        <f t="shared" si="88"/>
        <v>-1.4810751508502381E-2</v>
      </c>
      <c r="J1133" s="16">
        <f t="shared" si="89"/>
        <v>0.98518924849149758</v>
      </c>
      <c r="K1133" s="16">
        <f t="shared" si="90"/>
        <v>53.294210526315787</v>
      </c>
      <c r="L1133" s="16">
        <f t="shared" si="86"/>
        <v>52.314693877551015</v>
      </c>
      <c r="M1133" s="25" t="str">
        <f t="shared" si="87"/>
        <v>HOLD</v>
      </c>
    </row>
    <row r="1134" spans="2:13">
      <c r="B1134" s="3">
        <v>43698</v>
      </c>
      <c r="C1134" s="5">
        <v>54.1</v>
      </c>
      <c r="D1134" s="5">
        <v>54.25</v>
      </c>
      <c r="E1134" s="5">
        <v>54.41</v>
      </c>
      <c r="F1134" s="5">
        <v>53.85</v>
      </c>
      <c r="G1134" s="18" t="s">
        <v>947</v>
      </c>
      <c r="H1134" s="2">
        <v>4.1000000000000003E-3</v>
      </c>
      <c r="I1134" s="16">
        <f t="shared" si="88"/>
        <v>4.0831477357089613E-3</v>
      </c>
      <c r="J1134" s="16">
        <f t="shared" si="89"/>
        <v>1.0040831477357091</v>
      </c>
      <c r="K1134" s="16">
        <f t="shared" si="90"/>
        <v>53.299473684210525</v>
      </c>
      <c r="L1134" s="16">
        <f t="shared" si="86"/>
        <v>52.366734693877547</v>
      </c>
      <c r="M1134" s="25" t="str">
        <f t="shared" si="87"/>
        <v>HOLD</v>
      </c>
    </row>
    <row r="1135" spans="2:13">
      <c r="B1135" s="3">
        <v>43699</v>
      </c>
      <c r="C1135" s="5">
        <v>54.49</v>
      </c>
      <c r="D1135" s="5">
        <v>54.12</v>
      </c>
      <c r="E1135" s="5">
        <v>54.64</v>
      </c>
      <c r="F1135" s="5">
        <v>54.1</v>
      </c>
      <c r="G1135" s="18" t="s">
        <v>946</v>
      </c>
      <c r="H1135" s="2">
        <v>7.1999999999999998E-3</v>
      </c>
      <c r="I1135" s="16">
        <f t="shared" si="88"/>
        <v>7.2088724584103616E-3</v>
      </c>
      <c r="J1135" s="16">
        <f t="shared" si="89"/>
        <v>1.0072088724584103</v>
      </c>
      <c r="K1135" s="16">
        <f t="shared" si="90"/>
        <v>53.353684210526303</v>
      </c>
      <c r="L1135" s="16">
        <f t="shared" si="86"/>
        <v>52.416938775510204</v>
      </c>
      <c r="M1135" s="25" t="str">
        <f t="shared" si="87"/>
        <v>HOLD</v>
      </c>
    </row>
    <row r="1136" spans="2:13">
      <c r="B1136" s="3">
        <v>43700</v>
      </c>
      <c r="C1136" s="5">
        <v>53.74</v>
      </c>
      <c r="D1136" s="5">
        <v>54.42</v>
      </c>
      <c r="E1136" s="5">
        <v>54.71</v>
      </c>
      <c r="F1136" s="5">
        <v>53.39</v>
      </c>
      <c r="G1136" s="18" t="s">
        <v>945</v>
      </c>
      <c r="H1136" s="2">
        <v>-1.38E-2</v>
      </c>
      <c r="I1136" s="16">
        <f t="shared" si="88"/>
        <v>-1.376399339328317E-2</v>
      </c>
      <c r="J1136" s="16">
        <f t="shared" si="89"/>
        <v>0.98623600660671684</v>
      </c>
      <c r="K1136" s="16">
        <f t="shared" si="90"/>
        <v>53.370526315789469</v>
      </c>
      <c r="L1136" s="16">
        <f t="shared" si="86"/>
        <v>52.485510204081621</v>
      </c>
      <c r="M1136" s="25" t="str">
        <f t="shared" si="87"/>
        <v>HOLD</v>
      </c>
    </row>
    <row r="1137" spans="2:13">
      <c r="B1137" s="3">
        <v>43703</v>
      </c>
      <c r="C1137" s="5">
        <v>54.54</v>
      </c>
      <c r="D1137" s="5">
        <v>54</v>
      </c>
      <c r="E1137" s="5">
        <v>54.54</v>
      </c>
      <c r="F1137" s="5">
        <v>53.73</v>
      </c>
      <c r="G1137" s="18" t="s">
        <v>916</v>
      </c>
      <c r="H1137" s="2">
        <v>1.49E-2</v>
      </c>
      <c r="I1137" s="16">
        <f t="shared" si="88"/>
        <v>1.4886490509862247E-2</v>
      </c>
      <c r="J1137" s="16">
        <f t="shared" si="89"/>
        <v>1.0148864905098622</v>
      </c>
      <c r="K1137" s="16">
        <f t="shared" si="90"/>
        <v>53.357368421052627</v>
      </c>
      <c r="L1137" s="16">
        <f t="shared" si="86"/>
        <v>52.535102040816319</v>
      </c>
      <c r="M1137" s="25" t="str">
        <f t="shared" si="87"/>
        <v>HOLD</v>
      </c>
    </row>
    <row r="1138" spans="2:13">
      <c r="B1138" s="3">
        <v>43704</v>
      </c>
      <c r="C1138" s="5">
        <v>54.72</v>
      </c>
      <c r="D1138" s="5">
        <v>54.7</v>
      </c>
      <c r="E1138" s="5">
        <v>54.95</v>
      </c>
      <c r="F1138" s="5">
        <v>54.41</v>
      </c>
      <c r="G1138" s="18" t="s">
        <v>551</v>
      </c>
      <c r="H1138" s="2">
        <v>3.3E-3</v>
      </c>
      <c r="I1138" s="16">
        <f t="shared" si="88"/>
        <v>3.3003300330032952E-3</v>
      </c>
      <c r="J1138" s="16">
        <f t="shared" si="89"/>
        <v>1.0033003300330032</v>
      </c>
      <c r="K1138" s="16">
        <f t="shared" si="90"/>
        <v>53.400526315789477</v>
      </c>
      <c r="L1138" s="16">
        <f t="shared" si="86"/>
        <v>52.609999999999985</v>
      </c>
      <c r="M1138" s="25" t="str">
        <f t="shared" si="87"/>
        <v>HOLD</v>
      </c>
    </row>
    <row r="1139" spans="2:13">
      <c r="B1139" s="3">
        <v>43705</v>
      </c>
      <c r="C1139" s="5">
        <v>55.11</v>
      </c>
      <c r="D1139" s="5">
        <v>54.66</v>
      </c>
      <c r="E1139" s="5">
        <v>55.15</v>
      </c>
      <c r="F1139" s="5">
        <v>54.42</v>
      </c>
      <c r="G1139" s="18" t="s">
        <v>944</v>
      </c>
      <c r="H1139" s="2">
        <v>7.1000000000000004E-3</v>
      </c>
      <c r="I1139" s="16">
        <f t="shared" si="88"/>
        <v>7.1271929824561512E-3</v>
      </c>
      <c r="J1139" s="16">
        <f t="shared" si="89"/>
        <v>1.0071271929824561</v>
      </c>
      <c r="K1139" s="16">
        <f t="shared" si="90"/>
        <v>53.510526315789477</v>
      </c>
      <c r="L1139" s="16">
        <f t="shared" si="86"/>
        <v>52.693265306122434</v>
      </c>
      <c r="M1139" s="25" t="str">
        <f t="shared" si="87"/>
        <v>HOLD</v>
      </c>
    </row>
    <row r="1140" spans="2:13">
      <c r="B1140" s="3">
        <v>43706</v>
      </c>
      <c r="C1140" s="5">
        <v>55.05</v>
      </c>
      <c r="D1140" s="5">
        <v>55.26</v>
      </c>
      <c r="E1140" s="5">
        <v>55.34</v>
      </c>
      <c r="F1140" s="5">
        <v>54.6</v>
      </c>
      <c r="G1140" s="18" t="s">
        <v>46</v>
      </c>
      <c r="H1140" s="2">
        <v>-1.1000000000000001E-3</v>
      </c>
      <c r="I1140" s="16">
        <f t="shared" si="88"/>
        <v>-1.0887316276538246E-3</v>
      </c>
      <c r="J1140" s="16">
        <f t="shared" si="89"/>
        <v>0.99891126837234623</v>
      </c>
      <c r="K1140" s="16">
        <f t="shared" si="90"/>
        <v>53.672631578947374</v>
      </c>
      <c r="L1140" s="16">
        <f t="shared" si="86"/>
        <v>52.774693877551023</v>
      </c>
      <c r="M1140" s="25" t="str">
        <f t="shared" si="87"/>
        <v>HOLD</v>
      </c>
    </row>
    <row r="1141" spans="2:13">
      <c r="B1141" s="3">
        <v>43707</v>
      </c>
      <c r="C1141" s="5">
        <v>55.04</v>
      </c>
      <c r="D1141" s="5">
        <v>55.16</v>
      </c>
      <c r="E1141" s="5">
        <v>55.22</v>
      </c>
      <c r="F1141" s="5">
        <v>54.81</v>
      </c>
      <c r="G1141" s="18" t="s">
        <v>943</v>
      </c>
      <c r="H1141" s="2">
        <v>-2.0000000000000001E-4</v>
      </c>
      <c r="I1141" s="16">
        <f t="shared" si="88"/>
        <v>-1.816530426884289E-4</v>
      </c>
      <c r="J1141" s="16">
        <f t="shared" si="89"/>
        <v>0.99981834695731153</v>
      </c>
      <c r="K1141" s="16">
        <f t="shared" si="90"/>
        <v>53.815789473684205</v>
      </c>
      <c r="L1141" s="16">
        <f t="shared" si="86"/>
        <v>52.843877551020405</v>
      </c>
      <c r="M1141" s="25" t="str">
        <f t="shared" si="87"/>
        <v>HOLD</v>
      </c>
    </row>
    <row r="1142" spans="2:13">
      <c r="B1142" s="3">
        <v>43711</v>
      </c>
      <c r="C1142" s="5">
        <v>55.3</v>
      </c>
      <c r="D1142" s="5">
        <v>54.98</v>
      </c>
      <c r="E1142" s="5">
        <v>55.33</v>
      </c>
      <c r="F1142" s="5">
        <v>54.87</v>
      </c>
      <c r="G1142" s="18" t="s">
        <v>45</v>
      </c>
      <c r="H1142" s="2">
        <v>4.7000000000000002E-3</v>
      </c>
      <c r="I1142" s="16">
        <f t="shared" si="88"/>
        <v>4.7238372093022897E-3</v>
      </c>
      <c r="J1142" s="16">
        <f t="shared" si="89"/>
        <v>1.0047238372093024</v>
      </c>
      <c r="K1142" s="16">
        <f t="shared" si="90"/>
        <v>53.994210526315797</v>
      </c>
      <c r="L1142" s="16">
        <f t="shared" si="86"/>
        <v>52.915102040816322</v>
      </c>
      <c r="M1142" s="25" t="str">
        <f t="shared" si="87"/>
        <v>HOLD</v>
      </c>
    </row>
    <row r="1143" spans="2:13">
      <c r="B1143" s="3">
        <v>43712</v>
      </c>
      <c r="C1143" s="5">
        <v>55.77</v>
      </c>
      <c r="D1143" s="5">
        <v>55.35</v>
      </c>
      <c r="E1143" s="5">
        <v>55.92</v>
      </c>
      <c r="F1143" s="5">
        <v>55.3</v>
      </c>
      <c r="G1143" s="18" t="s">
        <v>942</v>
      </c>
      <c r="H1143" s="2">
        <v>8.5000000000000006E-3</v>
      </c>
      <c r="I1143" s="16">
        <f t="shared" si="88"/>
        <v>8.4990958408681008E-3</v>
      </c>
      <c r="J1143" s="16">
        <f t="shared" si="89"/>
        <v>1.0084990958408682</v>
      </c>
      <c r="K1143" s="16">
        <f t="shared" si="90"/>
        <v>54.153684210526322</v>
      </c>
      <c r="L1143" s="16">
        <f t="shared" si="86"/>
        <v>52.984081632653066</v>
      </c>
      <c r="M1143" s="25" t="str">
        <f t="shared" si="87"/>
        <v>HOLD</v>
      </c>
    </row>
    <row r="1144" spans="2:13">
      <c r="B1144" s="3">
        <v>43713</v>
      </c>
      <c r="C1144" s="5">
        <v>55.12</v>
      </c>
      <c r="D1144" s="5">
        <v>55.75</v>
      </c>
      <c r="E1144" s="5">
        <v>55.77</v>
      </c>
      <c r="F1144" s="5">
        <v>55.03</v>
      </c>
      <c r="G1144" s="18" t="s">
        <v>217</v>
      </c>
      <c r="H1144" s="2">
        <v>-1.17E-2</v>
      </c>
      <c r="I1144" s="16">
        <f t="shared" si="88"/>
        <v>-1.1655011655011756E-2</v>
      </c>
      <c r="J1144" s="16">
        <f t="shared" si="89"/>
        <v>0.9883449883449883</v>
      </c>
      <c r="K1144" s="16">
        <f t="shared" si="90"/>
        <v>54.29</v>
      </c>
      <c r="L1144" s="16">
        <f t="shared" si="86"/>
        <v>53.065918367346939</v>
      </c>
      <c r="M1144" s="25" t="str">
        <f t="shared" si="87"/>
        <v>HOLD</v>
      </c>
    </row>
    <row r="1145" spans="2:13">
      <c r="B1145" s="3">
        <v>43714</v>
      </c>
      <c r="C1145" s="5">
        <v>55.23</v>
      </c>
      <c r="D1145" s="5">
        <v>55.44</v>
      </c>
      <c r="E1145" s="5">
        <v>55.44</v>
      </c>
      <c r="F1145" s="5">
        <v>54.76</v>
      </c>
      <c r="G1145" s="18" t="s">
        <v>403</v>
      </c>
      <c r="H1145" s="2">
        <v>2E-3</v>
      </c>
      <c r="I1145" s="16">
        <f t="shared" si="88"/>
        <v>1.9956458635703818E-3</v>
      </c>
      <c r="J1145" s="16">
        <f t="shared" si="89"/>
        <v>1.0019956458635704</v>
      </c>
      <c r="K1145" s="16">
        <f t="shared" si="90"/>
        <v>54.365263157894731</v>
      </c>
      <c r="L1145" s="16">
        <f t="shared" ref="L1145:L1208" si="91">AVERAGE(C1096:C1144)</f>
        <v>53.147551020408166</v>
      </c>
      <c r="M1145" s="25" t="str">
        <f t="shared" ref="M1145:M1208" si="92">IF(AND(K1145&gt;L1145,K1144&lt;=L1144),"BUY",IF(AND(K1145&lt;L1145,K1144&gt;=L1144),"SELL","HOLD"))</f>
        <v>HOLD</v>
      </c>
    </row>
    <row r="1146" spans="2:13">
      <c r="B1146" s="3">
        <v>43717</v>
      </c>
      <c r="C1146" s="5">
        <v>54.52</v>
      </c>
      <c r="D1146" s="5">
        <v>55.03</v>
      </c>
      <c r="E1146" s="5">
        <v>55.08</v>
      </c>
      <c r="F1146" s="5">
        <v>54.36</v>
      </c>
      <c r="G1146" s="18" t="s">
        <v>941</v>
      </c>
      <c r="H1146" s="2">
        <v>-1.29E-2</v>
      </c>
      <c r="I1146" s="16">
        <f t="shared" si="88"/>
        <v>-1.2855332246967116E-2</v>
      </c>
      <c r="J1146" s="16">
        <f t="shared" si="89"/>
        <v>0.98714466775303289</v>
      </c>
      <c r="K1146" s="16">
        <f t="shared" si="90"/>
        <v>54.460526315789458</v>
      </c>
      <c r="L1146" s="16">
        <f t="shared" si="91"/>
        <v>53.232244897959184</v>
      </c>
      <c r="M1146" s="25" t="str">
        <f t="shared" si="92"/>
        <v>HOLD</v>
      </c>
    </row>
    <row r="1147" spans="2:13">
      <c r="B1147" s="3">
        <v>43718</v>
      </c>
      <c r="C1147" s="5">
        <v>54.4</v>
      </c>
      <c r="D1147" s="5">
        <v>54.23</v>
      </c>
      <c r="E1147" s="5">
        <v>54.44</v>
      </c>
      <c r="F1147" s="5">
        <v>53.85</v>
      </c>
      <c r="G1147" s="18" t="s">
        <v>673</v>
      </c>
      <c r="H1147" s="2">
        <v>-2.2000000000000001E-3</v>
      </c>
      <c r="I1147" s="16">
        <f t="shared" si="88"/>
        <v>-2.2010271460015506E-3</v>
      </c>
      <c r="J1147" s="16">
        <f t="shared" si="89"/>
        <v>0.99779897285399843</v>
      </c>
      <c r="K1147" s="16">
        <f t="shared" si="90"/>
        <v>54.529999999999994</v>
      </c>
      <c r="L1147" s="16">
        <f t="shared" si="91"/>
        <v>53.305714285714295</v>
      </c>
      <c r="M1147" s="25" t="str">
        <f t="shared" si="92"/>
        <v>HOLD</v>
      </c>
    </row>
    <row r="1148" spans="2:13">
      <c r="B1148" s="3">
        <v>43719</v>
      </c>
      <c r="C1148" s="5">
        <v>54.77</v>
      </c>
      <c r="D1148" s="5">
        <v>54.29</v>
      </c>
      <c r="E1148" s="5">
        <v>54.8</v>
      </c>
      <c r="F1148" s="5">
        <v>53.97</v>
      </c>
      <c r="G1148" s="18" t="s">
        <v>428</v>
      </c>
      <c r="H1148" s="2">
        <v>6.7999999999999996E-3</v>
      </c>
      <c r="I1148" s="16">
        <f t="shared" si="88"/>
        <v>6.8014705882353775E-3</v>
      </c>
      <c r="J1148" s="16">
        <f t="shared" si="89"/>
        <v>1.0068014705882353</v>
      </c>
      <c r="K1148" s="16">
        <f t="shared" si="90"/>
        <v>54.577368421052633</v>
      </c>
      <c r="L1148" s="16">
        <f t="shared" si="91"/>
        <v>53.362857142857159</v>
      </c>
      <c r="M1148" s="25" t="str">
        <f t="shared" si="92"/>
        <v>HOLD</v>
      </c>
    </row>
    <row r="1149" spans="2:13">
      <c r="B1149" s="3">
        <v>43720</v>
      </c>
      <c r="C1149" s="5">
        <v>55.11</v>
      </c>
      <c r="D1149" s="5">
        <v>55.1</v>
      </c>
      <c r="E1149" s="5">
        <v>55.31</v>
      </c>
      <c r="F1149" s="5">
        <v>54.98</v>
      </c>
      <c r="G1149" s="18" t="s">
        <v>323</v>
      </c>
      <c r="H1149" s="2">
        <v>6.1999999999999998E-3</v>
      </c>
      <c r="I1149" s="16">
        <f t="shared" si="88"/>
        <v>6.207777980646271E-3</v>
      </c>
      <c r="J1149" s="16">
        <f t="shared" si="89"/>
        <v>1.0062077779806462</v>
      </c>
      <c r="K1149" s="16">
        <f t="shared" si="90"/>
        <v>54.671052631578945</v>
      </c>
      <c r="L1149" s="16">
        <f t="shared" si="91"/>
        <v>53.419795918367356</v>
      </c>
      <c r="M1149" s="25" t="str">
        <f t="shared" si="92"/>
        <v>HOLD</v>
      </c>
    </row>
    <row r="1150" spans="2:13">
      <c r="B1150" s="3">
        <v>43721</v>
      </c>
      <c r="C1150" s="5">
        <v>54.26</v>
      </c>
      <c r="D1150" s="5">
        <v>54.48</v>
      </c>
      <c r="E1150" s="5">
        <v>54.79</v>
      </c>
      <c r="F1150" s="5">
        <v>54.07</v>
      </c>
      <c r="G1150" s="18" t="s">
        <v>584</v>
      </c>
      <c r="H1150" s="2">
        <v>-1.54E-2</v>
      </c>
      <c r="I1150" s="16">
        <f t="shared" si="88"/>
        <v>-1.5423698058428623E-2</v>
      </c>
      <c r="J1150" s="16">
        <f t="shared" si="89"/>
        <v>0.98457630194157142</v>
      </c>
      <c r="K1150" s="16">
        <f t="shared" si="90"/>
        <v>54.736315789473672</v>
      </c>
      <c r="L1150" s="16">
        <f t="shared" si="91"/>
        <v>53.481224489795935</v>
      </c>
      <c r="M1150" s="25" t="str">
        <f t="shared" si="92"/>
        <v>HOLD</v>
      </c>
    </row>
    <row r="1151" spans="2:13">
      <c r="B1151" s="3">
        <v>43724</v>
      </c>
      <c r="C1151" s="5">
        <v>53.96</v>
      </c>
      <c r="D1151" s="5">
        <v>54.1</v>
      </c>
      <c r="E1151" s="5">
        <v>54.34</v>
      </c>
      <c r="F1151" s="5">
        <v>53.63</v>
      </c>
      <c r="G1151" s="18" t="s">
        <v>372</v>
      </c>
      <c r="H1151" s="2">
        <v>-5.4999999999999997E-3</v>
      </c>
      <c r="I1151" s="16">
        <f t="shared" si="88"/>
        <v>-5.5289347585697965E-3</v>
      </c>
      <c r="J1151" s="16">
        <f t="shared" si="89"/>
        <v>0.99447106524143025</v>
      </c>
      <c r="K1151" s="16">
        <f t="shared" si="90"/>
        <v>54.728421052631575</v>
      </c>
      <c r="L1151" s="16">
        <f t="shared" si="91"/>
        <v>53.525102040816343</v>
      </c>
      <c r="M1151" s="25" t="str">
        <f t="shared" si="92"/>
        <v>HOLD</v>
      </c>
    </row>
    <row r="1152" spans="2:13">
      <c r="B1152" s="3">
        <v>43725</v>
      </c>
      <c r="C1152" s="5">
        <v>54.24</v>
      </c>
      <c r="D1152" s="5">
        <v>54.1</v>
      </c>
      <c r="E1152" s="5">
        <v>54.7</v>
      </c>
      <c r="F1152" s="5">
        <v>53.96</v>
      </c>
      <c r="G1152" s="18" t="s">
        <v>940</v>
      </c>
      <c r="H1152" s="2">
        <v>5.1999999999999998E-3</v>
      </c>
      <c r="I1152" s="16">
        <f t="shared" si="88"/>
        <v>5.1890289103039495E-3</v>
      </c>
      <c r="J1152" s="16">
        <f t="shared" si="89"/>
        <v>1.005189028910304</v>
      </c>
      <c r="K1152" s="16">
        <f t="shared" si="90"/>
        <v>54.69</v>
      </c>
      <c r="L1152" s="16">
        <f t="shared" si="91"/>
        <v>53.565102040816349</v>
      </c>
      <c r="M1152" s="25" t="str">
        <f t="shared" si="92"/>
        <v>HOLD</v>
      </c>
    </row>
    <row r="1153" spans="2:13">
      <c r="B1153" s="3">
        <v>43726</v>
      </c>
      <c r="C1153" s="5">
        <v>54.23</v>
      </c>
      <c r="D1153" s="5">
        <v>54.2</v>
      </c>
      <c r="E1153" s="5">
        <v>54.28</v>
      </c>
      <c r="F1153" s="5">
        <v>53.82</v>
      </c>
      <c r="G1153" s="18" t="s">
        <v>726</v>
      </c>
      <c r="H1153" s="2">
        <v>-2.0000000000000001E-4</v>
      </c>
      <c r="I1153" s="16">
        <f t="shared" si="88"/>
        <v>-1.8436578171100878E-4</v>
      </c>
      <c r="J1153" s="16">
        <f t="shared" si="89"/>
        <v>0.99981563421828901</v>
      </c>
      <c r="K1153" s="16">
        <f t="shared" si="90"/>
        <v>54.708947368421057</v>
      </c>
      <c r="L1153" s="16">
        <f t="shared" si="91"/>
        <v>53.619183673469401</v>
      </c>
      <c r="M1153" s="25" t="str">
        <f t="shared" si="92"/>
        <v>HOLD</v>
      </c>
    </row>
    <row r="1154" spans="2:13">
      <c r="B1154" s="3">
        <v>43727</v>
      </c>
      <c r="C1154" s="5">
        <v>54.52</v>
      </c>
      <c r="D1154" s="5">
        <v>54.23</v>
      </c>
      <c r="E1154" s="5">
        <v>54.59</v>
      </c>
      <c r="F1154" s="5">
        <v>54.13</v>
      </c>
      <c r="G1154" s="18" t="s">
        <v>939</v>
      </c>
      <c r="H1154" s="2">
        <v>5.3E-3</v>
      </c>
      <c r="I1154" s="16">
        <f t="shared" si="88"/>
        <v>5.3475935828878165E-3</v>
      </c>
      <c r="J1154" s="16">
        <f t="shared" si="89"/>
        <v>1.0053475935828877</v>
      </c>
      <c r="K1154" s="16">
        <f t="shared" si="90"/>
        <v>54.715789473684204</v>
      </c>
      <c r="L1154" s="16">
        <f t="shared" si="91"/>
        <v>53.668367346938787</v>
      </c>
      <c r="M1154" s="25" t="str">
        <f t="shared" si="92"/>
        <v>HOLD</v>
      </c>
    </row>
    <row r="1155" spans="2:13">
      <c r="B1155" s="3">
        <v>43728</v>
      </c>
      <c r="C1155" s="5">
        <v>53.91</v>
      </c>
      <c r="D1155" s="5">
        <v>54.69</v>
      </c>
      <c r="E1155" s="5">
        <v>54.69</v>
      </c>
      <c r="F1155" s="5">
        <v>53.9</v>
      </c>
      <c r="G1155" s="18" t="s">
        <v>202</v>
      </c>
      <c r="H1155" s="2">
        <v>-1.12E-2</v>
      </c>
      <c r="I1155" s="16">
        <f t="shared" si="88"/>
        <v>-1.1188554658840912E-2</v>
      </c>
      <c r="J1155" s="16">
        <f t="shared" si="89"/>
        <v>0.98881144534115906</v>
      </c>
      <c r="K1155" s="16">
        <f t="shared" si="90"/>
        <v>54.71736842105264</v>
      </c>
      <c r="L1155" s="16">
        <f t="shared" si="91"/>
        <v>53.718979591836735</v>
      </c>
      <c r="M1155" s="25" t="str">
        <f t="shared" si="92"/>
        <v>HOLD</v>
      </c>
    </row>
    <row r="1156" spans="2:13">
      <c r="B1156" s="3">
        <v>43731</v>
      </c>
      <c r="C1156" s="5">
        <v>54.14</v>
      </c>
      <c r="D1156" s="5">
        <v>53.91</v>
      </c>
      <c r="E1156" s="5">
        <v>54.36</v>
      </c>
      <c r="F1156" s="5">
        <v>53.88</v>
      </c>
      <c r="G1156" s="18" t="s">
        <v>515</v>
      </c>
      <c r="H1156" s="2">
        <v>4.3E-3</v>
      </c>
      <c r="I1156" s="16">
        <f t="shared" si="88"/>
        <v>4.2663698757188645E-3</v>
      </c>
      <c r="J1156" s="16">
        <f t="shared" si="89"/>
        <v>1.0042663698757188</v>
      </c>
      <c r="K1156" s="16">
        <f t="shared" si="90"/>
        <v>54.726315789473695</v>
      </c>
      <c r="L1156" s="16">
        <f t="shared" si="91"/>
        <v>53.755510204081631</v>
      </c>
      <c r="M1156" s="25" t="str">
        <f t="shared" si="92"/>
        <v>HOLD</v>
      </c>
    </row>
    <row r="1157" spans="2:13">
      <c r="B1157" s="3">
        <v>43732</v>
      </c>
      <c r="C1157" s="5">
        <v>54.3</v>
      </c>
      <c r="D1157" s="5">
        <v>54.25</v>
      </c>
      <c r="E1157" s="5">
        <v>54.61</v>
      </c>
      <c r="F1157" s="5">
        <v>54.04</v>
      </c>
      <c r="G1157" s="18" t="s">
        <v>238</v>
      </c>
      <c r="H1157" s="2">
        <v>3.0000000000000001E-3</v>
      </c>
      <c r="I1157" s="16">
        <f t="shared" si="88"/>
        <v>2.9553010712965754E-3</v>
      </c>
      <c r="J1157" s="16">
        <f t="shared" si="89"/>
        <v>1.0029553010712966</v>
      </c>
      <c r="K1157" s="16">
        <f t="shared" si="90"/>
        <v>54.705263157894741</v>
      </c>
      <c r="L1157" s="16">
        <f t="shared" si="91"/>
        <v>53.796530612244894</v>
      </c>
      <c r="M1157" s="25" t="str">
        <f t="shared" si="92"/>
        <v>HOLD</v>
      </c>
    </row>
    <row r="1158" spans="2:13">
      <c r="B1158" s="3">
        <v>43733</v>
      </c>
      <c r="C1158" s="5">
        <v>54.17</v>
      </c>
      <c r="D1158" s="5">
        <v>54.44</v>
      </c>
      <c r="E1158" s="5">
        <v>54.48</v>
      </c>
      <c r="F1158" s="5">
        <v>54</v>
      </c>
      <c r="G1158" s="18" t="s">
        <v>459</v>
      </c>
      <c r="H1158" s="2">
        <v>-2.3999999999999998E-3</v>
      </c>
      <c r="I1158" s="16">
        <f t="shared" si="88"/>
        <v>-2.3941068139962333E-3</v>
      </c>
      <c r="J1158" s="16">
        <f t="shared" si="89"/>
        <v>0.99760589318600379</v>
      </c>
      <c r="K1158" s="16">
        <f t="shared" si="90"/>
        <v>54.683157894736844</v>
      </c>
      <c r="L1158" s="16">
        <f t="shared" si="91"/>
        <v>53.840612244897962</v>
      </c>
      <c r="M1158" s="25" t="str">
        <f t="shared" si="92"/>
        <v>HOLD</v>
      </c>
    </row>
    <row r="1159" spans="2:13">
      <c r="B1159" s="3">
        <v>43734</v>
      </c>
      <c r="C1159" s="5">
        <v>54.39</v>
      </c>
      <c r="D1159" s="5">
        <v>54.47</v>
      </c>
      <c r="E1159" s="5">
        <v>54.58</v>
      </c>
      <c r="F1159" s="5">
        <v>54.13</v>
      </c>
      <c r="G1159" s="18" t="s">
        <v>938</v>
      </c>
      <c r="H1159" s="2">
        <v>4.1000000000000003E-3</v>
      </c>
      <c r="I1159" s="16">
        <f t="shared" si="88"/>
        <v>4.0612885360900653E-3</v>
      </c>
      <c r="J1159" s="16">
        <f t="shared" si="89"/>
        <v>1.00406128853609</v>
      </c>
      <c r="K1159" s="16">
        <f t="shared" si="90"/>
        <v>54.633684210526312</v>
      </c>
      <c r="L1159" s="16">
        <f t="shared" si="91"/>
        <v>53.881224489795912</v>
      </c>
      <c r="M1159" s="25" t="str">
        <f t="shared" si="92"/>
        <v>HOLD</v>
      </c>
    </row>
    <row r="1160" spans="2:13">
      <c r="B1160" s="3">
        <v>43735</v>
      </c>
      <c r="C1160" s="5">
        <v>54.31</v>
      </c>
      <c r="D1160" s="5">
        <v>54.56</v>
      </c>
      <c r="E1160" s="5">
        <v>54.63</v>
      </c>
      <c r="F1160" s="5">
        <v>54</v>
      </c>
      <c r="G1160" s="18" t="s">
        <v>96</v>
      </c>
      <c r="H1160" s="2">
        <v>-1.5E-3</v>
      </c>
      <c r="I1160" s="16">
        <f t="shared" si="88"/>
        <v>-1.4708586137157252E-3</v>
      </c>
      <c r="J1160" s="16">
        <f t="shared" si="89"/>
        <v>0.99852914138628424</v>
      </c>
      <c r="K1160" s="16">
        <f t="shared" si="90"/>
        <v>54.598947368421044</v>
      </c>
      <c r="L1160" s="16">
        <f t="shared" si="91"/>
        <v>53.929387755102042</v>
      </c>
      <c r="M1160" s="25" t="str">
        <f t="shared" si="92"/>
        <v>HOLD</v>
      </c>
    </row>
    <row r="1161" spans="2:13">
      <c r="B1161" s="3">
        <v>43738</v>
      </c>
      <c r="C1161" s="5">
        <v>54.44</v>
      </c>
      <c r="D1161" s="5">
        <v>54.15</v>
      </c>
      <c r="E1161" s="5">
        <v>54.68</v>
      </c>
      <c r="F1161" s="5">
        <v>54.15</v>
      </c>
      <c r="G1161" s="18" t="s">
        <v>937</v>
      </c>
      <c r="H1161" s="2">
        <v>2.3999999999999998E-3</v>
      </c>
      <c r="I1161" s="16">
        <f t="shared" ref="I1161:I1224" si="93">(C1161-C1160)/C1160</f>
        <v>2.393665991530021E-3</v>
      </c>
      <c r="J1161" s="16">
        <f t="shared" ref="J1161:J1224" si="94">C1161/C1160</f>
        <v>1.00239366599153</v>
      </c>
      <c r="K1161" s="16">
        <f t="shared" si="90"/>
        <v>54.560526315789467</v>
      </c>
      <c r="L1161" s="16">
        <f t="shared" si="91"/>
        <v>53.988979591836724</v>
      </c>
      <c r="M1161" s="25" t="str">
        <f t="shared" si="92"/>
        <v>HOLD</v>
      </c>
    </row>
    <row r="1162" spans="2:13">
      <c r="B1162" s="3">
        <v>43739</v>
      </c>
      <c r="C1162" s="5">
        <v>54.65</v>
      </c>
      <c r="D1162" s="5">
        <v>54.53</v>
      </c>
      <c r="E1162" s="5">
        <v>54.78</v>
      </c>
      <c r="F1162" s="5">
        <v>54.01</v>
      </c>
      <c r="G1162" s="18" t="s">
        <v>324</v>
      </c>
      <c r="H1162" s="2">
        <v>3.8999999999999998E-3</v>
      </c>
      <c r="I1162" s="16">
        <f t="shared" si="93"/>
        <v>3.8574577516532118E-3</v>
      </c>
      <c r="J1162" s="16">
        <f t="shared" si="94"/>
        <v>1.0038574577516532</v>
      </c>
      <c r="K1162" s="16">
        <f t="shared" si="90"/>
        <v>54.515263157894736</v>
      </c>
      <c r="L1162" s="16">
        <f t="shared" si="91"/>
        <v>54.05469387755101</v>
      </c>
      <c r="M1162" s="25" t="str">
        <f t="shared" si="92"/>
        <v>HOLD</v>
      </c>
    </row>
    <row r="1163" spans="2:13">
      <c r="B1163" s="3">
        <v>43740</v>
      </c>
      <c r="C1163" s="5">
        <v>53.08</v>
      </c>
      <c r="D1163" s="5">
        <v>54.21</v>
      </c>
      <c r="E1163" s="5">
        <v>54.44</v>
      </c>
      <c r="F1163" s="5">
        <v>52.9</v>
      </c>
      <c r="G1163" s="18" t="s">
        <v>651</v>
      </c>
      <c r="H1163" s="2">
        <v>-2.87E-2</v>
      </c>
      <c r="I1163" s="16">
        <f t="shared" si="93"/>
        <v>-2.872827081427265E-2</v>
      </c>
      <c r="J1163" s="16">
        <f t="shared" si="94"/>
        <v>0.97127172918572735</v>
      </c>
      <c r="K1163" s="16">
        <f t="shared" si="90"/>
        <v>54.456315789473685</v>
      </c>
      <c r="L1163" s="16">
        <f t="shared" si="91"/>
        <v>54.061224489795897</v>
      </c>
      <c r="M1163" s="25" t="str">
        <f t="shared" si="92"/>
        <v>HOLD</v>
      </c>
    </row>
    <row r="1164" spans="2:13">
      <c r="B1164" s="3">
        <v>43741</v>
      </c>
      <c r="C1164" s="5">
        <v>53.84</v>
      </c>
      <c r="D1164" s="5">
        <v>53.5</v>
      </c>
      <c r="E1164" s="5">
        <v>53.98</v>
      </c>
      <c r="F1164" s="5">
        <v>52.82</v>
      </c>
      <c r="G1164" s="18" t="s">
        <v>742</v>
      </c>
      <c r="H1164" s="2">
        <v>1.43E-2</v>
      </c>
      <c r="I1164" s="16">
        <f t="shared" si="93"/>
        <v>1.4318010550113133E-2</v>
      </c>
      <c r="J1164" s="16">
        <f t="shared" si="94"/>
        <v>1.0143180105501131</v>
      </c>
      <c r="K1164" s="16">
        <f t="shared" si="90"/>
        <v>54.348947368421044</v>
      </c>
      <c r="L1164" s="16">
        <f t="shared" si="91"/>
        <v>54.046938775510192</v>
      </c>
      <c r="M1164" s="25" t="str">
        <f t="shared" si="92"/>
        <v>HOLD</v>
      </c>
    </row>
    <row r="1165" spans="2:13">
      <c r="B1165" s="3">
        <v>43742</v>
      </c>
      <c r="C1165" s="5">
        <v>54.54</v>
      </c>
      <c r="D1165" s="5">
        <v>54</v>
      </c>
      <c r="E1165" s="5">
        <v>54.54</v>
      </c>
      <c r="F1165" s="5">
        <v>53.89</v>
      </c>
      <c r="G1165" s="18" t="s">
        <v>237</v>
      </c>
      <c r="H1165" s="2">
        <v>1.2999999999999999E-2</v>
      </c>
      <c r="I1165" s="16">
        <f t="shared" si="93"/>
        <v>1.3001485884100961E-2</v>
      </c>
      <c r="J1165" s="16">
        <f t="shared" si="94"/>
        <v>1.013001485884101</v>
      </c>
      <c r="K1165" s="16">
        <f t="shared" si="90"/>
        <v>54.275789473684199</v>
      </c>
      <c r="L1165" s="16">
        <f t="shared" si="91"/>
        <v>54.062653061224474</v>
      </c>
      <c r="M1165" s="25" t="str">
        <f t="shared" si="92"/>
        <v>HOLD</v>
      </c>
    </row>
    <row r="1166" spans="2:13">
      <c r="B1166" s="3">
        <v>43745</v>
      </c>
      <c r="C1166" s="5">
        <v>53.87</v>
      </c>
      <c r="D1166" s="5">
        <v>54.33</v>
      </c>
      <c r="E1166" s="5">
        <v>54.36</v>
      </c>
      <c r="F1166" s="5">
        <v>53.77</v>
      </c>
      <c r="G1166" s="18" t="s">
        <v>936</v>
      </c>
      <c r="H1166" s="2">
        <v>-1.23E-2</v>
      </c>
      <c r="I1166" s="16">
        <f t="shared" si="93"/>
        <v>-1.2284561789512316E-2</v>
      </c>
      <c r="J1166" s="16">
        <f t="shared" si="94"/>
        <v>0.98771543821048768</v>
      </c>
      <c r="K1166" s="16">
        <f t="shared" si="90"/>
        <v>54.276842105263157</v>
      </c>
      <c r="L1166" s="16">
        <f t="shared" si="91"/>
        <v>54.070204081632646</v>
      </c>
      <c r="M1166" s="25" t="str">
        <f t="shared" si="92"/>
        <v>HOLD</v>
      </c>
    </row>
    <row r="1167" spans="2:13">
      <c r="B1167" s="3">
        <v>43746</v>
      </c>
      <c r="C1167" s="5">
        <v>53.58</v>
      </c>
      <c r="D1167" s="5">
        <v>53.88</v>
      </c>
      <c r="E1167" s="5">
        <v>54.07</v>
      </c>
      <c r="F1167" s="5">
        <v>53.45</v>
      </c>
      <c r="G1167" s="18" t="s">
        <v>935</v>
      </c>
      <c r="H1167" s="2">
        <v>-5.4000000000000003E-3</v>
      </c>
      <c r="I1167" s="16">
        <f t="shared" si="93"/>
        <v>-5.3833302394653637E-3</v>
      </c>
      <c r="J1167" s="16">
        <f t="shared" si="94"/>
        <v>0.99461666976053464</v>
      </c>
      <c r="K1167" s="16">
        <f t="shared" si="90"/>
        <v>54.248947368421057</v>
      </c>
      <c r="L1167" s="16">
        <f t="shared" si="91"/>
        <v>54.067755102040813</v>
      </c>
      <c r="M1167" s="25" t="str">
        <f t="shared" si="92"/>
        <v>HOLD</v>
      </c>
    </row>
    <row r="1168" spans="2:13">
      <c r="B1168" s="3">
        <v>43747</v>
      </c>
      <c r="C1168" s="5">
        <v>53.83</v>
      </c>
      <c r="D1168" s="5">
        <v>54.06</v>
      </c>
      <c r="E1168" s="5">
        <v>54.06</v>
      </c>
      <c r="F1168" s="5">
        <v>53.53</v>
      </c>
      <c r="G1168" s="18" t="s">
        <v>455</v>
      </c>
      <c r="H1168" s="2">
        <v>4.7000000000000002E-3</v>
      </c>
      <c r="I1168" s="16">
        <f t="shared" si="93"/>
        <v>4.6659201194475556E-3</v>
      </c>
      <c r="J1168" s="16">
        <f t="shared" si="94"/>
        <v>1.0046659201194477</v>
      </c>
      <c r="K1168" s="16">
        <f t="shared" si="90"/>
        <v>54.186315789473682</v>
      </c>
      <c r="L1168" s="16">
        <f t="shared" si="91"/>
        <v>54.064897959183668</v>
      </c>
      <c r="M1168" s="25" t="str">
        <f t="shared" si="92"/>
        <v>HOLD</v>
      </c>
    </row>
    <row r="1169" spans="2:13">
      <c r="B1169" s="3">
        <v>43748</v>
      </c>
      <c r="C1169" s="5">
        <v>53.66</v>
      </c>
      <c r="D1169" s="5">
        <v>53.55</v>
      </c>
      <c r="E1169" s="5">
        <v>53.88</v>
      </c>
      <c r="F1169" s="5">
        <v>53.36</v>
      </c>
      <c r="G1169" s="18" t="s">
        <v>934</v>
      </c>
      <c r="H1169" s="2">
        <v>-3.2000000000000002E-3</v>
      </c>
      <c r="I1169" s="16">
        <f t="shared" si="93"/>
        <v>-3.1580902842281572E-3</v>
      </c>
      <c r="J1169" s="16">
        <f t="shared" si="94"/>
        <v>0.9968419097157718</v>
      </c>
      <c r="K1169" s="16">
        <f t="shared" si="90"/>
        <v>54.118947368421061</v>
      </c>
      <c r="L1169" s="16">
        <f t="shared" si="91"/>
        <v>54.089387755102031</v>
      </c>
      <c r="M1169" s="25" t="str">
        <f t="shared" si="92"/>
        <v>HOLD</v>
      </c>
    </row>
    <row r="1170" spans="2:13">
      <c r="B1170" s="3">
        <v>43749</v>
      </c>
      <c r="C1170" s="5">
        <v>53.3</v>
      </c>
      <c r="D1170" s="5">
        <v>53.65</v>
      </c>
      <c r="E1170" s="5">
        <v>53.7</v>
      </c>
      <c r="F1170" s="5">
        <v>53.2</v>
      </c>
      <c r="G1170" s="18" t="s">
        <v>933</v>
      </c>
      <c r="H1170" s="2">
        <v>-6.7000000000000002E-3</v>
      </c>
      <c r="I1170" s="16">
        <f t="shared" si="93"/>
        <v>-6.7089079388743846E-3</v>
      </c>
      <c r="J1170" s="16">
        <f t="shared" si="94"/>
        <v>0.99329109206112565</v>
      </c>
      <c r="K1170" s="16">
        <f t="shared" si="90"/>
        <v>54.087368421052645</v>
      </c>
      <c r="L1170" s="16">
        <f t="shared" si="91"/>
        <v>54.122653061224483</v>
      </c>
      <c r="M1170" s="25" t="str">
        <f t="shared" si="92"/>
        <v>SELL</v>
      </c>
    </row>
    <row r="1171" spans="2:13">
      <c r="B1171" s="3">
        <v>43752</v>
      </c>
      <c r="C1171" s="5">
        <v>53.3</v>
      </c>
      <c r="D1171" s="5">
        <v>53.49</v>
      </c>
      <c r="E1171" s="5">
        <v>53.68</v>
      </c>
      <c r="F1171" s="5">
        <v>53.22</v>
      </c>
      <c r="G1171" s="18" t="s">
        <v>932</v>
      </c>
      <c r="H1171" s="2">
        <v>0</v>
      </c>
      <c r="I1171" s="16">
        <f t="shared" si="93"/>
        <v>0</v>
      </c>
      <c r="J1171" s="16">
        <f t="shared" si="94"/>
        <v>1</v>
      </c>
      <c r="K1171" s="16">
        <f t="shared" si="90"/>
        <v>54.052631578947377</v>
      </c>
      <c r="L1171" s="16">
        <f t="shared" si="91"/>
        <v>54.14244897959184</v>
      </c>
      <c r="M1171" s="25" t="str">
        <f t="shared" si="92"/>
        <v>HOLD</v>
      </c>
    </row>
    <row r="1172" spans="2:13">
      <c r="B1172" s="3">
        <v>43753</v>
      </c>
      <c r="C1172" s="5">
        <v>53.51</v>
      </c>
      <c r="D1172" s="5">
        <v>53.43</v>
      </c>
      <c r="E1172" s="5">
        <v>53.68</v>
      </c>
      <c r="F1172" s="5">
        <v>53.27</v>
      </c>
      <c r="G1172" s="18" t="s">
        <v>398</v>
      </c>
      <c r="H1172" s="2">
        <v>3.8999999999999998E-3</v>
      </c>
      <c r="I1172" s="16">
        <f t="shared" si="93"/>
        <v>3.9399624765478584E-3</v>
      </c>
      <c r="J1172" s="16">
        <f t="shared" si="94"/>
        <v>1.0039399624765479</v>
      </c>
      <c r="K1172" s="16">
        <f t="shared" si="90"/>
        <v>54.003157894736852</v>
      </c>
      <c r="L1172" s="16">
        <f t="shared" si="91"/>
        <v>54.176122448979605</v>
      </c>
      <c r="M1172" s="25" t="str">
        <f t="shared" si="92"/>
        <v>HOLD</v>
      </c>
    </row>
    <row r="1173" spans="2:13">
      <c r="B1173" s="3">
        <v>43754</v>
      </c>
      <c r="C1173" s="5">
        <v>53.49</v>
      </c>
      <c r="D1173" s="5">
        <v>53.46</v>
      </c>
      <c r="E1173" s="5">
        <v>53.57</v>
      </c>
      <c r="F1173" s="5">
        <v>53.13</v>
      </c>
      <c r="G1173" s="18" t="s">
        <v>908</v>
      </c>
      <c r="H1173" s="2">
        <v>-4.0000000000000002E-4</v>
      </c>
      <c r="I1173" s="16">
        <f t="shared" si="93"/>
        <v>-3.7376191366092357E-4</v>
      </c>
      <c r="J1173" s="16">
        <f t="shared" si="94"/>
        <v>0.9996262380863391</v>
      </c>
      <c r="K1173" s="16">
        <f t="shared" si="90"/>
        <v>53.965263157894732</v>
      </c>
      <c r="L1173" s="16">
        <f t="shared" si="91"/>
        <v>54.201428571428579</v>
      </c>
      <c r="M1173" s="25" t="str">
        <f t="shared" si="92"/>
        <v>HOLD</v>
      </c>
    </row>
    <row r="1174" spans="2:13">
      <c r="B1174" s="3">
        <v>43755</v>
      </c>
      <c r="C1174" s="5">
        <v>53.79</v>
      </c>
      <c r="D1174" s="5">
        <v>53.69</v>
      </c>
      <c r="E1174" s="5">
        <v>54.12</v>
      </c>
      <c r="F1174" s="5">
        <v>53.58</v>
      </c>
      <c r="G1174" s="18" t="s">
        <v>931</v>
      </c>
      <c r="H1174" s="2">
        <v>5.5999999999999999E-3</v>
      </c>
      <c r="I1174" s="16">
        <f t="shared" si="93"/>
        <v>5.6085249579360093E-3</v>
      </c>
      <c r="J1174" s="16">
        <f t="shared" si="94"/>
        <v>1.0056085249579361</v>
      </c>
      <c r="K1174" s="16">
        <f t="shared" si="90"/>
        <v>53.911052631578933</v>
      </c>
      <c r="L1174" s="16">
        <f t="shared" si="91"/>
        <v>54.207755102040821</v>
      </c>
      <c r="M1174" s="25" t="str">
        <f t="shared" si="92"/>
        <v>HOLD</v>
      </c>
    </row>
    <row r="1175" spans="2:13">
      <c r="B1175" s="3">
        <v>43756</v>
      </c>
      <c r="C1175" s="5">
        <v>54.78</v>
      </c>
      <c r="D1175" s="5">
        <v>55</v>
      </c>
      <c r="E1175" s="5">
        <v>55.39</v>
      </c>
      <c r="F1175" s="5">
        <v>54.45</v>
      </c>
      <c r="G1175" s="18" t="s">
        <v>780</v>
      </c>
      <c r="H1175" s="2">
        <v>1.84E-2</v>
      </c>
      <c r="I1175" s="16">
        <f t="shared" si="93"/>
        <v>1.8404907975460159E-2</v>
      </c>
      <c r="J1175" s="16">
        <f t="shared" si="94"/>
        <v>1.0184049079754602</v>
      </c>
      <c r="K1175" s="16">
        <f t="shared" si="90"/>
        <v>53.904736842105251</v>
      </c>
      <c r="L1175" s="16">
        <f t="shared" si="91"/>
        <v>54.209795918367348</v>
      </c>
      <c r="M1175" s="25" t="str">
        <f t="shared" si="92"/>
        <v>HOLD</v>
      </c>
    </row>
    <row r="1176" spans="2:13">
      <c r="B1176" s="3">
        <v>43759</v>
      </c>
      <c r="C1176" s="5">
        <v>54.23</v>
      </c>
      <c r="D1176" s="5">
        <v>54.45</v>
      </c>
      <c r="E1176" s="5">
        <v>54.56</v>
      </c>
      <c r="F1176" s="5">
        <v>53.68</v>
      </c>
      <c r="G1176" s="18" t="s">
        <v>508</v>
      </c>
      <c r="H1176" s="2">
        <v>-0.01</v>
      </c>
      <c r="I1176" s="16">
        <f t="shared" si="93"/>
        <v>-1.0040160642570359E-2</v>
      </c>
      <c r="J1176" s="16">
        <f t="shared" si="94"/>
        <v>0.98995983935742959</v>
      </c>
      <c r="K1176" s="16">
        <f t="shared" si="90"/>
        <v>53.938421052631575</v>
      </c>
      <c r="L1176" s="16">
        <f t="shared" si="91"/>
        <v>54.237551020408169</v>
      </c>
      <c r="M1176" s="25" t="str">
        <f t="shared" si="92"/>
        <v>HOLD</v>
      </c>
    </row>
    <row r="1177" spans="2:13">
      <c r="B1177" s="3">
        <v>43760</v>
      </c>
      <c r="C1177" s="5">
        <v>53.85</v>
      </c>
      <c r="D1177" s="5">
        <v>54.23</v>
      </c>
      <c r="E1177" s="5">
        <v>54.42</v>
      </c>
      <c r="F1177" s="5">
        <v>53.74</v>
      </c>
      <c r="G1177" s="18" t="s">
        <v>930</v>
      </c>
      <c r="H1177" s="2">
        <v>-7.0000000000000001E-3</v>
      </c>
      <c r="I1177" s="16">
        <f t="shared" si="93"/>
        <v>-7.0071915913700071E-3</v>
      </c>
      <c r="J1177" s="16">
        <f t="shared" si="94"/>
        <v>0.99299280840863002</v>
      </c>
      <c r="K1177" s="16">
        <f t="shared" si="90"/>
        <v>53.934736842105252</v>
      </c>
      <c r="L1177" s="16">
        <f t="shared" si="91"/>
        <v>54.258571428571436</v>
      </c>
      <c r="M1177" s="25" t="str">
        <f t="shared" si="92"/>
        <v>HOLD</v>
      </c>
    </row>
    <row r="1178" spans="2:13">
      <c r="B1178" s="3">
        <v>43761</v>
      </c>
      <c r="C1178" s="5">
        <v>54.64</v>
      </c>
      <c r="D1178" s="5">
        <v>54.06</v>
      </c>
      <c r="E1178" s="5">
        <v>54.66</v>
      </c>
      <c r="F1178" s="5">
        <v>54.01</v>
      </c>
      <c r="G1178" s="18" t="s">
        <v>343</v>
      </c>
      <c r="H1178" s="2">
        <v>1.47E-2</v>
      </c>
      <c r="I1178" s="16">
        <f t="shared" si="93"/>
        <v>1.4670380687093762E-2</v>
      </c>
      <c r="J1178" s="16">
        <f t="shared" si="94"/>
        <v>1.0146703806870938</v>
      </c>
      <c r="K1178" s="16">
        <f t="shared" si="90"/>
        <v>53.917894736842094</v>
      </c>
      <c r="L1178" s="16">
        <f t="shared" si="91"/>
        <v>54.265714285714296</v>
      </c>
      <c r="M1178" s="25" t="str">
        <f t="shared" si="92"/>
        <v>HOLD</v>
      </c>
    </row>
    <row r="1179" spans="2:13">
      <c r="B1179" s="3">
        <v>43762</v>
      </c>
      <c r="C1179" s="5">
        <v>54.61</v>
      </c>
      <c r="D1179" s="5">
        <v>54.57</v>
      </c>
      <c r="E1179" s="5">
        <v>54.82</v>
      </c>
      <c r="F1179" s="5">
        <v>54.48</v>
      </c>
      <c r="G1179" s="18" t="s">
        <v>118</v>
      </c>
      <c r="H1179" s="2">
        <v>-5.0000000000000001E-4</v>
      </c>
      <c r="I1179" s="16">
        <f t="shared" si="93"/>
        <v>-5.4904831625185099E-4</v>
      </c>
      <c r="J1179" s="16">
        <f t="shared" si="94"/>
        <v>0.9994509516837482</v>
      </c>
      <c r="K1179" s="16">
        <f t="shared" ref="K1179:K1242" si="95">AVERAGE(C1160:C1178)</f>
        <v>53.93105263157895</v>
      </c>
      <c r="L1179" s="16">
        <f t="shared" si="91"/>
        <v>54.299387755102039</v>
      </c>
      <c r="M1179" s="25" t="str">
        <f t="shared" si="92"/>
        <v>HOLD</v>
      </c>
    </row>
    <row r="1180" spans="2:13">
      <c r="B1180" s="3">
        <v>43763</v>
      </c>
      <c r="C1180" s="5">
        <v>53.75</v>
      </c>
      <c r="D1180" s="5">
        <v>54.55</v>
      </c>
      <c r="E1180" s="5">
        <v>54.56</v>
      </c>
      <c r="F1180" s="5">
        <v>53.67</v>
      </c>
      <c r="G1180" s="18" t="s">
        <v>688</v>
      </c>
      <c r="H1180" s="2">
        <v>-1.5699999999999999E-2</v>
      </c>
      <c r="I1180" s="16">
        <f t="shared" si="93"/>
        <v>-1.5748031496062981E-2</v>
      </c>
      <c r="J1180" s="16">
        <f t="shared" si="94"/>
        <v>0.98425196850393704</v>
      </c>
      <c r="K1180" s="16">
        <f t="shared" si="95"/>
        <v>53.946842105263144</v>
      </c>
      <c r="L1180" s="16">
        <f t="shared" si="91"/>
        <v>54.314489795918377</v>
      </c>
      <c r="M1180" s="25" t="str">
        <f t="shared" si="92"/>
        <v>HOLD</v>
      </c>
    </row>
    <row r="1181" spans="2:13">
      <c r="B1181" s="3">
        <v>43766</v>
      </c>
      <c r="C1181" s="5">
        <v>53.57</v>
      </c>
      <c r="D1181" s="5">
        <v>53.74</v>
      </c>
      <c r="E1181" s="5">
        <v>53.95</v>
      </c>
      <c r="F1181" s="5">
        <v>53.37</v>
      </c>
      <c r="G1181" s="18" t="s">
        <v>929</v>
      </c>
      <c r="H1181" s="2">
        <v>-3.3E-3</v>
      </c>
      <c r="I1181" s="16">
        <f t="shared" si="93"/>
        <v>-3.3488372093023202E-3</v>
      </c>
      <c r="J1181" s="16">
        <f t="shared" si="94"/>
        <v>0.99665116279069765</v>
      </c>
      <c r="K1181" s="16">
        <f t="shared" si="95"/>
        <v>53.910526315789468</v>
      </c>
      <c r="L1181" s="16">
        <f t="shared" si="91"/>
        <v>54.301020408163275</v>
      </c>
      <c r="M1181" s="25" t="str">
        <f t="shared" si="92"/>
        <v>HOLD</v>
      </c>
    </row>
    <row r="1182" spans="2:13">
      <c r="B1182" s="3">
        <v>43767</v>
      </c>
      <c r="C1182" s="5">
        <v>53.41</v>
      </c>
      <c r="D1182" s="5">
        <v>53.39</v>
      </c>
      <c r="E1182" s="5">
        <v>53.66</v>
      </c>
      <c r="F1182" s="5">
        <v>53.26</v>
      </c>
      <c r="G1182" s="18" t="s">
        <v>928</v>
      </c>
      <c r="H1182" s="2">
        <v>-3.0000000000000001E-3</v>
      </c>
      <c r="I1182" s="16">
        <f t="shared" si="93"/>
        <v>-2.9867463132350887E-3</v>
      </c>
      <c r="J1182" s="16">
        <f t="shared" si="94"/>
        <v>0.99701325368676497</v>
      </c>
      <c r="K1182" s="16">
        <f t="shared" si="95"/>
        <v>53.853684210526318</v>
      </c>
      <c r="L1182" s="16">
        <f t="shared" si="91"/>
        <v>54.278163265306134</v>
      </c>
      <c r="M1182" s="25" t="str">
        <f t="shared" si="92"/>
        <v>HOLD</v>
      </c>
    </row>
    <row r="1183" spans="2:13">
      <c r="B1183" s="3">
        <v>43768</v>
      </c>
      <c r="C1183" s="5">
        <v>53.94</v>
      </c>
      <c r="D1183" s="5">
        <v>53.52</v>
      </c>
      <c r="E1183" s="5">
        <v>54.05</v>
      </c>
      <c r="F1183" s="5">
        <v>53.16</v>
      </c>
      <c r="G1183" s="18" t="s">
        <v>927</v>
      </c>
      <c r="H1183" s="2">
        <v>9.9000000000000008E-3</v>
      </c>
      <c r="I1183" s="16">
        <f t="shared" si="93"/>
        <v>9.9232353491855683E-3</v>
      </c>
      <c r="J1183" s="16">
        <f t="shared" si="94"/>
        <v>1.0099232353491856</v>
      </c>
      <c r="K1183" s="16">
        <f t="shared" si="95"/>
        <v>53.871052631578948</v>
      </c>
      <c r="L1183" s="16">
        <f t="shared" si="91"/>
        <v>54.268571428571434</v>
      </c>
      <c r="M1183" s="25" t="str">
        <f t="shared" si="92"/>
        <v>HOLD</v>
      </c>
    </row>
    <row r="1184" spans="2:13">
      <c r="B1184" s="3">
        <v>43769</v>
      </c>
      <c r="C1184" s="5">
        <v>54.43</v>
      </c>
      <c r="D1184" s="5">
        <v>53.96</v>
      </c>
      <c r="E1184" s="5">
        <v>54.47</v>
      </c>
      <c r="F1184" s="5">
        <v>53.85</v>
      </c>
      <c r="G1184" s="18" t="s">
        <v>79</v>
      </c>
      <c r="H1184" s="2">
        <v>9.1000000000000004E-3</v>
      </c>
      <c r="I1184" s="16">
        <f t="shared" si="93"/>
        <v>9.0841675936225805E-3</v>
      </c>
      <c r="J1184" s="16">
        <f t="shared" si="94"/>
        <v>1.0090841675936226</v>
      </c>
      <c r="K1184" s="16">
        <f t="shared" si="95"/>
        <v>53.876315789473686</v>
      </c>
      <c r="L1184" s="16">
        <f t="shared" si="91"/>
        <v>54.265306122448976</v>
      </c>
      <c r="M1184" s="25" t="str">
        <f t="shared" si="92"/>
        <v>HOLD</v>
      </c>
    </row>
    <row r="1185" spans="2:13">
      <c r="B1185" s="3">
        <v>43770</v>
      </c>
      <c r="C1185" s="5">
        <v>53.9</v>
      </c>
      <c r="D1185" s="5">
        <v>54.63</v>
      </c>
      <c r="E1185" s="5">
        <v>54.74</v>
      </c>
      <c r="F1185" s="5">
        <v>53.85</v>
      </c>
      <c r="G1185" s="18" t="s">
        <v>926</v>
      </c>
      <c r="H1185" s="2">
        <v>-9.7000000000000003E-3</v>
      </c>
      <c r="I1185" s="16">
        <f t="shared" si="93"/>
        <v>-9.7372772368179514E-3</v>
      </c>
      <c r="J1185" s="16">
        <f t="shared" si="94"/>
        <v>0.99026272276318206</v>
      </c>
      <c r="K1185" s="16">
        <f t="shared" si="95"/>
        <v>53.870526315789476</v>
      </c>
      <c r="L1185" s="16">
        <f t="shared" si="91"/>
        <v>54.26408163265306</v>
      </c>
      <c r="M1185" s="25" t="str">
        <f t="shared" si="92"/>
        <v>HOLD</v>
      </c>
    </row>
    <row r="1186" spans="2:13">
      <c r="B1186" s="3">
        <v>43773</v>
      </c>
      <c r="C1186" s="5">
        <v>53.14</v>
      </c>
      <c r="D1186" s="5">
        <v>53.96</v>
      </c>
      <c r="E1186" s="5">
        <v>54</v>
      </c>
      <c r="F1186" s="5">
        <v>52.97</v>
      </c>
      <c r="G1186" s="18" t="s">
        <v>464</v>
      </c>
      <c r="H1186" s="2">
        <v>-1.41E-2</v>
      </c>
      <c r="I1186" s="16">
        <f t="shared" si="93"/>
        <v>-1.4100185528756921E-2</v>
      </c>
      <c r="J1186" s="16">
        <f t="shared" si="94"/>
        <v>0.98589981447124309</v>
      </c>
      <c r="K1186" s="16">
        <f t="shared" si="95"/>
        <v>53.872105263157891</v>
      </c>
      <c r="L1186" s="16">
        <f t="shared" si="91"/>
        <v>54.267346938775518</v>
      </c>
      <c r="M1186" s="25" t="str">
        <f t="shared" si="92"/>
        <v>HOLD</v>
      </c>
    </row>
    <row r="1187" spans="2:13">
      <c r="B1187" s="3">
        <v>43774</v>
      </c>
      <c r="C1187" s="5">
        <v>52.42</v>
      </c>
      <c r="D1187" s="5">
        <v>52.89</v>
      </c>
      <c r="E1187" s="5">
        <v>52.89</v>
      </c>
      <c r="F1187" s="5">
        <v>52.12</v>
      </c>
      <c r="G1187" s="18" t="s">
        <v>925</v>
      </c>
      <c r="H1187" s="2">
        <v>-1.35E-2</v>
      </c>
      <c r="I1187" s="16">
        <f t="shared" si="93"/>
        <v>-1.3549115543846421E-2</v>
      </c>
      <c r="J1187" s="16">
        <f t="shared" si="94"/>
        <v>0.98645088445615359</v>
      </c>
      <c r="K1187" s="16">
        <f t="shared" si="95"/>
        <v>53.848947368421051</v>
      </c>
      <c r="L1187" s="16">
        <f t="shared" si="91"/>
        <v>54.238775510204079</v>
      </c>
      <c r="M1187" s="25" t="str">
        <f t="shared" si="92"/>
        <v>HOLD</v>
      </c>
    </row>
    <row r="1188" spans="2:13">
      <c r="B1188" s="3">
        <v>43775</v>
      </c>
      <c r="C1188" s="5">
        <v>52.8</v>
      </c>
      <c r="D1188" s="5">
        <v>52.53</v>
      </c>
      <c r="E1188" s="5">
        <v>52.8</v>
      </c>
      <c r="F1188" s="5">
        <v>52.41</v>
      </c>
      <c r="G1188" s="18" t="s">
        <v>107</v>
      </c>
      <c r="H1188" s="2">
        <v>7.1999999999999998E-3</v>
      </c>
      <c r="I1188" s="16">
        <f t="shared" si="93"/>
        <v>7.2491415490270016E-3</v>
      </c>
      <c r="J1188" s="16">
        <f t="shared" si="94"/>
        <v>1.007249141549027</v>
      </c>
      <c r="K1188" s="16">
        <f t="shared" si="95"/>
        <v>53.774736842105263</v>
      </c>
      <c r="L1188" s="16">
        <f t="shared" si="91"/>
        <v>54.191836734693872</v>
      </c>
      <c r="M1188" s="25" t="str">
        <f t="shared" si="92"/>
        <v>HOLD</v>
      </c>
    </row>
    <row r="1189" spans="2:13">
      <c r="B1189" s="3">
        <v>43776</v>
      </c>
      <c r="C1189" s="5">
        <v>52.29</v>
      </c>
      <c r="D1189" s="5">
        <v>52.88</v>
      </c>
      <c r="E1189" s="5">
        <v>53</v>
      </c>
      <c r="F1189" s="5">
        <v>51.96</v>
      </c>
      <c r="G1189" s="18" t="s">
        <v>273</v>
      </c>
      <c r="H1189" s="2">
        <v>-9.7000000000000003E-3</v>
      </c>
      <c r="I1189" s="16">
        <f t="shared" si="93"/>
        <v>-9.6590909090908724E-3</v>
      </c>
      <c r="J1189" s="16">
        <f t="shared" si="94"/>
        <v>0.99034090909090911</v>
      </c>
      <c r="K1189" s="16">
        <f t="shared" si="95"/>
        <v>53.729473684210518</v>
      </c>
      <c r="L1189" s="16">
        <f t="shared" si="91"/>
        <v>54.144693877551013</v>
      </c>
      <c r="M1189" s="25" t="str">
        <f t="shared" si="92"/>
        <v>HOLD</v>
      </c>
    </row>
    <row r="1190" spans="2:13">
      <c r="B1190" s="3">
        <v>43777</v>
      </c>
      <c r="C1190" s="5">
        <v>52.21</v>
      </c>
      <c r="D1190" s="5">
        <v>52.46</v>
      </c>
      <c r="E1190" s="5">
        <v>52.6</v>
      </c>
      <c r="F1190" s="5">
        <v>52.09</v>
      </c>
      <c r="G1190" s="18" t="s">
        <v>924</v>
      </c>
      <c r="H1190" s="2">
        <v>-1.5E-3</v>
      </c>
      <c r="I1190" s="16">
        <f t="shared" si="93"/>
        <v>-1.5299292407725817E-3</v>
      </c>
      <c r="J1190" s="16">
        <f t="shared" si="94"/>
        <v>0.99847007075922745</v>
      </c>
      <c r="K1190" s="16">
        <f t="shared" si="95"/>
        <v>53.676315789473676</v>
      </c>
      <c r="L1190" s="16">
        <f t="shared" si="91"/>
        <v>54.088367346938767</v>
      </c>
      <c r="M1190" s="25" t="str">
        <f t="shared" si="92"/>
        <v>HOLD</v>
      </c>
    </row>
    <row r="1191" spans="2:13">
      <c r="B1191" s="3">
        <v>43780</v>
      </c>
      <c r="C1191" s="5">
        <v>51.84</v>
      </c>
      <c r="D1191" s="5">
        <v>52.33</v>
      </c>
      <c r="E1191" s="5">
        <v>52.37</v>
      </c>
      <c r="F1191" s="5">
        <v>51.77</v>
      </c>
      <c r="G1191" s="18" t="s">
        <v>185</v>
      </c>
      <c r="H1191" s="2">
        <v>-7.1000000000000004E-3</v>
      </c>
      <c r="I1191" s="16">
        <f t="shared" si="93"/>
        <v>-7.0867649875502288E-3</v>
      </c>
      <c r="J1191" s="16">
        <f t="shared" si="94"/>
        <v>0.99291323501244977</v>
      </c>
      <c r="K1191" s="16">
        <f t="shared" si="95"/>
        <v>53.61894736842104</v>
      </c>
      <c r="L1191" s="16">
        <f t="shared" si="91"/>
        <v>54.030612244897952</v>
      </c>
      <c r="M1191" s="25" t="str">
        <f t="shared" si="92"/>
        <v>HOLD</v>
      </c>
    </row>
    <row r="1192" spans="2:13">
      <c r="B1192" s="3">
        <v>43781</v>
      </c>
      <c r="C1192" s="5">
        <v>51.71</v>
      </c>
      <c r="D1192" s="5">
        <v>51.91</v>
      </c>
      <c r="E1192" s="5">
        <v>51.91</v>
      </c>
      <c r="F1192" s="5">
        <v>51.58</v>
      </c>
      <c r="G1192" s="18" t="s">
        <v>923</v>
      </c>
      <c r="H1192" s="2">
        <v>-2.5000000000000001E-3</v>
      </c>
      <c r="I1192" s="16">
        <f t="shared" si="93"/>
        <v>-2.5077160493827653E-3</v>
      </c>
      <c r="J1192" s="16">
        <f t="shared" si="94"/>
        <v>0.99749228395061729</v>
      </c>
      <c r="K1192" s="16">
        <f t="shared" si="95"/>
        <v>53.531052631578937</v>
      </c>
      <c r="L1192" s="16">
        <f t="shared" si="91"/>
        <v>53.959999999999987</v>
      </c>
      <c r="M1192" s="25" t="str">
        <f t="shared" si="92"/>
        <v>HOLD</v>
      </c>
    </row>
    <row r="1193" spans="2:13">
      <c r="B1193" s="3">
        <v>43782</v>
      </c>
      <c r="C1193" s="5">
        <v>52.41</v>
      </c>
      <c r="D1193" s="5">
        <v>52.18</v>
      </c>
      <c r="E1193" s="5">
        <v>52.45</v>
      </c>
      <c r="F1193" s="5">
        <v>51.96</v>
      </c>
      <c r="G1193" s="18" t="s">
        <v>441</v>
      </c>
      <c r="H1193" s="2">
        <v>1.35E-2</v>
      </c>
      <c r="I1193" s="16">
        <f t="shared" si="93"/>
        <v>1.3537033455811172E-2</v>
      </c>
      <c r="J1193" s="16">
        <f t="shared" si="94"/>
        <v>1.0135370334558111</v>
      </c>
      <c r="K1193" s="16">
        <f t="shared" si="95"/>
        <v>53.437368421052625</v>
      </c>
      <c r="L1193" s="16">
        <f t="shared" si="91"/>
        <v>53.87714285714285</v>
      </c>
      <c r="M1193" s="25" t="str">
        <f t="shared" si="92"/>
        <v>HOLD</v>
      </c>
    </row>
    <row r="1194" spans="2:13">
      <c r="B1194" s="3">
        <v>43783</v>
      </c>
      <c r="C1194" s="5">
        <v>52.63</v>
      </c>
      <c r="D1194" s="5">
        <v>52.53</v>
      </c>
      <c r="E1194" s="5">
        <v>52.67</v>
      </c>
      <c r="F1194" s="5">
        <v>52.35</v>
      </c>
      <c r="G1194" s="18" t="s">
        <v>179</v>
      </c>
      <c r="H1194" s="2">
        <v>4.1999999999999997E-3</v>
      </c>
      <c r="I1194" s="16">
        <f t="shared" si="93"/>
        <v>4.1976721999619536E-3</v>
      </c>
      <c r="J1194" s="16">
        <f t="shared" si="94"/>
        <v>1.0041976721999619</v>
      </c>
      <c r="K1194" s="16">
        <f t="shared" si="95"/>
        <v>53.364736842105259</v>
      </c>
      <c r="L1194" s="16">
        <f t="shared" si="91"/>
        <v>53.821836734693868</v>
      </c>
      <c r="M1194" s="25" t="str">
        <f t="shared" si="92"/>
        <v>HOLD</v>
      </c>
    </row>
    <row r="1195" spans="2:13">
      <c r="B1195" s="3">
        <v>43784</v>
      </c>
      <c r="C1195" s="5">
        <v>52.67</v>
      </c>
      <c r="D1195" s="5">
        <v>52.64</v>
      </c>
      <c r="E1195" s="5">
        <v>52.68</v>
      </c>
      <c r="F1195" s="5">
        <v>52.38</v>
      </c>
      <c r="G1195" s="18" t="s">
        <v>261</v>
      </c>
      <c r="H1195" s="2">
        <v>8.0000000000000004E-4</v>
      </c>
      <c r="I1195" s="16">
        <f t="shared" si="93"/>
        <v>7.600228006840043E-4</v>
      </c>
      <c r="J1195" s="16">
        <f t="shared" si="94"/>
        <v>1.0007600228006841</v>
      </c>
      <c r="K1195" s="16">
        <f t="shared" si="95"/>
        <v>53.251578947368415</v>
      </c>
      <c r="L1195" s="16">
        <f t="shared" si="91"/>
        <v>53.768775510204073</v>
      </c>
      <c r="M1195" s="25" t="str">
        <f t="shared" si="92"/>
        <v>HOLD</v>
      </c>
    </row>
    <row r="1196" spans="2:13">
      <c r="B1196" s="3">
        <v>43787</v>
      </c>
      <c r="C1196" s="5">
        <v>53.03</v>
      </c>
      <c r="D1196" s="5">
        <v>52.68</v>
      </c>
      <c r="E1196" s="5">
        <v>53.44</v>
      </c>
      <c r="F1196" s="5">
        <v>52.67</v>
      </c>
      <c r="G1196" s="18" t="s">
        <v>152</v>
      </c>
      <c r="H1196" s="2">
        <v>6.7999999999999996E-3</v>
      </c>
      <c r="I1196" s="16">
        <f t="shared" si="93"/>
        <v>6.8350104423770541E-3</v>
      </c>
      <c r="J1196" s="16">
        <f t="shared" si="94"/>
        <v>1.0068350104423771</v>
      </c>
      <c r="K1196" s="16">
        <f t="shared" si="95"/>
        <v>53.169473684210523</v>
      </c>
      <c r="L1196" s="16">
        <f t="shared" si="91"/>
        <v>53.731020408163268</v>
      </c>
      <c r="M1196" s="25" t="str">
        <f t="shared" si="92"/>
        <v>HOLD</v>
      </c>
    </row>
    <row r="1197" spans="2:13">
      <c r="B1197" s="3">
        <v>43788</v>
      </c>
      <c r="C1197" s="5">
        <v>53.08</v>
      </c>
      <c r="D1197" s="5">
        <v>53.15</v>
      </c>
      <c r="E1197" s="5">
        <v>53.31</v>
      </c>
      <c r="F1197" s="5">
        <v>52.87</v>
      </c>
      <c r="G1197" s="18" t="s">
        <v>229</v>
      </c>
      <c r="H1197" s="2">
        <v>8.9999999999999998E-4</v>
      </c>
      <c r="I1197" s="16">
        <f t="shared" si="93"/>
        <v>9.428625306429786E-4</v>
      </c>
      <c r="J1197" s="16">
        <f t="shared" si="94"/>
        <v>1.0009428625306429</v>
      </c>
      <c r="K1197" s="16">
        <f t="shared" si="95"/>
        <v>53.126315789473679</v>
      </c>
      <c r="L1197" s="16">
        <f t="shared" si="91"/>
        <v>53.703061224489801</v>
      </c>
      <c r="M1197" s="25" t="str">
        <f t="shared" si="92"/>
        <v>HOLD</v>
      </c>
    </row>
    <row r="1198" spans="2:13">
      <c r="B1198" s="3">
        <v>43789</v>
      </c>
      <c r="C1198" s="5">
        <v>53.22</v>
      </c>
      <c r="D1198" s="5">
        <v>53.1</v>
      </c>
      <c r="E1198" s="5">
        <v>53.4</v>
      </c>
      <c r="F1198" s="5">
        <v>53.01</v>
      </c>
      <c r="G1198" s="18" t="s">
        <v>904</v>
      </c>
      <c r="H1198" s="2">
        <v>2.5999999999999999E-3</v>
      </c>
      <c r="I1198" s="16">
        <f t="shared" si="93"/>
        <v>2.6375282592313596E-3</v>
      </c>
      <c r="J1198" s="16">
        <f t="shared" si="94"/>
        <v>1.0026375282592315</v>
      </c>
      <c r="K1198" s="16">
        <f t="shared" si="95"/>
        <v>53.044210526315787</v>
      </c>
      <c r="L1198" s="16">
        <f t="shared" si="91"/>
        <v>53.66857142857144</v>
      </c>
      <c r="M1198" s="25" t="str">
        <f t="shared" si="92"/>
        <v>HOLD</v>
      </c>
    </row>
    <row r="1199" spans="2:13">
      <c r="B1199" s="3">
        <v>43790</v>
      </c>
      <c r="C1199" s="5">
        <v>52.96</v>
      </c>
      <c r="D1199" s="5">
        <v>53.11</v>
      </c>
      <c r="E1199" s="5">
        <v>53.34</v>
      </c>
      <c r="F1199" s="5">
        <v>52.77</v>
      </c>
      <c r="G1199" s="18" t="s">
        <v>922</v>
      </c>
      <c r="H1199" s="2">
        <v>-4.8999999999999998E-3</v>
      </c>
      <c r="I1199" s="16">
        <f t="shared" si="93"/>
        <v>-4.8853814355505074E-3</v>
      </c>
      <c r="J1199" s="16">
        <f t="shared" si="94"/>
        <v>0.99511461856444949</v>
      </c>
      <c r="K1199" s="16">
        <f t="shared" si="95"/>
        <v>52.971052631578949</v>
      </c>
      <c r="L1199" s="16">
        <f t="shared" si="91"/>
        <v>53.630000000000017</v>
      </c>
      <c r="M1199" s="25" t="str">
        <f t="shared" si="92"/>
        <v>HOLD</v>
      </c>
    </row>
    <row r="1200" spans="2:13">
      <c r="B1200" s="3">
        <v>43791</v>
      </c>
      <c r="C1200" s="5">
        <v>53.03</v>
      </c>
      <c r="D1200" s="5">
        <v>52.96</v>
      </c>
      <c r="E1200" s="5">
        <v>53.19</v>
      </c>
      <c r="F1200" s="5">
        <v>52.75</v>
      </c>
      <c r="G1200" s="18" t="s">
        <v>195</v>
      </c>
      <c r="H1200" s="2">
        <v>1.2999999999999999E-3</v>
      </c>
      <c r="I1200" s="16">
        <f t="shared" si="93"/>
        <v>1.3217522658610324E-3</v>
      </c>
      <c r="J1200" s="16">
        <f t="shared" si="94"/>
        <v>1.0013217522658611</v>
      </c>
      <c r="K1200" s="16">
        <f t="shared" si="95"/>
        <v>52.929473684210528</v>
      </c>
      <c r="L1200" s="16">
        <f t="shared" si="91"/>
        <v>53.603469387755112</v>
      </c>
      <c r="M1200" s="25" t="str">
        <f t="shared" si="92"/>
        <v>HOLD</v>
      </c>
    </row>
    <row r="1201" spans="2:13">
      <c r="B1201" s="3">
        <v>43794</v>
      </c>
      <c r="C1201" s="5">
        <v>53.22</v>
      </c>
      <c r="D1201" s="5">
        <v>53.28</v>
      </c>
      <c r="E1201" s="5">
        <v>53.39</v>
      </c>
      <c r="F1201" s="5">
        <v>52.77</v>
      </c>
      <c r="G1201" s="18" t="s">
        <v>469</v>
      </c>
      <c r="H1201" s="2">
        <v>3.5999999999999999E-3</v>
      </c>
      <c r="I1201" s="16">
        <f t="shared" si="93"/>
        <v>3.5828776164434795E-3</v>
      </c>
      <c r="J1201" s="16">
        <f t="shared" si="94"/>
        <v>1.0035828776164435</v>
      </c>
      <c r="K1201" s="16">
        <f t="shared" si="95"/>
        <v>52.901052631578949</v>
      </c>
      <c r="L1201" s="16">
        <f t="shared" si="91"/>
        <v>53.584489795918387</v>
      </c>
      <c r="M1201" s="25" t="str">
        <f t="shared" si="92"/>
        <v>HOLD</v>
      </c>
    </row>
    <row r="1202" spans="2:13">
      <c r="B1202" s="3">
        <v>43795</v>
      </c>
      <c r="C1202" s="5">
        <v>53.9</v>
      </c>
      <c r="D1202" s="5">
        <v>53.31</v>
      </c>
      <c r="E1202" s="5">
        <v>53.94</v>
      </c>
      <c r="F1202" s="5">
        <v>53.22</v>
      </c>
      <c r="G1202" s="18" t="s">
        <v>149</v>
      </c>
      <c r="H1202" s="2">
        <v>1.2800000000000001E-2</v>
      </c>
      <c r="I1202" s="16">
        <f t="shared" si="93"/>
        <v>1.2777151446824496E-2</v>
      </c>
      <c r="J1202" s="16">
        <f t="shared" si="94"/>
        <v>1.0127771514468245</v>
      </c>
      <c r="K1202" s="16">
        <f t="shared" si="95"/>
        <v>52.891052631578951</v>
      </c>
      <c r="L1202" s="16">
        <f t="shared" si="91"/>
        <v>53.563673469387766</v>
      </c>
      <c r="M1202" s="25" t="str">
        <f t="shared" si="92"/>
        <v>HOLD</v>
      </c>
    </row>
    <row r="1203" spans="2:13">
      <c r="B1203" s="3">
        <v>43796</v>
      </c>
      <c r="C1203" s="5">
        <v>53.95</v>
      </c>
      <c r="D1203" s="5">
        <v>53.93</v>
      </c>
      <c r="E1203" s="5">
        <v>54.1</v>
      </c>
      <c r="F1203" s="5">
        <v>53.6</v>
      </c>
      <c r="G1203" s="18" t="s">
        <v>689</v>
      </c>
      <c r="H1203" s="2">
        <v>8.9999999999999998E-4</v>
      </c>
      <c r="I1203" s="16">
        <f t="shared" si="93"/>
        <v>9.2764378478672109E-4</v>
      </c>
      <c r="J1203" s="16">
        <f t="shared" si="94"/>
        <v>1.0009276437847867</v>
      </c>
      <c r="K1203" s="16">
        <f t="shared" si="95"/>
        <v>52.88894736842105</v>
      </c>
      <c r="L1203" s="16">
        <f t="shared" si="91"/>
        <v>53.556938775510204</v>
      </c>
      <c r="M1203" s="25" t="str">
        <f t="shared" si="92"/>
        <v>HOLD</v>
      </c>
    </row>
    <row r="1204" spans="2:13">
      <c r="B1204" s="3">
        <v>43798</v>
      </c>
      <c r="C1204" s="5">
        <v>53.4</v>
      </c>
      <c r="D1204" s="5">
        <v>53.7</v>
      </c>
      <c r="E1204" s="5">
        <v>53.73</v>
      </c>
      <c r="F1204" s="5">
        <v>53.22</v>
      </c>
      <c r="G1204" s="18" t="s">
        <v>921</v>
      </c>
      <c r="H1204" s="2">
        <v>-1.0200000000000001E-2</v>
      </c>
      <c r="I1204" s="16">
        <f t="shared" si="93"/>
        <v>-1.0194624652456056E-2</v>
      </c>
      <c r="J1204" s="16">
        <f t="shared" si="94"/>
        <v>0.98980537534754398</v>
      </c>
      <c r="K1204" s="16">
        <f t="shared" si="95"/>
        <v>52.863684210526323</v>
      </c>
      <c r="L1204" s="16">
        <f t="shared" si="91"/>
        <v>53.545306122448977</v>
      </c>
      <c r="M1204" s="25" t="str">
        <f t="shared" si="92"/>
        <v>HOLD</v>
      </c>
    </row>
    <row r="1205" spans="2:13">
      <c r="B1205" s="3">
        <v>43801</v>
      </c>
      <c r="C1205" s="5">
        <v>53.75</v>
      </c>
      <c r="D1205" s="5">
        <v>53.32</v>
      </c>
      <c r="E1205" s="5">
        <v>53.75</v>
      </c>
      <c r="F1205" s="5">
        <v>52.85</v>
      </c>
      <c r="G1205" s="18" t="s">
        <v>21</v>
      </c>
      <c r="H1205" s="2">
        <v>6.6E-3</v>
      </c>
      <c r="I1205" s="16">
        <f t="shared" si="93"/>
        <v>6.5543071161048953E-3</v>
      </c>
      <c r="J1205" s="16">
        <f t="shared" si="94"/>
        <v>1.0065543071161049</v>
      </c>
      <c r="K1205" s="16">
        <f t="shared" si="95"/>
        <v>52.837368421052638</v>
      </c>
      <c r="L1205" s="16">
        <f t="shared" si="91"/>
        <v>53.534897959183674</v>
      </c>
      <c r="M1205" s="25" t="str">
        <f t="shared" si="92"/>
        <v>HOLD</v>
      </c>
    </row>
    <row r="1206" spans="2:13">
      <c r="B1206" s="3">
        <v>43802</v>
      </c>
      <c r="C1206" s="5">
        <v>53.8</v>
      </c>
      <c r="D1206" s="5">
        <v>53.71</v>
      </c>
      <c r="E1206" s="5">
        <v>53.84</v>
      </c>
      <c r="F1206" s="5">
        <v>53.4</v>
      </c>
      <c r="G1206" s="18" t="s">
        <v>848</v>
      </c>
      <c r="H1206" s="2">
        <v>8.9999999999999998E-4</v>
      </c>
      <c r="I1206" s="16">
        <f t="shared" si="93"/>
        <v>9.3023255813948203E-4</v>
      </c>
      <c r="J1206" s="16">
        <f t="shared" si="94"/>
        <v>1.0009302325581395</v>
      </c>
      <c r="K1206" s="16">
        <f t="shared" si="95"/>
        <v>52.869473684210533</v>
      </c>
      <c r="L1206" s="16">
        <f t="shared" si="91"/>
        <v>53.52693877551021</v>
      </c>
      <c r="M1206" s="25" t="str">
        <f t="shared" si="92"/>
        <v>HOLD</v>
      </c>
    </row>
    <row r="1207" spans="2:13">
      <c r="B1207" s="3">
        <v>43803</v>
      </c>
      <c r="C1207" s="5">
        <v>54.29</v>
      </c>
      <c r="D1207" s="5">
        <v>53.8</v>
      </c>
      <c r="E1207" s="5">
        <v>54.31</v>
      </c>
      <c r="F1207" s="5">
        <v>53.72</v>
      </c>
      <c r="G1207" s="18" t="s">
        <v>328</v>
      </c>
      <c r="H1207" s="2">
        <v>9.1000000000000004E-3</v>
      </c>
      <c r="I1207" s="16">
        <f t="shared" si="93"/>
        <v>9.1078066914498518E-3</v>
      </c>
      <c r="J1207" s="16">
        <f t="shared" si="94"/>
        <v>1.0091078066914498</v>
      </c>
      <c r="K1207" s="16">
        <f t="shared" si="95"/>
        <v>52.942105263157899</v>
      </c>
      <c r="L1207" s="16">
        <f t="shared" si="91"/>
        <v>53.516734693877552</v>
      </c>
      <c r="M1207" s="25" t="str">
        <f t="shared" si="92"/>
        <v>HOLD</v>
      </c>
    </row>
    <row r="1208" spans="2:13">
      <c r="B1208" s="3">
        <v>43804</v>
      </c>
      <c r="C1208" s="5">
        <v>54.19</v>
      </c>
      <c r="D1208" s="5">
        <v>54.21</v>
      </c>
      <c r="E1208" s="5">
        <v>54.29</v>
      </c>
      <c r="F1208" s="5">
        <v>53.83</v>
      </c>
      <c r="G1208" s="18" t="s">
        <v>920</v>
      </c>
      <c r="H1208" s="2">
        <v>-1.8E-3</v>
      </c>
      <c r="I1208" s="16">
        <f t="shared" si="93"/>
        <v>-1.8419598452753992E-3</v>
      </c>
      <c r="J1208" s="16">
        <f t="shared" si="94"/>
        <v>0.99815804015472465</v>
      </c>
      <c r="K1208" s="16">
        <f t="shared" si="95"/>
        <v>53.020526315789475</v>
      </c>
      <c r="L1208" s="16">
        <f t="shared" si="91"/>
        <v>53.519183673469399</v>
      </c>
      <c r="M1208" s="25" t="str">
        <f t="shared" si="92"/>
        <v>HOLD</v>
      </c>
    </row>
    <row r="1209" spans="2:13">
      <c r="B1209" s="3">
        <v>43805</v>
      </c>
      <c r="C1209" s="5">
        <v>54.42</v>
      </c>
      <c r="D1209" s="5">
        <v>54.31</v>
      </c>
      <c r="E1209" s="5">
        <v>54.5</v>
      </c>
      <c r="F1209" s="5">
        <v>54.17</v>
      </c>
      <c r="G1209" s="18" t="s">
        <v>919</v>
      </c>
      <c r="H1209" s="2">
        <v>4.1999999999999997E-3</v>
      </c>
      <c r="I1209" s="16">
        <f t="shared" si="93"/>
        <v>4.2443255213139687E-3</v>
      </c>
      <c r="J1209" s="16">
        <f t="shared" si="94"/>
        <v>1.004244325521314</v>
      </c>
      <c r="K1209" s="16">
        <f t="shared" si="95"/>
        <v>53.120526315789469</v>
      </c>
      <c r="L1209" s="16">
        <f t="shared" ref="L1209:L1272" si="96">AVERAGE(C1160:C1208)</f>
        <v>53.515102040816338</v>
      </c>
      <c r="M1209" s="25" t="str">
        <f t="shared" ref="M1209:M1272" si="97">IF(AND(K1209&gt;L1209,K1208&lt;=L1208),"BUY",IF(AND(K1209&lt;L1209,K1208&gt;=L1208),"SELL","HOLD"))</f>
        <v>HOLD</v>
      </c>
    </row>
    <row r="1210" spans="2:13">
      <c r="B1210" s="3">
        <v>43808</v>
      </c>
      <c r="C1210" s="5">
        <v>54.07</v>
      </c>
      <c r="D1210" s="5">
        <v>54.3</v>
      </c>
      <c r="E1210" s="5">
        <v>54.51</v>
      </c>
      <c r="F1210" s="5">
        <v>54.02</v>
      </c>
      <c r="G1210" s="18" t="s">
        <v>391</v>
      </c>
      <c r="H1210" s="2">
        <v>-6.4000000000000003E-3</v>
      </c>
      <c r="I1210" s="16">
        <f t="shared" si="93"/>
        <v>-6.4314590224182544E-3</v>
      </c>
      <c r="J1210" s="16">
        <f t="shared" si="94"/>
        <v>0.99356854097758174</v>
      </c>
      <c r="K1210" s="16">
        <f t="shared" si="95"/>
        <v>53.23684210526315</v>
      </c>
      <c r="L1210" s="16">
        <f t="shared" si="96"/>
        <v>53.517346938775518</v>
      </c>
      <c r="M1210" s="25" t="str">
        <f t="shared" si="97"/>
        <v>HOLD</v>
      </c>
    </row>
    <row r="1211" spans="2:13">
      <c r="B1211" s="3">
        <v>43809</v>
      </c>
      <c r="C1211" s="5">
        <v>53.77</v>
      </c>
      <c r="D1211" s="5">
        <v>54.04</v>
      </c>
      <c r="E1211" s="5">
        <v>54.07</v>
      </c>
      <c r="F1211" s="5">
        <v>53.73</v>
      </c>
      <c r="G1211" s="18" t="s">
        <v>471</v>
      </c>
      <c r="H1211" s="2">
        <v>-5.4999999999999997E-3</v>
      </c>
      <c r="I1211" s="16">
        <f t="shared" si="93"/>
        <v>-5.5483632328462576E-3</v>
      </c>
      <c r="J1211" s="16">
        <f t="shared" si="94"/>
        <v>0.99445163676715376</v>
      </c>
      <c r="K1211" s="16">
        <f t="shared" si="95"/>
        <v>53.354210526315789</v>
      </c>
      <c r="L1211" s="16">
        <f t="shared" si="96"/>
        <v>53.509795918367367</v>
      </c>
      <c r="M1211" s="25" t="str">
        <f t="shared" si="97"/>
        <v>HOLD</v>
      </c>
    </row>
    <row r="1212" spans="2:13">
      <c r="B1212" s="3">
        <v>43810</v>
      </c>
      <c r="C1212" s="5">
        <v>53.95</v>
      </c>
      <c r="D1212" s="5">
        <v>53.94</v>
      </c>
      <c r="E1212" s="5">
        <v>54.15</v>
      </c>
      <c r="F1212" s="5">
        <v>53.66</v>
      </c>
      <c r="G1212" s="18" t="s">
        <v>163</v>
      </c>
      <c r="H1212" s="2">
        <v>3.3E-3</v>
      </c>
      <c r="I1212" s="16">
        <f t="shared" si="93"/>
        <v>3.3475915938255478E-3</v>
      </c>
      <c r="J1212" s="16">
        <f t="shared" si="94"/>
        <v>1.0033475915938255</v>
      </c>
      <c r="K1212" s="16">
        <f t="shared" si="95"/>
        <v>53.462631578947367</v>
      </c>
      <c r="L1212" s="16">
        <f t="shared" si="96"/>
        <v>53.491836734693891</v>
      </c>
      <c r="M1212" s="25" t="str">
        <f t="shared" si="97"/>
        <v>HOLD</v>
      </c>
    </row>
    <row r="1213" spans="2:13">
      <c r="B1213" s="3">
        <v>43811</v>
      </c>
      <c r="C1213" s="5">
        <v>54.14</v>
      </c>
      <c r="D1213" s="5">
        <v>54.01</v>
      </c>
      <c r="E1213" s="5">
        <v>54.45</v>
      </c>
      <c r="F1213" s="5">
        <v>53.94</v>
      </c>
      <c r="G1213" s="18" t="s">
        <v>918</v>
      </c>
      <c r="H1213" s="2">
        <v>3.5000000000000001E-3</v>
      </c>
      <c r="I1213" s="16">
        <f t="shared" si="93"/>
        <v>3.5217794253938409E-3</v>
      </c>
      <c r="J1213" s="16">
        <f t="shared" si="94"/>
        <v>1.0035217794253939</v>
      </c>
      <c r="K1213" s="16">
        <f t="shared" si="95"/>
        <v>53.543684210526315</v>
      </c>
      <c r="L1213" s="16">
        <f t="shared" si="96"/>
        <v>53.509591836734707</v>
      </c>
      <c r="M1213" s="25" t="str">
        <f t="shared" si="97"/>
        <v>BUY</v>
      </c>
    </row>
    <row r="1214" spans="2:13">
      <c r="B1214" s="3">
        <v>43812</v>
      </c>
      <c r="C1214" s="5">
        <v>54.42</v>
      </c>
      <c r="D1214" s="5">
        <v>53.94</v>
      </c>
      <c r="E1214" s="5">
        <v>54.55</v>
      </c>
      <c r="F1214" s="5">
        <v>53.84</v>
      </c>
      <c r="G1214" s="18" t="s">
        <v>222</v>
      </c>
      <c r="H1214" s="2">
        <v>5.1999999999999998E-3</v>
      </c>
      <c r="I1214" s="16">
        <f t="shared" si="93"/>
        <v>5.1717768747691377E-3</v>
      </c>
      <c r="J1214" s="16">
        <f t="shared" si="94"/>
        <v>1.0051717768747692</v>
      </c>
      <c r="K1214" s="16">
        <f t="shared" si="95"/>
        <v>53.623157894736842</v>
      </c>
      <c r="L1214" s="16">
        <f t="shared" si="96"/>
        <v>53.515714285714303</v>
      </c>
      <c r="M1214" s="25" t="str">
        <f t="shared" si="97"/>
        <v>HOLD</v>
      </c>
    </row>
    <row r="1215" spans="2:13">
      <c r="B1215" s="3">
        <v>43815</v>
      </c>
      <c r="C1215" s="5">
        <v>54.42</v>
      </c>
      <c r="D1215" s="5">
        <v>54.69</v>
      </c>
      <c r="E1215" s="5">
        <v>54.83</v>
      </c>
      <c r="F1215" s="5">
        <v>54.37</v>
      </c>
      <c r="G1215" s="18" t="s">
        <v>917</v>
      </c>
      <c r="H1215" s="2">
        <v>0</v>
      </c>
      <c r="I1215" s="16">
        <f t="shared" si="93"/>
        <v>0</v>
      </c>
      <c r="J1215" s="16">
        <f t="shared" si="94"/>
        <v>1</v>
      </c>
      <c r="K1215" s="16">
        <f t="shared" si="95"/>
        <v>53.715263157894732</v>
      </c>
      <c r="L1215" s="16">
        <f t="shared" si="96"/>
        <v>53.513265306122463</v>
      </c>
      <c r="M1215" s="25" t="str">
        <f t="shared" si="97"/>
        <v>HOLD</v>
      </c>
    </row>
    <row r="1216" spans="2:13">
      <c r="B1216" s="3">
        <v>43816</v>
      </c>
      <c r="C1216" s="5">
        <v>54.42</v>
      </c>
      <c r="D1216" s="5">
        <v>54.4</v>
      </c>
      <c r="E1216" s="5">
        <v>54.58</v>
      </c>
      <c r="F1216" s="5">
        <v>54.29</v>
      </c>
      <c r="G1216" s="18" t="s">
        <v>916</v>
      </c>
      <c r="H1216" s="2">
        <v>0</v>
      </c>
      <c r="I1216" s="16">
        <f t="shared" si="93"/>
        <v>0</v>
      </c>
      <c r="J1216" s="16">
        <f t="shared" si="94"/>
        <v>1</v>
      </c>
      <c r="K1216" s="16">
        <f t="shared" si="95"/>
        <v>53.788421052631577</v>
      </c>
      <c r="L1216" s="16">
        <f t="shared" si="96"/>
        <v>53.524489795918385</v>
      </c>
      <c r="M1216" s="25" t="str">
        <f t="shared" si="97"/>
        <v>HOLD</v>
      </c>
    </row>
    <row r="1217" spans="2:13">
      <c r="B1217" s="3">
        <v>43817</v>
      </c>
      <c r="C1217" s="5">
        <v>53.91</v>
      </c>
      <c r="D1217" s="5">
        <v>54.53</v>
      </c>
      <c r="E1217" s="5">
        <v>54.75</v>
      </c>
      <c r="F1217" s="5">
        <v>53.88</v>
      </c>
      <c r="G1217" s="18" t="s">
        <v>711</v>
      </c>
      <c r="H1217" s="2">
        <v>-9.4000000000000004E-3</v>
      </c>
      <c r="I1217" s="16">
        <f t="shared" si="93"/>
        <v>-9.3715545755237977E-3</v>
      </c>
      <c r="J1217" s="16">
        <f t="shared" si="94"/>
        <v>0.99062844542447626</v>
      </c>
      <c r="K1217" s="16">
        <f t="shared" si="95"/>
        <v>53.858947368421049</v>
      </c>
      <c r="L1217" s="16">
        <f t="shared" si="96"/>
        <v>53.541632653061235</v>
      </c>
      <c r="M1217" s="25" t="str">
        <f t="shared" si="97"/>
        <v>HOLD</v>
      </c>
    </row>
    <row r="1218" spans="2:13">
      <c r="B1218" s="3">
        <v>43818</v>
      </c>
      <c r="C1218" s="5">
        <v>54.32</v>
      </c>
      <c r="D1218" s="5">
        <v>54.04</v>
      </c>
      <c r="E1218" s="5">
        <v>54.34</v>
      </c>
      <c r="F1218" s="5">
        <v>53.92</v>
      </c>
      <c r="G1218" s="18" t="s">
        <v>830</v>
      </c>
      <c r="H1218" s="2">
        <v>7.6E-3</v>
      </c>
      <c r="I1218" s="16">
        <f t="shared" si="93"/>
        <v>7.6052680393248698E-3</v>
      </c>
      <c r="J1218" s="16">
        <f t="shared" si="94"/>
        <v>1.0076052680393248</v>
      </c>
      <c r="K1218" s="16">
        <f t="shared" si="95"/>
        <v>53.895263157894739</v>
      </c>
      <c r="L1218" s="16">
        <f t="shared" si="96"/>
        <v>53.543265306122457</v>
      </c>
      <c r="M1218" s="25" t="str">
        <f t="shared" si="97"/>
        <v>HOLD</v>
      </c>
    </row>
    <row r="1219" spans="2:13">
      <c r="B1219" s="3">
        <v>43819</v>
      </c>
      <c r="C1219" s="5">
        <v>54.97</v>
      </c>
      <c r="D1219" s="5">
        <v>54.94</v>
      </c>
      <c r="E1219" s="5">
        <v>55.2</v>
      </c>
      <c r="F1219" s="5">
        <v>54.47</v>
      </c>
      <c r="G1219" s="18" t="s">
        <v>502</v>
      </c>
      <c r="H1219" s="2">
        <v>1.2E-2</v>
      </c>
      <c r="I1219" s="16">
        <f t="shared" si="93"/>
        <v>1.1966126656848279E-2</v>
      </c>
      <c r="J1219" s="16">
        <f t="shared" si="94"/>
        <v>1.0119661266568483</v>
      </c>
      <c r="K1219" s="16">
        <f t="shared" si="95"/>
        <v>53.966842105263154</v>
      </c>
      <c r="L1219" s="16">
        <f t="shared" si="96"/>
        <v>53.556734693877559</v>
      </c>
      <c r="M1219" s="25" t="str">
        <f t="shared" si="97"/>
        <v>HOLD</v>
      </c>
    </row>
    <row r="1220" spans="2:13">
      <c r="B1220" s="3">
        <v>43822</v>
      </c>
      <c r="C1220" s="5">
        <v>54.91</v>
      </c>
      <c r="D1220" s="5">
        <v>55</v>
      </c>
      <c r="E1220" s="5">
        <v>55.24</v>
      </c>
      <c r="F1220" s="5">
        <v>54.84</v>
      </c>
      <c r="G1220" s="18" t="s">
        <v>915</v>
      </c>
      <c r="H1220" s="2">
        <v>-1.1000000000000001E-3</v>
      </c>
      <c r="I1220" s="16">
        <f t="shared" si="93"/>
        <v>-1.0915044569765741E-3</v>
      </c>
      <c r="J1220" s="16">
        <f t="shared" si="94"/>
        <v>0.99890849554302341</v>
      </c>
      <c r="K1220" s="16">
        <f t="shared" si="95"/>
        <v>54.06894736842105</v>
      </c>
      <c r="L1220" s="16">
        <f t="shared" si="96"/>
        <v>53.590816326530614</v>
      </c>
      <c r="M1220" s="25" t="str">
        <f t="shared" si="97"/>
        <v>HOLD</v>
      </c>
    </row>
    <row r="1221" spans="2:13">
      <c r="B1221" s="3">
        <v>43823</v>
      </c>
      <c r="C1221" s="5">
        <v>54.71</v>
      </c>
      <c r="D1221" s="5">
        <v>54.8</v>
      </c>
      <c r="E1221" s="5">
        <v>55</v>
      </c>
      <c r="F1221" s="5">
        <v>54.64</v>
      </c>
      <c r="G1221" s="18" t="s">
        <v>914</v>
      </c>
      <c r="H1221" s="2">
        <v>-3.5999999999999999E-3</v>
      </c>
      <c r="I1221" s="16">
        <f t="shared" si="93"/>
        <v>-3.6423238025859723E-3</v>
      </c>
      <c r="J1221" s="16">
        <f t="shared" si="94"/>
        <v>0.996357676197414</v>
      </c>
      <c r="K1221" s="16">
        <f t="shared" si="95"/>
        <v>54.157894736842103</v>
      </c>
      <c r="L1221" s="16">
        <f t="shared" si="96"/>
        <v>53.623673469387754</v>
      </c>
      <c r="M1221" s="25" t="str">
        <f t="shared" si="97"/>
        <v>HOLD</v>
      </c>
    </row>
    <row r="1222" spans="2:13">
      <c r="B1222" s="3">
        <v>43825</v>
      </c>
      <c r="C1222" s="5">
        <v>55.02</v>
      </c>
      <c r="D1222" s="5">
        <v>54.92</v>
      </c>
      <c r="E1222" s="5">
        <v>55.02</v>
      </c>
      <c r="F1222" s="5">
        <v>54.79</v>
      </c>
      <c r="G1222" s="18" t="s">
        <v>913</v>
      </c>
      <c r="H1222" s="2">
        <v>5.7000000000000002E-3</v>
      </c>
      <c r="I1222" s="16">
        <f t="shared" si="93"/>
        <v>5.6662401754707051E-3</v>
      </c>
      <c r="J1222" s="16">
        <f t="shared" si="94"/>
        <v>1.0056662401754708</v>
      </c>
      <c r="K1222" s="16">
        <f t="shared" si="95"/>
        <v>54.200526315789467</v>
      </c>
      <c r="L1222" s="16">
        <f t="shared" si="96"/>
        <v>53.648163265306117</v>
      </c>
      <c r="M1222" s="25" t="str">
        <f t="shared" si="97"/>
        <v>HOLD</v>
      </c>
    </row>
    <row r="1223" spans="2:13">
      <c r="B1223" s="3">
        <v>43826</v>
      </c>
      <c r="C1223" s="5">
        <v>55.35</v>
      </c>
      <c r="D1223" s="5">
        <v>55.01</v>
      </c>
      <c r="E1223" s="5">
        <v>55.45</v>
      </c>
      <c r="F1223" s="5">
        <v>55</v>
      </c>
      <c r="G1223" s="18" t="s">
        <v>912</v>
      </c>
      <c r="H1223" s="2">
        <v>6.0000000000000001E-3</v>
      </c>
      <c r="I1223" s="16">
        <f t="shared" si="93"/>
        <v>5.9978189749181803E-3</v>
      </c>
      <c r="J1223" s="16">
        <f t="shared" si="94"/>
        <v>1.0059978189749181</v>
      </c>
      <c r="K1223" s="16">
        <f t="shared" si="95"/>
        <v>54.256842105263154</v>
      </c>
      <c r="L1223" s="16">
        <f t="shared" si="96"/>
        <v>53.679387755102042</v>
      </c>
      <c r="M1223" s="25" t="str">
        <f t="shared" si="97"/>
        <v>HOLD</v>
      </c>
    </row>
    <row r="1224" spans="2:13">
      <c r="B1224" s="3">
        <v>43829</v>
      </c>
      <c r="C1224" s="5">
        <v>55.27</v>
      </c>
      <c r="D1224" s="5">
        <v>55.18</v>
      </c>
      <c r="E1224" s="5">
        <v>55.38</v>
      </c>
      <c r="F1224" s="5">
        <v>55.06</v>
      </c>
      <c r="G1224" s="18" t="s">
        <v>911</v>
      </c>
      <c r="H1224" s="2">
        <v>-1.4E-3</v>
      </c>
      <c r="I1224" s="16">
        <f t="shared" si="93"/>
        <v>-1.4453477868111705E-3</v>
      </c>
      <c r="J1224" s="16">
        <f t="shared" si="94"/>
        <v>0.99855465221318884</v>
      </c>
      <c r="K1224" s="16">
        <f t="shared" si="95"/>
        <v>54.359473684210521</v>
      </c>
      <c r="L1224" s="16">
        <f t="shared" si="96"/>
        <v>53.711224489795917</v>
      </c>
      <c r="M1224" s="25" t="str">
        <f t="shared" si="97"/>
        <v>HOLD</v>
      </c>
    </row>
    <row r="1225" spans="2:13">
      <c r="B1225" s="3">
        <v>43830</v>
      </c>
      <c r="C1225" s="5">
        <v>55.35</v>
      </c>
      <c r="D1225" s="5">
        <v>55.2</v>
      </c>
      <c r="E1225" s="5">
        <v>55.38</v>
      </c>
      <c r="F1225" s="5">
        <v>54.98</v>
      </c>
      <c r="G1225" s="18" t="s">
        <v>897</v>
      </c>
      <c r="H1225" s="2">
        <v>1.4E-3</v>
      </c>
      <c r="I1225" s="16">
        <f t="shared" ref="I1225:I1288" si="98">(C1225-C1224)/C1224</f>
        <v>1.4474398407815865E-3</v>
      </c>
      <c r="J1225" s="16">
        <f t="shared" ref="J1225:J1288" si="99">C1225/C1224</f>
        <v>1.0014474398407816</v>
      </c>
      <c r="K1225" s="16">
        <f t="shared" si="95"/>
        <v>54.439473684210519</v>
      </c>
      <c r="L1225" s="16">
        <f t="shared" si="96"/>
        <v>53.721224489795915</v>
      </c>
      <c r="M1225" s="25" t="str">
        <f t="shared" si="97"/>
        <v>HOLD</v>
      </c>
    </row>
    <row r="1226" spans="2:13">
      <c r="B1226" s="3">
        <v>43832</v>
      </c>
      <c r="C1226" s="5">
        <v>54.99</v>
      </c>
      <c r="D1226" s="5">
        <v>55.32</v>
      </c>
      <c r="E1226" s="5">
        <v>55.43</v>
      </c>
      <c r="F1226" s="5">
        <v>54.76</v>
      </c>
      <c r="G1226" s="18" t="s">
        <v>910</v>
      </c>
      <c r="H1226" s="2">
        <v>-6.4999999999999997E-3</v>
      </c>
      <c r="I1226" s="16">
        <f t="shared" si="98"/>
        <v>-6.5040650406503961E-3</v>
      </c>
      <c r="J1226" s="16">
        <f t="shared" si="99"/>
        <v>0.99349593495934962</v>
      </c>
      <c r="K1226" s="16">
        <f t="shared" si="95"/>
        <v>54.521052631578939</v>
      </c>
      <c r="L1226" s="16">
        <f t="shared" si="96"/>
        <v>53.744081632653064</v>
      </c>
      <c r="M1226" s="25" t="str">
        <f t="shared" si="97"/>
        <v>HOLD</v>
      </c>
    </row>
    <row r="1227" spans="2:13">
      <c r="B1227" s="3">
        <v>43833</v>
      </c>
      <c r="C1227" s="5">
        <v>54.69</v>
      </c>
      <c r="D1227" s="5">
        <v>54.32</v>
      </c>
      <c r="E1227" s="5">
        <v>54.99</v>
      </c>
      <c r="F1227" s="5">
        <v>54.09</v>
      </c>
      <c r="G1227" s="18" t="s">
        <v>909</v>
      </c>
      <c r="H1227" s="2">
        <v>-5.4999999999999997E-3</v>
      </c>
      <c r="I1227" s="16">
        <f t="shared" si="98"/>
        <v>-5.455537370431065E-3</v>
      </c>
      <c r="J1227" s="16">
        <f t="shared" si="99"/>
        <v>0.99454446262956897</v>
      </c>
      <c r="K1227" s="16">
        <f t="shared" si="95"/>
        <v>54.557894736842115</v>
      </c>
      <c r="L1227" s="16">
        <f t="shared" si="96"/>
        <v>53.767346938775496</v>
      </c>
      <c r="M1227" s="25" t="str">
        <f t="shared" si="97"/>
        <v>HOLD</v>
      </c>
    </row>
    <row r="1228" spans="2:13">
      <c r="B1228" s="3">
        <v>43836</v>
      </c>
      <c r="C1228" s="5">
        <v>54.67</v>
      </c>
      <c r="D1228" s="5">
        <v>54.65</v>
      </c>
      <c r="E1228" s="5">
        <v>54.91</v>
      </c>
      <c r="F1228" s="5">
        <v>54.52</v>
      </c>
      <c r="G1228" s="18" t="s">
        <v>792</v>
      </c>
      <c r="H1228" s="2">
        <v>-4.0000000000000002E-4</v>
      </c>
      <c r="I1228" s="16">
        <f t="shared" si="98"/>
        <v>-3.6569756811109929E-4</v>
      </c>
      <c r="J1228" s="16">
        <f t="shared" si="99"/>
        <v>0.99963430243188889</v>
      </c>
      <c r="K1228" s="16">
        <f t="shared" si="95"/>
        <v>54.584210526315793</v>
      </c>
      <c r="L1228" s="16">
        <f t="shared" si="96"/>
        <v>53.768367346938774</v>
      </c>
      <c r="M1228" s="25" t="str">
        <f t="shared" si="97"/>
        <v>HOLD</v>
      </c>
    </row>
    <row r="1229" spans="2:13">
      <c r="B1229" s="3">
        <v>43837</v>
      </c>
      <c r="C1229" s="5">
        <v>54.25</v>
      </c>
      <c r="D1229" s="5">
        <v>54.45</v>
      </c>
      <c r="E1229" s="5">
        <v>54.6</v>
      </c>
      <c r="F1229" s="5">
        <v>54.15</v>
      </c>
      <c r="G1229" s="18" t="s">
        <v>191</v>
      </c>
      <c r="H1229" s="2">
        <v>-7.7000000000000002E-3</v>
      </c>
      <c r="I1229" s="16">
        <f t="shared" si="98"/>
        <v>-7.6824583866837697E-3</v>
      </c>
      <c r="J1229" s="16">
        <f t="shared" si="99"/>
        <v>0.9923175416133162</v>
      </c>
      <c r="K1229" s="16">
        <f t="shared" si="95"/>
        <v>54.597368421052636</v>
      </c>
      <c r="L1229" s="16">
        <f t="shared" si="96"/>
        <v>53.769591836734698</v>
      </c>
      <c r="M1229" s="25" t="str">
        <f t="shared" si="97"/>
        <v>HOLD</v>
      </c>
    </row>
    <row r="1230" spans="2:13">
      <c r="B1230" s="3">
        <v>43838</v>
      </c>
      <c r="C1230" s="5">
        <v>54.35</v>
      </c>
      <c r="D1230" s="5">
        <v>54.27</v>
      </c>
      <c r="E1230" s="5">
        <v>54.64</v>
      </c>
      <c r="F1230" s="5">
        <v>54.15</v>
      </c>
      <c r="G1230" s="18" t="s">
        <v>908</v>
      </c>
      <c r="H1230" s="2">
        <v>1.8E-3</v>
      </c>
      <c r="I1230" s="16">
        <f t="shared" si="98"/>
        <v>1.8433179723502567E-3</v>
      </c>
      <c r="J1230" s="16">
        <f t="shared" si="99"/>
        <v>1.0018433179723503</v>
      </c>
      <c r="K1230" s="16">
        <f t="shared" si="95"/>
        <v>54.606842105263169</v>
      </c>
      <c r="L1230" s="16">
        <f t="shared" si="96"/>
        <v>53.779795918367348</v>
      </c>
      <c r="M1230" s="25" t="str">
        <f t="shared" si="97"/>
        <v>HOLD</v>
      </c>
    </row>
    <row r="1231" spans="2:13">
      <c r="B1231" s="3">
        <v>43839</v>
      </c>
      <c r="C1231" s="5">
        <v>55.34</v>
      </c>
      <c r="D1231" s="5">
        <v>55</v>
      </c>
      <c r="E1231" s="5">
        <v>55.4</v>
      </c>
      <c r="F1231" s="5">
        <v>54.84</v>
      </c>
      <c r="G1231" s="18" t="s">
        <v>553</v>
      </c>
      <c r="H1231" s="2">
        <v>1.8200000000000001E-2</v>
      </c>
      <c r="I1231" s="16">
        <f t="shared" si="98"/>
        <v>1.8215271389144472E-2</v>
      </c>
      <c r="J1231" s="16">
        <f t="shared" si="99"/>
        <v>1.0182152713891444</v>
      </c>
      <c r="K1231" s="16">
        <f t="shared" si="95"/>
        <v>54.637368421052628</v>
      </c>
      <c r="L1231" s="16">
        <f t="shared" si="96"/>
        <v>53.79571428571429</v>
      </c>
      <c r="M1231" s="25" t="str">
        <f t="shared" si="97"/>
        <v>HOLD</v>
      </c>
    </row>
    <row r="1232" spans="2:13">
      <c r="B1232" s="3">
        <v>43840</v>
      </c>
      <c r="C1232" s="5">
        <v>55.53</v>
      </c>
      <c r="D1232" s="5">
        <v>55.48</v>
      </c>
      <c r="E1232" s="5">
        <v>55.93</v>
      </c>
      <c r="F1232" s="5">
        <v>55.45</v>
      </c>
      <c r="G1232" s="18" t="s">
        <v>829</v>
      </c>
      <c r="H1232" s="2">
        <v>3.3999999999999998E-3</v>
      </c>
      <c r="I1232" s="16">
        <f t="shared" si="98"/>
        <v>3.4333212865919355E-3</v>
      </c>
      <c r="J1232" s="16">
        <f t="shared" si="99"/>
        <v>1.003433321286592</v>
      </c>
      <c r="K1232" s="16">
        <f t="shared" si="95"/>
        <v>54.710526315789473</v>
      </c>
      <c r="L1232" s="16">
        <f t="shared" si="96"/>
        <v>53.835102040816338</v>
      </c>
      <c r="M1232" s="25" t="str">
        <f t="shared" si="97"/>
        <v>HOLD</v>
      </c>
    </row>
    <row r="1233" spans="2:13">
      <c r="B1233" s="3">
        <v>43843</v>
      </c>
      <c r="C1233" s="5">
        <v>56.13</v>
      </c>
      <c r="D1233" s="5">
        <v>55.53</v>
      </c>
      <c r="E1233" s="5">
        <v>56.23</v>
      </c>
      <c r="F1233" s="5">
        <v>55.42</v>
      </c>
      <c r="G1233" s="18" t="s">
        <v>495</v>
      </c>
      <c r="H1233" s="2">
        <v>1.0800000000000001E-2</v>
      </c>
      <c r="I1233" s="16">
        <f t="shared" si="98"/>
        <v>1.0804970286331738E-2</v>
      </c>
      <c r="J1233" s="16">
        <f t="shared" si="99"/>
        <v>1.0108049702863318</v>
      </c>
      <c r="K1233" s="16">
        <f t="shared" si="95"/>
        <v>54.783684210526324</v>
      </c>
      <c r="L1233" s="16">
        <f t="shared" si="96"/>
        <v>53.867551020408179</v>
      </c>
      <c r="M1233" s="25" t="str">
        <f t="shared" si="97"/>
        <v>HOLD</v>
      </c>
    </row>
    <row r="1234" spans="2:13">
      <c r="B1234" s="3">
        <v>43844</v>
      </c>
      <c r="C1234" s="5">
        <v>56</v>
      </c>
      <c r="D1234" s="5">
        <v>56.24</v>
      </c>
      <c r="E1234" s="5">
        <v>56.29</v>
      </c>
      <c r="F1234" s="5">
        <v>55.83</v>
      </c>
      <c r="G1234" s="18" t="s">
        <v>907</v>
      </c>
      <c r="H1234" s="2">
        <v>-2.3E-3</v>
      </c>
      <c r="I1234" s="16">
        <f t="shared" si="98"/>
        <v>-2.3160520220916188E-3</v>
      </c>
      <c r="J1234" s="16">
        <f t="shared" si="99"/>
        <v>0.99768394797790838</v>
      </c>
      <c r="K1234" s="16">
        <f t="shared" si="95"/>
        <v>54.873684210526314</v>
      </c>
      <c r="L1234" s="16">
        <f t="shared" si="96"/>
        <v>53.9022448979592</v>
      </c>
      <c r="M1234" s="25" t="str">
        <f t="shared" si="97"/>
        <v>HOLD</v>
      </c>
    </row>
    <row r="1235" spans="2:13">
      <c r="B1235" s="3">
        <v>43845</v>
      </c>
      <c r="C1235" s="5">
        <v>56.7</v>
      </c>
      <c r="D1235" s="5">
        <v>56</v>
      </c>
      <c r="E1235" s="5">
        <v>56.98</v>
      </c>
      <c r="F1235" s="5">
        <v>56</v>
      </c>
      <c r="G1235" s="18" t="s">
        <v>906</v>
      </c>
      <c r="H1235" s="2">
        <v>1.2500000000000001E-2</v>
      </c>
      <c r="I1235" s="16">
        <f t="shared" si="98"/>
        <v>1.2500000000000051E-2</v>
      </c>
      <c r="J1235" s="16">
        <f t="shared" si="99"/>
        <v>1.0125</v>
      </c>
      <c r="K1235" s="16">
        <f t="shared" si="95"/>
        <v>54.956842105263149</v>
      </c>
      <c r="L1235" s="16">
        <f t="shared" si="96"/>
        <v>53.945102040816344</v>
      </c>
      <c r="M1235" s="25" t="str">
        <f t="shared" si="97"/>
        <v>HOLD</v>
      </c>
    </row>
    <row r="1236" spans="2:13">
      <c r="B1236" s="3">
        <v>43846</v>
      </c>
      <c r="C1236" s="5">
        <v>56.82</v>
      </c>
      <c r="D1236" s="5">
        <v>56.85</v>
      </c>
      <c r="E1236" s="5">
        <v>56.95</v>
      </c>
      <c r="F1236" s="5">
        <v>56.6</v>
      </c>
      <c r="G1236" s="18" t="s">
        <v>191</v>
      </c>
      <c r="H1236" s="2">
        <v>2.0999999999999999E-3</v>
      </c>
      <c r="I1236" s="16">
        <f t="shared" si="98"/>
        <v>2.116402116402071E-3</v>
      </c>
      <c r="J1236" s="16">
        <f t="shared" si="99"/>
        <v>1.002116402116402</v>
      </c>
      <c r="K1236" s="16">
        <f t="shared" si="95"/>
        <v>55.076842105263161</v>
      </c>
      <c r="L1236" s="16">
        <f t="shared" si="96"/>
        <v>54.01775510204083</v>
      </c>
      <c r="M1236" s="25" t="str">
        <f t="shared" si="97"/>
        <v>HOLD</v>
      </c>
    </row>
    <row r="1237" spans="2:13">
      <c r="B1237" s="3">
        <v>43847</v>
      </c>
      <c r="C1237" s="5">
        <v>56.94</v>
      </c>
      <c r="D1237" s="5">
        <v>56.87</v>
      </c>
      <c r="E1237" s="5">
        <v>57.15</v>
      </c>
      <c r="F1237" s="5">
        <v>56.8</v>
      </c>
      <c r="G1237" s="18" t="s">
        <v>905</v>
      </c>
      <c r="H1237" s="2">
        <v>2.0999999999999999E-3</v>
      </c>
      <c r="I1237" s="16">
        <f t="shared" si="98"/>
        <v>2.111932418162574E-3</v>
      </c>
      <c r="J1237" s="16">
        <f t="shared" si="99"/>
        <v>1.0021119324181627</v>
      </c>
      <c r="K1237" s="16">
        <f t="shared" si="95"/>
        <v>55.230000000000004</v>
      </c>
      <c r="L1237" s="16">
        <f t="shared" si="96"/>
        <v>54.107551020408181</v>
      </c>
      <c r="M1237" s="25" t="str">
        <f t="shared" si="97"/>
        <v>HOLD</v>
      </c>
    </row>
    <row r="1238" spans="2:13">
      <c r="B1238" s="3">
        <v>43851</v>
      </c>
      <c r="C1238" s="5">
        <v>57.17</v>
      </c>
      <c r="D1238" s="5">
        <v>56.85</v>
      </c>
      <c r="E1238" s="5">
        <v>57.24</v>
      </c>
      <c r="F1238" s="5">
        <v>56.57</v>
      </c>
      <c r="G1238" s="18" t="s">
        <v>904</v>
      </c>
      <c r="H1238" s="2">
        <v>4.0000000000000001E-3</v>
      </c>
      <c r="I1238" s="16">
        <f t="shared" si="98"/>
        <v>4.0393396557780823E-3</v>
      </c>
      <c r="J1238" s="16">
        <f t="shared" si="99"/>
        <v>1.0040393396557781</v>
      </c>
      <c r="K1238" s="16">
        <f t="shared" si="95"/>
        <v>55.367894736842118</v>
      </c>
      <c r="L1238" s="16">
        <f t="shared" si="96"/>
        <v>54.192040816326546</v>
      </c>
      <c r="M1238" s="25" t="str">
        <f t="shared" si="97"/>
        <v>HOLD</v>
      </c>
    </row>
    <row r="1239" spans="2:13">
      <c r="B1239" s="3">
        <v>43852</v>
      </c>
      <c r="C1239" s="5">
        <v>57.61</v>
      </c>
      <c r="D1239" s="5">
        <v>57.25</v>
      </c>
      <c r="E1239" s="5">
        <v>57.64</v>
      </c>
      <c r="F1239" s="5">
        <v>57.18</v>
      </c>
      <c r="G1239" s="18" t="s">
        <v>248</v>
      </c>
      <c r="H1239" s="2">
        <v>7.7000000000000002E-3</v>
      </c>
      <c r="I1239" s="16">
        <f t="shared" si="98"/>
        <v>7.696344236487628E-3</v>
      </c>
      <c r="J1239" s="16">
        <f t="shared" si="99"/>
        <v>1.0076963442364877</v>
      </c>
      <c r="K1239" s="16">
        <f t="shared" si="95"/>
        <v>55.483684210526327</v>
      </c>
      <c r="L1239" s="16">
        <f t="shared" si="96"/>
        <v>54.291632653061242</v>
      </c>
      <c r="M1239" s="25" t="str">
        <f t="shared" si="97"/>
        <v>HOLD</v>
      </c>
    </row>
    <row r="1240" spans="2:13">
      <c r="B1240" s="3">
        <v>43853</v>
      </c>
      <c r="C1240" s="5">
        <v>57.83</v>
      </c>
      <c r="D1240" s="5">
        <v>57.38</v>
      </c>
      <c r="E1240" s="5">
        <v>57.84</v>
      </c>
      <c r="F1240" s="5">
        <v>57.24</v>
      </c>
      <c r="G1240" s="18" t="s">
        <v>374</v>
      </c>
      <c r="H1240" s="2">
        <v>3.8E-3</v>
      </c>
      <c r="I1240" s="16">
        <f t="shared" si="98"/>
        <v>3.8187814615517944E-3</v>
      </c>
      <c r="J1240" s="16">
        <f t="shared" si="99"/>
        <v>1.0038187814615518</v>
      </c>
      <c r="K1240" s="16">
        <f t="shared" si="95"/>
        <v>55.625789473684215</v>
      </c>
      <c r="L1240" s="16">
        <f t="shared" si="96"/>
        <v>54.401836734693894</v>
      </c>
      <c r="M1240" s="25" t="str">
        <f t="shared" si="97"/>
        <v>HOLD</v>
      </c>
    </row>
    <row r="1241" spans="2:13">
      <c r="B1241" s="3">
        <v>43854</v>
      </c>
      <c r="C1241" s="5">
        <v>57.68</v>
      </c>
      <c r="D1241" s="5">
        <v>57.85</v>
      </c>
      <c r="E1241" s="5">
        <v>57.87</v>
      </c>
      <c r="F1241" s="5">
        <v>57.46</v>
      </c>
      <c r="G1241" s="18" t="s">
        <v>903</v>
      </c>
      <c r="H1241" s="2">
        <v>-2.5999999999999999E-3</v>
      </c>
      <c r="I1241" s="16">
        <f t="shared" si="98"/>
        <v>-2.5938094414663425E-3</v>
      </c>
      <c r="J1241" s="16">
        <f t="shared" si="99"/>
        <v>0.99740619055853363</v>
      </c>
      <c r="K1241" s="16">
        <f t="shared" si="95"/>
        <v>55.79</v>
      </c>
      <c r="L1241" s="16">
        <f t="shared" si="96"/>
        <v>54.524081632653079</v>
      </c>
      <c r="M1241" s="25" t="str">
        <f t="shared" si="97"/>
        <v>HOLD</v>
      </c>
    </row>
    <row r="1242" spans="2:13">
      <c r="B1242" s="3">
        <v>43857</v>
      </c>
      <c r="C1242" s="5">
        <v>57.48</v>
      </c>
      <c r="D1242" s="5">
        <v>57.21</v>
      </c>
      <c r="E1242" s="5">
        <v>57.85</v>
      </c>
      <c r="F1242" s="5">
        <v>57.13</v>
      </c>
      <c r="G1242" s="18" t="s">
        <v>902</v>
      </c>
      <c r="H1242" s="2">
        <v>-3.5000000000000001E-3</v>
      </c>
      <c r="I1242" s="16">
        <f t="shared" si="98"/>
        <v>-3.4674063800277885E-3</v>
      </c>
      <c r="J1242" s="16">
        <f t="shared" si="99"/>
        <v>0.99653259361997226</v>
      </c>
      <c r="K1242" s="16">
        <f t="shared" si="95"/>
        <v>55.930000000000007</v>
      </c>
      <c r="L1242" s="16">
        <f t="shared" si="96"/>
        <v>54.645918367346958</v>
      </c>
      <c r="M1242" s="25" t="str">
        <f t="shared" si="97"/>
        <v>HOLD</v>
      </c>
    </row>
    <row r="1243" spans="2:13">
      <c r="B1243" s="3">
        <v>43858</v>
      </c>
      <c r="C1243" s="5">
        <v>57.01</v>
      </c>
      <c r="D1243" s="5">
        <v>57.45</v>
      </c>
      <c r="E1243" s="5">
        <v>57.75</v>
      </c>
      <c r="F1243" s="5">
        <v>56.97</v>
      </c>
      <c r="G1243" s="18" t="s">
        <v>142</v>
      </c>
      <c r="H1243" s="2">
        <v>-8.2000000000000007E-3</v>
      </c>
      <c r="I1243" s="16">
        <f t="shared" si="98"/>
        <v>-8.1767571329157771E-3</v>
      </c>
      <c r="J1243" s="16">
        <f t="shared" si="99"/>
        <v>0.99182324286708423</v>
      </c>
      <c r="K1243" s="16">
        <f t="shared" ref="K1243:K1306" si="100">AVERAGE(C1224:C1242)</f>
        <v>56.042105263157907</v>
      </c>
      <c r="L1243" s="16">
        <f t="shared" si="96"/>
        <v>54.749387755102056</v>
      </c>
      <c r="M1243" s="25" t="str">
        <f t="shared" si="97"/>
        <v>HOLD</v>
      </c>
    </row>
    <row r="1244" spans="2:13">
      <c r="B1244" s="3">
        <v>43859</v>
      </c>
      <c r="C1244" s="5">
        <v>57.01</v>
      </c>
      <c r="D1244" s="5">
        <v>57</v>
      </c>
      <c r="E1244" s="5">
        <v>57.26</v>
      </c>
      <c r="F1244" s="5">
        <v>56.66</v>
      </c>
      <c r="G1244" s="18" t="s">
        <v>434</v>
      </c>
      <c r="H1244" s="2">
        <v>0</v>
      </c>
      <c r="I1244" s="16">
        <f t="shared" si="98"/>
        <v>0</v>
      </c>
      <c r="J1244" s="16">
        <f t="shared" si="99"/>
        <v>1</v>
      </c>
      <c r="K1244" s="16">
        <f t="shared" si="100"/>
        <v>56.133684210526312</v>
      </c>
      <c r="L1244" s="16">
        <f t="shared" si="96"/>
        <v>54.838775510204087</v>
      </c>
      <c r="M1244" s="25" t="str">
        <f t="shared" si="97"/>
        <v>HOLD</v>
      </c>
    </row>
    <row r="1245" spans="2:13">
      <c r="B1245" s="3">
        <v>43860</v>
      </c>
      <c r="C1245" s="5">
        <v>58.86</v>
      </c>
      <c r="D1245" s="5">
        <v>57.93</v>
      </c>
      <c r="E1245" s="5">
        <v>58.98</v>
      </c>
      <c r="F1245" s="5">
        <v>57.76</v>
      </c>
      <c r="G1245" s="18" t="s">
        <v>613</v>
      </c>
      <c r="H1245" s="2">
        <v>3.2500000000000001E-2</v>
      </c>
      <c r="I1245" s="16">
        <f t="shared" si="98"/>
        <v>3.2450447289949155E-2</v>
      </c>
      <c r="J1245" s="16">
        <f t="shared" si="99"/>
        <v>1.0324504472899492</v>
      </c>
      <c r="K1245" s="16">
        <f t="shared" si="100"/>
        <v>56.221052631578949</v>
      </c>
      <c r="L1245" s="16">
        <f t="shared" si="96"/>
        <v>54.927346938775521</v>
      </c>
      <c r="M1245" s="25" t="str">
        <f t="shared" si="97"/>
        <v>HOLD</v>
      </c>
    </row>
    <row r="1246" spans="2:13">
      <c r="B1246" s="3">
        <v>43861</v>
      </c>
      <c r="C1246" s="5">
        <v>58.4</v>
      </c>
      <c r="D1246" s="5">
        <v>58.97</v>
      </c>
      <c r="E1246" s="5">
        <v>59.08</v>
      </c>
      <c r="F1246" s="5">
        <v>58.15</v>
      </c>
      <c r="G1246" s="18" t="s">
        <v>901</v>
      </c>
      <c r="H1246" s="2">
        <v>-7.7999999999999996E-3</v>
      </c>
      <c r="I1246" s="16">
        <f t="shared" si="98"/>
        <v>-7.815154604145445E-3</v>
      </c>
      <c r="J1246" s="16">
        <f t="shared" si="99"/>
        <v>0.99218484539585461</v>
      </c>
      <c r="K1246" s="16">
        <f t="shared" si="100"/>
        <v>56.424736842105261</v>
      </c>
      <c r="L1246" s="16">
        <f t="shared" si="96"/>
        <v>55.046326530612255</v>
      </c>
      <c r="M1246" s="25" t="str">
        <f t="shared" si="97"/>
        <v>HOLD</v>
      </c>
    </row>
    <row r="1247" spans="2:13">
      <c r="B1247" s="3">
        <v>43864</v>
      </c>
      <c r="C1247" s="5">
        <v>58.58</v>
      </c>
      <c r="D1247" s="5">
        <v>58.75</v>
      </c>
      <c r="E1247" s="5">
        <v>58.97</v>
      </c>
      <c r="F1247" s="5">
        <v>58.52</v>
      </c>
      <c r="G1247" s="18" t="s">
        <v>119</v>
      </c>
      <c r="H1247" s="2">
        <v>3.0999999999999999E-3</v>
      </c>
      <c r="I1247" s="16">
        <f t="shared" si="98"/>
        <v>3.082191780821913E-3</v>
      </c>
      <c r="J1247" s="16">
        <f t="shared" si="99"/>
        <v>1.0030821917808219</v>
      </c>
      <c r="K1247" s="16">
        <f t="shared" si="100"/>
        <v>56.62</v>
      </c>
      <c r="L1247" s="16">
        <f t="shared" si="96"/>
        <v>55.154897959183685</v>
      </c>
      <c r="M1247" s="25" t="str">
        <f t="shared" si="97"/>
        <v>HOLD</v>
      </c>
    </row>
    <row r="1248" spans="2:13">
      <c r="B1248" s="3">
        <v>43865</v>
      </c>
      <c r="C1248" s="5">
        <v>58.84</v>
      </c>
      <c r="D1248" s="5">
        <v>58.75</v>
      </c>
      <c r="E1248" s="5">
        <v>59.45</v>
      </c>
      <c r="F1248" s="5">
        <v>58.62</v>
      </c>
      <c r="G1248" s="18" t="s">
        <v>900</v>
      </c>
      <c r="H1248" s="2">
        <v>4.4000000000000003E-3</v>
      </c>
      <c r="I1248" s="16">
        <f t="shared" si="98"/>
        <v>4.4383748719700432E-3</v>
      </c>
      <c r="J1248" s="16">
        <f t="shared" si="99"/>
        <v>1.0044383748719701</v>
      </c>
      <c r="K1248" s="16">
        <f t="shared" si="100"/>
        <v>56.82578947368421</v>
      </c>
      <c r="L1248" s="16">
        <f t="shared" si="96"/>
        <v>55.264285714285727</v>
      </c>
      <c r="M1248" s="25" t="str">
        <f t="shared" si="97"/>
        <v>HOLD</v>
      </c>
    </row>
    <row r="1249" spans="2:13">
      <c r="B1249" s="3">
        <v>43866</v>
      </c>
      <c r="C1249" s="5">
        <v>58.85</v>
      </c>
      <c r="D1249" s="5">
        <v>58.9</v>
      </c>
      <c r="E1249" s="5">
        <v>59.08</v>
      </c>
      <c r="F1249" s="5">
        <v>58.53</v>
      </c>
      <c r="G1249" s="18" t="s">
        <v>798</v>
      </c>
      <c r="H1249" s="2">
        <v>2.0000000000000001E-4</v>
      </c>
      <c r="I1249" s="16">
        <f t="shared" si="98"/>
        <v>1.6995241332423539E-4</v>
      </c>
      <c r="J1249" s="16">
        <f t="shared" si="99"/>
        <v>1.0001699524133243</v>
      </c>
      <c r="K1249" s="16">
        <f t="shared" si="100"/>
        <v>57.067368421052628</v>
      </c>
      <c r="L1249" s="16">
        <f t="shared" si="96"/>
        <v>55.384285714285724</v>
      </c>
      <c r="M1249" s="25" t="str">
        <f t="shared" si="97"/>
        <v>HOLD</v>
      </c>
    </row>
    <row r="1250" spans="2:13">
      <c r="B1250" s="3">
        <v>43867</v>
      </c>
      <c r="C1250" s="5">
        <v>58.99</v>
      </c>
      <c r="D1250" s="5">
        <v>58.98</v>
      </c>
      <c r="E1250" s="5">
        <v>59.34</v>
      </c>
      <c r="F1250" s="5">
        <v>58.84</v>
      </c>
      <c r="G1250" s="18" t="s">
        <v>899</v>
      </c>
      <c r="H1250" s="2">
        <v>2.3999999999999998E-3</v>
      </c>
      <c r="I1250" s="16">
        <f t="shared" si="98"/>
        <v>2.3789294817332298E-3</v>
      </c>
      <c r="J1250" s="16">
        <f t="shared" si="99"/>
        <v>1.0023789294817331</v>
      </c>
      <c r="K1250" s="16">
        <f t="shared" si="100"/>
        <v>57.304210526315785</v>
      </c>
      <c r="L1250" s="16">
        <f t="shared" si="96"/>
        <v>55.503061224489805</v>
      </c>
      <c r="M1250" s="25" t="str">
        <f t="shared" si="97"/>
        <v>HOLD</v>
      </c>
    </row>
    <row r="1251" spans="2:13">
      <c r="B1251" s="3">
        <v>43868</v>
      </c>
      <c r="C1251" s="5">
        <v>59.19</v>
      </c>
      <c r="D1251" s="5">
        <v>58.88</v>
      </c>
      <c r="E1251" s="5">
        <v>59.31</v>
      </c>
      <c r="F1251" s="5">
        <v>58.85</v>
      </c>
      <c r="G1251" s="18" t="s">
        <v>898</v>
      </c>
      <c r="H1251" s="2">
        <v>3.3999999999999998E-3</v>
      </c>
      <c r="I1251" s="16">
        <f t="shared" si="98"/>
        <v>3.390405153415761E-3</v>
      </c>
      <c r="J1251" s="16">
        <f t="shared" si="99"/>
        <v>1.0033904051534157</v>
      </c>
      <c r="K1251" s="16">
        <f t="shared" si="100"/>
        <v>57.496315789473691</v>
      </c>
      <c r="L1251" s="16">
        <f t="shared" si="96"/>
        <v>55.620816326530615</v>
      </c>
      <c r="M1251" s="25" t="str">
        <f t="shared" si="97"/>
        <v>HOLD</v>
      </c>
    </row>
    <row r="1252" spans="2:13">
      <c r="B1252" s="3">
        <v>43871</v>
      </c>
      <c r="C1252" s="5">
        <v>59.75</v>
      </c>
      <c r="D1252" s="5">
        <v>59.32</v>
      </c>
      <c r="E1252" s="5">
        <v>59.84</v>
      </c>
      <c r="F1252" s="5">
        <v>59.28</v>
      </c>
      <c r="G1252" s="18" t="s">
        <v>897</v>
      </c>
      <c r="H1252" s="2">
        <v>9.4999999999999998E-3</v>
      </c>
      <c r="I1252" s="16">
        <f t="shared" si="98"/>
        <v>9.4610576110829916E-3</v>
      </c>
      <c r="J1252" s="16">
        <f t="shared" si="99"/>
        <v>1.009461057611083</v>
      </c>
      <c r="K1252" s="16">
        <f t="shared" si="100"/>
        <v>57.688947368421061</v>
      </c>
      <c r="L1252" s="16">
        <f t="shared" si="96"/>
        <v>55.72877551020408</v>
      </c>
      <c r="M1252" s="25" t="str">
        <f t="shared" si="97"/>
        <v>HOLD</v>
      </c>
    </row>
    <row r="1253" spans="2:13">
      <c r="B1253" s="3">
        <v>43872</v>
      </c>
      <c r="C1253" s="5">
        <v>59.59</v>
      </c>
      <c r="D1253" s="5">
        <v>59.72</v>
      </c>
      <c r="E1253" s="5">
        <v>59.8</v>
      </c>
      <c r="F1253" s="5">
        <v>59.32</v>
      </c>
      <c r="G1253" s="18" t="s">
        <v>896</v>
      </c>
      <c r="H1253" s="2">
        <v>-2.7000000000000001E-3</v>
      </c>
      <c r="I1253" s="16">
        <f t="shared" si="98"/>
        <v>-2.6778242677823697E-3</v>
      </c>
      <c r="J1253" s="16">
        <f t="shared" si="99"/>
        <v>0.9973221757322176</v>
      </c>
      <c r="K1253" s="16">
        <f t="shared" si="100"/>
        <v>57.879473684210531</v>
      </c>
      <c r="L1253" s="16">
        <f t="shared" si="96"/>
        <v>55.847142857142863</v>
      </c>
      <c r="M1253" s="25" t="str">
        <f t="shared" si="97"/>
        <v>HOLD</v>
      </c>
    </row>
    <row r="1254" spans="2:13">
      <c r="B1254" s="3">
        <v>43873</v>
      </c>
      <c r="C1254" s="5">
        <v>59.41</v>
      </c>
      <c r="D1254" s="5">
        <v>59.48</v>
      </c>
      <c r="E1254" s="5">
        <v>59.77</v>
      </c>
      <c r="F1254" s="5">
        <v>59.31</v>
      </c>
      <c r="G1254" s="18" t="s">
        <v>895</v>
      </c>
      <c r="H1254" s="2">
        <v>-3.0000000000000001E-3</v>
      </c>
      <c r="I1254" s="16">
        <f t="shared" si="98"/>
        <v>-3.0206410471556775E-3</v>
      </c>
      <c r="J1254" s="16">
        <f t="shared" si="99"/>
        <v>0.99697935895284429</v>
      </c>
      <c r="K1254" s="16">
        <f t="shared" si="100"/>
        <v>58.068421052631578</v>
      </c>
      <c r="L1254" s="16">
        <f t="shared" si="96"/>
        <v>55.973469387755109</v>
      </c>
      <c r="M1254" s="25" t="str">
        <f t="shared" si="97"/>
        <v>HOLD</v>
      </c>
    </row>
    <row r="1255" spans="2:13">
      <c r="B1255" s="3">
        <v>43874</v>
      </c>
      <c r="C1255" s="5">
        <v>59.61</v>
      </c>
      <c r="D1255" s="5">
        <v>59.38</v>
      </c>
      <c r="E1255" s="5">
        <v>59.84</v>
      </c>
      <c r="F1255" s="5">
        <v>59.21</v>
      </c>
      <c r="G1255" s="18" t="s">
        <v>894</v>
      </c>
      <c r="H1255" s="2">
        <v>3.3999999999999998E-3</v>
      </c>
      <c r="I1255" s="16">
        <f t="shared" si="98"/>
        <v>3.366436626830548E-3</v>
      </c>
      <c r="J1255" s="16">
        <f t="shared" si="99"/>
        <v>1.0033664366268304</v>
      </c>
      <c r="K1255" s="16">
        <f t="shared" si="100"/>
        <v>58.211052631578958</v>
      </c>
      <c r="L1255" s="16">
        <f t="shared" si="96"/>
        <v>56.08897959183674</v>
      </c>
      <c r="M1255" s="25" t="str">
        <f t="shared" si="97"/>
        <v>HOLD</v>
      </c>
    </row>
    <row r="1256" spans="2:13">
      <c r="B1256" s="3">
        <v>43875</v>
      </c>
      <c r="C1256" s="5">
        <v>59.95</v>
      </c>
      <c r="D1256" s="5">
        <v>59.63</v>
      </c>
      <c r="E1256" s="5">
        <v>60.07</v>
      </c>
      <c r="F1256" s="5">
        <v>59.62</v>
      </c>
      <c r="G1256" s="18" t="s">
        <v>893</v>
      </c>
      <c r="H1256" s="2">
        <v>5.7000000000000002E-3</v>
      </c>
      <c r="I1256" s="16">
        <f t="shared" si="98"/>
        <v>5.7037409830565915E-3</v>
      </c>
      <c r="J1256" s="16">
        <f t="shared" si="99"/>
        <v>1.0057037409830565</v>
      </c>
      <c r="K1256" s="16">
        <f t="shared" si="100"/>
        <v>58.357894736842105</v>
      </c>
      <c r="L1256" s="16">
        <f t="shared" si="96"/>
        <v>56.207551020408168</v>
      </c>
      <c r="M1256" s="25" t="str">
        <f t="shared" si="97"/>
        <v>HOLD</v>
      </c>
    </row>
    <row r="1257" spans="2:13">
      <c r="B1257" s="3">
        <v>43879</v>
      </c>
      <c r="C1257" s="5">
        <v>59.53</v>
      </c>
      <c r="D1257" s="5">
        <v>59.81</v>
      </c>
      <c r="E1257" s="5">
        <v>59.93</v>
      </c>
      <c r="F1257" s="5">
        <v>59.45</v>
      </c>
      <c r="G1257" s="18" t="s">
        <v>481</v>
      </c>
      <c r="H1257" s="2">
        <v>-7.0000000000000001E-3</v>
      </c>
      <c r="I1257" s="16">
        <f t="shared" si="98"/>
        <v>-7.0058381984987768E-3</v>
      </c>
      <c r="J1257" s="16">
        <f t="shared" si="99"/>
        <v>0.99299416180150124</v>
      </c>
      <c r="K1257" s="16">
        <f t="shared" si="100"/>
        <v>58.516315789473694</v>
      </c>
      <c r="L1257" s="16">
        <f t="shared" si="96"/>
        <v>56.323061224489805</v>
      </c>
      <c r="M1257" s="25" t="str">
        <f t="shared" si="97"/>
        <v>HOLD</v>
      </c>
    </row>
    <row r="1258" spans="2:13">
      <c r="B1258" s="3">
        <v>43880</v>
      </c>
      <c r="C1258" s="5">
        <v>59.77</v>
      </c>
      <c r="D1258" s="5">
        <v>59.51</v>
      </c>
      <c r="E1258" s="5">
        <v>60</v>
      </c>
      <c r="F1258" s="5">
        <v>59.47</v>
      </c>
      <c r="G1258" s="18" t="s">
        <v>892</v>
      </c>
      <c r="H1258" s="2">
        <v>4.0000000000000001E-3</v>
      </c>
      <c r="I1258" s="16">
        <f t="shared" si="98"/>
        <v>4.0315807156056102E-3</v>
      </c>
      <c r="J1258" s="16">
        <f t="shared" si="99"/>
        <v>1.0040315807156057</v>
      </c>
      <c r="K1258" s="16">
        <f t="shared" si="100"/>
        <v>58.640526315789479</v>
      </c>
      <c r="L1258" s="16">
        <f t="shared" si="96"/>
        <v>56.432040816326534</v>
      </c>
      <c r="M1258" s="25" t="str">
        <f t="shared" si="97"/>
        <v>HOLD</v>
      </c>
    </row>
    <row r="1259" spans="2:13">
      <c r="B1259" s="3">
        <v>43881</v>
      </c>
      <c r="C1259" s="5">
        <v>59.72</v>
      </c>
      <c r="D1259" s="5">
        <v>59.68</v>
      </c>
      <c r="E1259" s="5">
        <v>59.86</v>
      </c>
      <c r="F1259" s="5">
        <v>59.11</v>
      </c>
      <c r="G1259" s="18" t="s">
        <v>891</v>
      </c>
      <c r="H1259" s="2">
        <v>-8.0000000000000004E-4</v>
      </c>
      <c r="I1259" s="16">
        <f t="shared" si="98"/>
        <v>-8.3654007026943717E-4</v>
      </c>
      <c r="J1259" s="16">
        <f t="shared" si="99"/>
        <v>0.99916345992973055</v>
      </c>
      <c r="K1259" s="16">
        <f t="shared" si="100"/>
        <v>58.754210526315795</v>
      </c>
      <c r="L1259" s="16">
        <f t="shared" si="96"/>
        <v>56.541224489795916</v>
      </c>
      <c r="M1259" s="25" t="str">
        <f t="shared" si="97"/>
        <v>HOLD</v>
      </c>
    </row>
    <row r="1260" spans="2:13">
      <c r="B1260" s="3">
        <v>43882</v>
      </c>
      <c r="C1260" s="5">
        <v>60.13</v>
      </c>
      <c r="D1260" s="5">
        <v>59.51</v>
      </c>
      <c r="E1260" s="5">
        <v>60.13</v>
      </c>
      <c r="F1260" s="5">
        <v>59.43</v>
      </c>
      <c r="G1260" s="18" t="s">
        <v>528</v>
      </c>
      <c r="H1260" s="2">
        <v>6.8999999999999999E-3</v>
      </c>
      <c r="I1260" s="16">
        <f t="shared" si="98"/>
        <v>6.8653717347622861E-3</v>
      </c>
      <c r="J1260" s="16">
        <f t="shared" si="99"/>
        <v>1.0068653717347622</v>
      </c>
      <c r="K1260" s="16">
        <f t="shared" si="100"/>
        <v>58.853684210526318</v>
      </c>
      <c r="L1260" s="16">
        <f t="shared" si="96"/>
        <v>56.6565306122449</v>
      </c>
      <c r="M1260" s="25" t="str">
        <f t="shared" si="97"/>
        <v>HOLD</v>
      </c>
    </row>
    <row r="1261" spans="2:13">
      <c r="B1261" s="3">
        <v>43885</v>
      </c>
      <c r="C1261" s="5">
        <v>58.65</v>
      </c>
      <c r="D1261" s="5">
        <v>59.11</v>
      </c>
      <c r="E1261" s="5">
        <v>59.8</v>
      </c>
      <c r="F1261" s="5">
        <v>58.57</v>
      </c>
      <c r="G1261" s="18" t="s">
        <v>436</v>
      </c>
      <c r="H1261" s="2">
        <v>-2.46E-2</v>
      </c>
      <c r="I1261" s="16">
        <f t="shared" si="98"/>
        <v>-2.4613337768169031E-2</v>
      </c>
      <c r="J1261" s="16">
        <f t="shared" si="99"/>
        <v>0.97538666223183101</v>
      </c>
      <c r="K1261" s="16">
        <f t="shared" si="100"/>
        <v>58.98263157894737</v>
      </c>
      <c r="L1261" s="16">
        <f t="shared" si="96"/>
        <v>56.786326530612243</v>
      </c>
      <c r="M1261" s="25" t="str">
        <f t="shared" si="97"/>
        <v>HOLD</v>
      </c>
    </row>
    <row r="1262" spans="2:13">
      <c r="B1262" s="3">
        <v>43886</v>
      </c>
      <c r="C1262" s="5">
        <v>57.82</v>
      </c>
      <c r="D1262" s="5">
        <v>58.7</v>
      </c>
      <c r="E1262" s="5">
        <v>59.2</v>
      </c>
      <c r="F1262" s="5">
        <v>57.62</v>
      </c>
      <c r="G1262" s="18" t="s">
        <v>890</v>
      </c>
      <c r="H1262" s="2">
        <v>-1.4200000000000001E-2</v>
      </c>
      <c r="I1262" s="16">
        <f t="shared" si="98"/>
        <v>-1.4151747655583944E-2</v>
      </c>
      <c r="J1262" s="16">
        <f t="shared" si="99"/>
        <v>0.98584825234441609</v>
      </c>
      <c r="K1262" s="16">
        <f t="shared" si="100"/>
        <v>59.044210526315794</v>
      </c>
      <c r="L1262" s="16">
        <f t="shared" si="96"/>
        <v>56.882244897959183</v>
      </c>
      <c r="M1262" s="25" t="str">
        <f t="shared" si="97"/>
        <v>HOLD</v>
      </c>
    </row>
    <row r="1263" spans="2:13">
      <c r="B1263" s="3">
        <v>43887</v>
      </c>
      <c r="C1263" s="5">
        <v>57.6</v>
      </c>
      <c r="D1263" s="5">
        <v>57.98</v>
      </c>
      <c r="E1263" s="5">
        <v>58.47</v>
      </c>
      <c r="F1263" s="5">
        <v>57.48</v>
      </c>
      <c r="G1263" s="18" t="s">
        <v>486</v>
      </c>
      <c r="H1263" s="2">
        <v>-3.8E-3</v>
      </c>
      <c r="I1263" s="16">
        <f t="shared" si="98"/>
        <v>-3.8049117952265454E-3</v>
      </c>
      <c r="J1263" s="16">
        <f t="shared" si="99"/>
        <v>0.99619508820477343</v>
      </c>
      <c r="K1263" s="16">
        <f t="shared" si="100"/>
        <v>59.086842105263166</v>
      </c>
      <c r="L1263" s="16">
        <f t="shared" si="96"/>
        <v>56.957346938775515</v>
      </c>
      <c r="M1263" s="25" t="str">
        <f t="shared" si="97"/>
        <v>HOLD</v>
      </c>
    </row>
    <row r="1264" spans="2:13">
      <c r="B1264" s="3">
        <v>43888</v>
      </c>
      <c r="C1264" s="5">
        <v>54.93</v>
      </c>
      <c r="D1264" s="5">
        <v>57.15</v>
      </c>
      <c r="E1264" s="5">
        <v>57.89</v>
      </c>
      <c r="F1264" s="5">
        <v>54.88</v>
      </c>
      <c r="G1264" s="18" t="s">
        <v>889</v>
      </c>
      <c r="H1264" s="2">
        <v>-4.6399999999999997E-2</v>
      </c>
      <c r="I1264" s="16">
        <f t="shared" si="98"/>
        <v>-4.6354166666666696E-2</v>
      </c>
      <c r="J1264" s="16">
        <f t="shared" si="99"/>
        <v>0.9536458333333333</v>
      </c>
      <c r="K1264" s="16">
        <f t="shared" si="100"/>
        <v>59.117894736842096</v>
      </c>
      <c r="L1264" s="16">
        <f t="shared" si="96"/>
        <v>57.022244897959176</v>
      </c>
      <c r="M1264" s="25" t="str">
        <f t="shared" si="97"/>
        <v>HOLD</v>
      </c>
    </row>
    <row r="1265" spans="2:13">
      <c r="B1265" s="3">
        <v>43889</v>
      </c>
      <c r="C1265" s="5">
        <v>53.49</v>
      </c>
      <c r="D1265" s="5">
        <v>53.83</v>
      </c>
      <c r="E1265" s="5">
        <v>53.89</v>
      </c>
      <c r="F1265" s="5">
        <v>51.58</v>
      </c>
      <c r="G1265" s="18" t="s">
        <v>888</v>
      </c>
      <c r="H1265" s="2">
        <v>-2.6200000000000001E-2</v>
      </c>
      <c r="I1265" s="16">
        <f t="shared" si="98"/>
        <v>-2.6215182960131034E-2</v>
      </c>
      <c r="J1265" s="16">
        <f t="shared" si="99"/>
        <v>0.97378481703986897</v>
      </c>
      <c r="K1265" s="16">
        <f t="shared" si="100"/>
        <v>58.911052631578947</v>
      </c>
      <c r="L1265" s="16">
        <f t="shared" si="96"/>
        <v>57.03265306122448</v>
      </c>
      <c r="M1265" s="25" t="str">
        <f t="shared" si="97"/>
        <v>HOLD</v>
      </c>
    </row>
    <row r="1266" spans="2:13">
      <c r="B1266" s="3">
        <v>43892</v>
      </c>
      <c r="C1266" s="5">
        <v>55.92</v>
      </c>
      <c r="D1266" s="5">
        <v>53.93</v>
      </c>
      <c r="E1266" s="5">
        <v>55.96</v>
      </c>
      <c r="F1266" s="5">
        <v>53.7</v>
      </c>
      <c r="G1266" s="18" t="s">
        <v>887</v>
      </c>
      <c r="H1266" s="2">
        <v>4.5400000000000003E-2</v>
      </c>
      <c r="I1266" s="16">
        <f t="shared" si="98"/>
        <v>4.5429052159282099E-2</v>
      </c>
      <c r="J1266" s="16">
        <f t="shared" si="99"/>
        <v>1.0454290521592822</v>
      </c>
      <c r="K1266" s="16">
        <f t="shared" si="100"/>
        <v>58.652631578947371</v>
      </c>
      <c r="L1266" s="16">
        <f t="shared" si="96"/>
        <v>57.013673469387747</v>
      </c>
      <c r="M1266" s="25" t="str">
        <f t="shared" si="97"/>
        <v>HOLD</v>
      </c>
    </row>
    <row r="1267" spans="2:13">
      <c r="B1267" s="3">
        <v>43893</v>
      </c>
      <c r="C1267" s="5">
        <v>56.06</v>
      </c>
      <c r="D1267" s="5">
        <v>56.76</v>
      </c>
      <c r="E1267" s="5">
        <v>57.49</v>
      </c>
      <c r="F1267" s="5">
        <v>55.64</v>
      </c>
      <c r="G1267" s="18" t="s">
        <v>886</v>
      </c>
      <c r="H1267" s="2">
        <v>2.5000000000000001E-3</v>
      </c>
      <c r="I1267" s="16">
        <f t="shared" si="98"/>
        <v>2.5035765379113118E-3</v>
      </c>
      <c r="J1267" s="16">
        <f t="shared" si="99"/>
        <v>1.0025035765379113</v>
      </c>
      <c r="K1267" s="16">
        <f t="shared" si="100"/>
        <v>58.512631578947371</v>
      </c>
      <c r="L1267" s="16">
        <f t="shared" si="96"/>
        <v>57.054693877551017</v>
      </c>
      <c r="M1267" s="25" t="str">
        <f t="shared" si="97"/>
        <v>HOLD</v>
      </c>
    </row>
    <row r="1268" spans="2:13">
      <c r="B1268" s="3">
        <v>43894</v>
      </c>
      <c r="C1268" s="5">
        <v>58.92</v>
      </c>
      <c r="D1268" s="5">
        <v>56.41</v>
      </c>
      <c r="E1268" s="5">
        <v>59</v>
      </c>
      <c r="F1268" s="5">
        <v>56.41</v>
      </c>
      <c r="G1268" s="18" t="s">
        <v>885</v>
      </c>
      <c r="H1268" s="2">
        <v>5.0999999999999997E-2</v>
      </c>
      <c r="I1268" s="16">
        <f t="shared" si="98"/>
        <v>5.1016767748840515E-2</v>
      </c>
      <c r="J1268" s="16">
        <f t="shared" si="99"/>
        <v>1.0510167677488405</v>
      </c>
      <c r="K1268" s="16">
        <f t="shared" si="100"/>
        <v>58.366315789473688</v>
      </c>
      <c r="L1268" s="16">
        <f t="shared" si="96"/>
        <v>57.090204081632642</v>
      </c>
      <c r="M1268" s="25" t="str">
        <f t="shared" si="97"/>
        <v>HOLD</v>
      </c>
    </row>
    <row r="1269" spans="2:13">
      <c r="B1269" s="3">
        <v>43895</v>
      </c>
      <c r="C1269" s="5">
        <v>56.74</v>
      </c>
      <c r="D1269" s="5">
        <v>57.8</v>
      </c>
      <c r="E1269" s="5">
        <v>58.17</v>
      </c>
      <c r="F1269" s="5">
        <v>56.19</v>
      </c>
      <c r="G1269" s="18" t="s">
        <v>35</v>
      </c>
      <c r="H1269" s="2">
        <v>-3.6999999999999998E-2</v>
      </c>
      <c r="I1269" s="16">
        <f t="shared" si="98"/>
        <v>-3.6999321113374062E-2</v>
      </c>
      <c r="J1269" s="16">
        <f t="shared" si="99"/>
        <v>0.96300067888662599</v>
      </c>
      <c r="K1269" s="16">
        <f t="shared" si="100"/>
        <v>58.37</v>
      </c>
      <c r="L1269" s="16">
        <f t="shared" si="96"/>
        <v>57.170816326530613</v>
      </c>
      <c r="M1269" s="25" t="str">
        <f t="shared" si="97"/>
        <v>HOLD</v>
      </c>
    </row>
    <row r="1270" spans="2:13">
      <c r="B1270" s="3">
        <v>43896</v>
      </c>
      <c r="C1270" s="5">
        <v>55.26</v>
      </c>
      <c r="D1270" s="5">
        <v>54.94</v>
      </c>
      <c r="E1270" s="5">
        <v>55.91</v>
      </c>
      <c r="F1270" s="5">
        <v>53.98</v>
      </c>
      <c r="G1270" s="18" t="s">
        <v>61</v>
      </c>
      <c r="H1270" s="2">
        <v>-2.6100000000000002E-2</v>
      </c>
      <c r="I1270" s="16">
        <f t="shared" si="98"/>
        <v>-2.60838914346141E-2</v>
      </c>
      <c r="J1270" s="16">
        <f t="shared" si="99"/>
        <v>0.97391610856538591</v>
      </c>
      <c r="K1270" s="16">
        <f t="shared" si="100"/>
        <v>58.251578947368422</v>
      </c>
      <c r="L1270" s="16">
        <f t="shared" si="96"/>
        <v>57.208163265306112</v>
      </c>
      <c r="M1270" s="25" t="str">
        <f t="shared" si="97"/>
        <v>HOLD</v>
      </c>
    </row>
    <row r="1271" spans="2:13">
      <c r="B1271" s="3">
        <v>43899</v>
      </c>
      <c r="C1271" s="5">
        <v>51.86</v>
      </c>
      <c r="D1271" s="5">
        <v>52.05</v>
      </c>
      <c r="E1271" s="5">
        <v>53.58</v>
      </c>
      <c r="F1271" s="5">
        <v>51.48</v>
      </c>
      <c r="G1271" s="18" t="s">
        <v>884</v>
      </c>
      <c r="H1271" s="2">
        <v>-6.1499999999999999E-2</v>
      </c>
      <c r="I1271" s="16">
        <f t="shared" si="98"/>
        <v>-6.1527325370973558E-2</v>
      </c>
      <c r="J1271" s="16">
        <f t="shared" si="99"/>
        <v>0.93847267462902639</v>
      </c>
      <c r="K1271" s="16">
        <f t="shared" si="100"/>
        <v>58.044736842105259</v>
      </c>
      <c r="L1271" s="16">
        <f t="shared" si="96"/>
        <v>57.219387755102034</v>
      </c>
      <c r="M1271" s="25" t="str">
        <f t="shared" si="97"/>
        <v>HOLD</v>
      </c>
    </row>
    <row r="1272" spans="2:13">
      <c r="B1272" s="3">
        <v>43900</v>
      </c>
      <c r="C1272" s="5">
        <v>53.66</v>
      </c>
      <c r="D1272" s="5">
        <v>53.22</v>
      </c>
      <c r="E1272" s="5">
        <v>53.8</v>
      </c>
      <c r="F1272" s="5">
        <v>51.17</v>
      </c>
      <c r="G1272" s="18" t="s">
        <v>883</v>
      </c>
      <c r="H1272" s="2">
        <v>3.4700000000000002E-2</v>
      </c>
      <c r="I1272" s="16">
        <f t="shared" si="98"/>
        <v>3.4708831469340479E-2</v>
      </c>
      <c r="J1272" s="16">
        <f t="shared" si="99"/>
        <v>1.0347088314693405</v>
      </c>
      <c r="K1272" s="16">
        <f t="shared" si="100"/>
        <v>57.629473684210531</v>
      </c>
      <c r="L1272" s="16">
        <f t="shared" si="96"/>
        <v>57.154897959183664</v>
      </c>
      <c r="M1272" s="25" t="str">
        <f t="shared" si="97"/>
        <v>HOLD</v>
      </c>
    </row>
    <row r="1273" spans="2:13">
      <c r="B1273" s="3">
        <v>43901</v>
      </c>
      <c r="C1273" s="5">
        <v>52.21</v>
      </c>
      <c r="D1273" s="5">
        <v>52.35</v>
      </c>
      <c r="E1273" s="5">
        <v>52.65</v>
      </c>
      <c r="F1273" s="5">
        <v>51.14</v>
      </c>
      <c r="G1273" s="18" t="s">
        <v>882</v>
      </c>
      <c r="H1273" s="2">
        <v>-2.7E-2</v>
      </c>
      <c r="I1273" s="16">
        <f t="shared" si="98"/>
        <v>-2.7021990309355121E-2</v>
      </c>
      <c r="J1273" s="16">
        <f t="shared" si="99"/>
        <v>0.97297800969064485</v>
      </c>
      <c r="K1273" s="16">
        <f t="shared" si="100"/>
        <v>57.317368421052628</v>
      </c>
      <c r="L1273" s="16">
        <f t="shared" ref="L1273:L1336" si="101">AVERAGE(C1224:C1272)</f>
        <v>57.120408163265296</v>
      </c>
      <c r="M1273" s="25" t="str">
        <f t="shared" ref="M1273:M1336" si="102">IF(AND(K1273&gt;L1273,K1272&lt;=L1272),"BUY",IF(AND(K1273&lt;L1273,K1272&gt;=L1272),"SELL","HOLD"))</f>
        <v>HOLD</v>
      </c>
    </row>
    <row r="1274" spans="2:13">
      <c r="B1274" s="3">
        <v>43902</v>
      </c>
      <c r="C1274" s="5">
        <v>47.16</v>
      </c>
      <c r="D1274" s="5">
        <v>48.54</v>
      </c>
      <c r="E1274" s="5">
        <v>49.93</v>
      </c>
      <c r="F1274" s="5">
        <v>46.69</v>
      </c>
      <c r="G1274" s="18" t="s">
        <v>881</v>
      </c>
      <c r="H1274" s="2">
        <v>-9.6699999999999994E-2</v>
      </c>
      <c r="I1274" s="16">
        <f t="shared" si="98"/>
        <v>-9.6724765370618734E-2</v>
      </c>
      <c r="J1274" s="16">
        <f t="shared" si="99"/>
        <v>0.90327523462938131</v>
      </c>
      <c r="K1274" s="16">
        <f t="shared" si="100"/>
        <v>56.938421052631575</v>
      </c>
      <c r="L1274" s="16">
        <f t="shared" si="101"/>
        <v>57.057959183673461</v>
      </c>
      <c r="M1274" s="25" t="str">
        <f t="shared" si="102"/>
        <v>SELL</v>
      </c>
    </row>
    <row r="1275" spans="2:13">
      <c r="B1275" s="3">
        <v>43903</v>
      </c>
      <c r="C1275" s="5">
        <v>48.47</v>
      </c>
      <c r="D1275" s="5">
        <v>49.51</v>
      </c>
      <c r="E1275" s="5">
        <v>49.56</v>
      </c>
      <c r="F1275" s="5">
        <v>46.6</v>
      </c>
      <c r="G1275" s="18" t="s">
        <v>880</v>
      </c>
      <c r="H1275" s="2">
        <v>2.7799999999999998E-2</v>
      </c>
      <c r="I1275" s="16">
        <f t="shared" si="98"/>
        <v>2.7777777777777828E-2</v>
      </c>
      <c r="J1275" s="16">
        <f t="shared" si="99"/>
        <v>1.0277777777777779</v>
      </c>
      <c r="K1275" s="16">
        <f t="shared" si="100"/>
        <v>56.283157894736839</v>
      </c>
      <c r="L1275" s="16">
        <f t="shared" si="101"/>
        <v>56.890816326530604</v>
      </c>
      <c r="M1275" s="25" t="str">
        <f t="shared" si="102"/>
        <v>HOLD</v>
      </c>
    </row>
    <row r="1276" spans="2:13">
      <c r="B1276" s="3">
        <v>43906</v>
      </c>
      <c r="C1276" s="5">
        <v>45.26</v>
      </c>
      <c r="D1276" s="5">
        <v>42.24</v>
      </c>
      <c r="E1276" s="5">
        <v>47.88</v>
      </c>
      <c r="F1276" s="5">
        <v>41.17</v>
      </c>
      <c r="G1276" s="18" t="s">
        <v>879</v>
      </c>
      <c r="H1276" s="2">
        <v>-6.6199999999999995E-2</v>
      </c>
      <c r="I1276" s="16">
        <f t="shared" si="98"/>
        <v>-6.6226531875386851E-2</v>
      </c>
      <c r="J1276" s="16">
        <f t="shared" si="99"/>
        <v>0.93377346812461315</v>
      </c>
      <c r="K1276" s="16">
        <f t="shared" si="100"/>
        <v>55.678947368421042</v>
      </c>
      <c r="L1276" s="16">
        <f t="shared" si="101"/>
        <v>56.757755102040797</v>
      </c>
      <c r="M1276" s="25" t="str">
        <f t="shared" si="102"/>
        <v>HOLD</v>
      </c>
    </row>
    <row r="1277" spans="2:13">
      <c r="B1277" s="3">
        <v>43907</v>
      </c>
      <c r="C1277" s="5">
        <v>47.18</v>
      </c>
      <c r="D1277" s="5">
        <v>45.88</v>
      </c>
      <c r="E1277" s="5">
        <v>47.5</v>
      </c>
      <c r="F1277" s="5">
        <v>45.37</v>
      </c>
      <c r="G1277" s="18" t="s">
        <v>878</v>
      </c>
      <c r="H1277" s="2">
        <v>4.24E-2</v>
      </c>
      <c r="I1277" s="16">
        <f t="shared" si="98"/>
        <v>4.2421564295183421E-2</v>
      </c>
      <c r="J1277" s="16">
        <f t="shared" si="99"/>
        <v>1.0424215642951835</v>
      </c>
      <c r="K1277" s="16">
        <f t="shared" si="100"/>
        <v>54.927894736842113</v>
      </c>
      <c r="L1277" s="16">
        <f t="shared" si="101"/>
        <v>56.565306122448966</v>
      </c>
      <c r="M1277" s="25" t="str">
        <f t="shared" si="102"/>
        <v>HOLD</v>
      </c>
    </row>
    <row r="1278" spans="2:13">
      <c r="B1278" s="3">
        <v>43908</v>
      </c>
      <c r="C1278" s="5">
        <v>44.85</v>
      </c>
      <c r="D1278" s="5">
        <v>44.74</v>
      </c>
      <c r="E1278" s="5">
        <v>45.15</v>
      </c>
      <c r="F1278" s="5">
        <v>41.59</v>
      </c>
      <c r="G1278" s="18" t="s">
        <v>877</v>
      </c>
      <c r="H1278" s="2">
        <v>-4.9399999999999999E-2</v>
      </c>
      <c r="I1278" s="16">
        <f t="shared" si="98"/>
        <v>-4.9385332768122049E-2</v>
      </c>
      <c r="J1278" s="16">
        <f t="shared" si="99"/>
        <v>0.95061466723187793</v>
      </c>
      <c r="K1278" s="16">
        <f t="shared" si="100"/>
        <v>54.265263157894736</v>
      </c>
      <c r="L1278" s="16">
        <f t="shared" si="101"/>
        <v>56.412448979591829</v>
      </c>
      <c r="M1278" s="25" t="str">
        <f t="shared" si="102"/>
        <v>HOLD</v>
      </c>
    </row>
    <row r="1279" spans="2:13">
      <c r="B1279" s="3">
        <v>43909</v>
      </c>
      <c r="C1279" s="5">
        <v>41.83</v>
      </c>
      <c r="D1279" s="5">
        <v>44.36</v>
      </c>
      <c r="E1279" s="5">
        <v>44.66</v>
      </c>
      <c r="F1279" s="5">
        <v>41.04</v>
      </c>
      <c r="G1279" s="18" t="s">
        <v>876</v>
      </c>
      <c r="H1279" s="2">
        <v>-6.7299999999999999E-2</v>
      </c>
      <c r="I1279" s="16">
        <f t="shared" si="98"/>
        <v>-6.7335562987736963E-2</v>
      </c>
      <c r="J1279" s="16">
        <f t="shared" si="99"/>
        <v>0.93266443701226298</v>
      </c>
      <c r="K1279" s="16">
        <f t="shared" si="100"/>
        <v>53.48263157894737</v>
      </c>
      <c r="L1279" s="16">
        <f t="shared" si="101"/>
        <v>56.22061224489795</v>
      </c>
      <c r="M1279" s="25" t="str">
        <f t="shared" si="102"/>
        <v>HOLD</v>
      </c>
    </row>
    <row r="1280" spans="2:13">
      <c r="B1280" s="3">
        <v>43910</v>
      </c>
      <c r="C1280" s="5">
        <v>38.299999999999997</v>
      </c>
      <c r="D1280" s="5">
        <v>41.95</v>
      </c>
      <c r="E1280" s="5">
        <v>42.07</v>
      </c>
      <c r="F1280" s="5">
        <v>37.51</v>
      </c>
      <c r="G1280" s="18" t="s">
        <v>875</v>
      </c>
      <c r="H1280" s="2">
        <v>-8.4400000000000003E-2</v>
      </c>
      <c r="I1280" s="16">
        <f t="shared" si="98"/>
        <v>-8.4389194358116218E-2</v>
      </c>
      <c r="J1280" s="16">
        <f t="shared" si="99"/>
        <v>0.9156108056418838</v>
      </c>
      <c r="K1280" s="16">
        <f t="shared" si="100"/>
        <v>52.519473684210531</v>
      </c>
      <c r="L1280" s="16">
        <f t="shared" si="101"/>
        <v>55.965102040816319</v>
      </c>
      <c r="M1280" s="25" t="str">
        <f t="shared" si="102"/>
        <v>HOLD</v>
      </c>
    </row>
    <row r="1281" spans="2:13">
      <c r="B1281" s="3">
        <v>43913</v>
      </c>
      <c r="C1281" s="5">
        <v>37.56</v>
      </c>
      <c r="D1281" s="5">
        <v>38.76</v>
      </c>
      <c r="E1281" s="5">
        <v>38.89</v>
      </c>
      <c r="F1281" s="5">
        <v>36.270000000000003</v>
      </c>
      <c r="G1281" s="18" t="s">
        <v>874</v>
      </c>
      <c r="H1281" s="2">
        <v>-1.9300000000000001E-2</v>
      </c>
      <c r="I1281" s="16">
        <f t="shared" si="98"/>
        <v>-1.9321148825065141E-2</v>
      </c>
      <c r="J1281" s="16">
        <f t="shared" si="99"/>
        <v>0.98067885117493481</v>
      </c>
      <c r="K1281" s="16">
        <f t="shared" si="100"/>
        <v>51.448421052631581</v>
      </c>
      <c r="L1281" s="16">
        <f t="shared" si="101"/>
        <v>55.617346938775512</v>
      </c>
      <c r="M1281" s="25" t="str">
        <f t="shared" si="102"/>
        <v>HOLD</v>
      </c>
    </row>
    <row r="1282" spans="2:13">
      <c r="B1282" s="3">
        <v>43914</v>
      </c>
      <c r="C1282" s="5">
        <v>39.450000000000003</v>
      </c>
      <c r="D1282" s="5">
        <v>41.22</v>
      </c>
      <c r="E1282" s="5">
        <v>41.4</v>
      </c>
      <c r="F1282" s="5">
        <v>38.83</v>
      </c>
      <c r="G1282" s="18" t="s">
        <v>873</v>
      </c>
      <c r="H1282" s="2">
        <v>5.0299999999999997E-2</v>
      </c>
      <c r="I1282" s="16">
        <f t="shared" si="98"/>
        <v>5.0319488817891389E-2</v>
      </c>
      <c r="J1282" s="16">
        <f t="shared" si="99"/>
        <v>1.0503194888178913</v>
      </c>
      <c r="K1282" s="16">
        <f t="shared" si="100"/>
        <v>50.382105263157897</v>
      </c>
      <c r="L1282" s="16">
        <f t="shared" si="101"/>
        <v>55.250612244897951</v>
      </c>
      <c r="M1282" s="25" t="str">
        <f t="shared" si="102"/>
        <v>HOLD</v>
      </c>
    </row>
    <row r="1283" spans="2:13">
      <c r="B1283" s="3">
        <v>43915</v>
      </c>
      <c r="C1283" s="5">
        <v>41.61</v>
      </c>
      <c r="D1283" s="5">
        <v>40.630000000000003</v>
      </c>
      <c r="E1283" s="5">
        <v>43.45</v>
      </c>
      <c r="F1283" s="5">
        <v>39.909999999999997</v>
      </c>
      <c r="G1283" s="18" t="s">
        <v>872</v>
      </c>
      <c r="H1283" s="2">
        <v>5.4800000000000001E-2</v>
      </c>
      <c r="I1283" s="16">
        <f t="shared" si="98"/>
        <v>5.4752851711026528E-2</v>
      </c>
      <c r="J1283" s="16">
        <f t="shared" si="99"/>
        <v>1.0547528517110265</v>
      </c>
      <c r="K1283" s="16">
        <f t="shared" si="100"/>
        <v>49.426842105263162</v>
      </c>
      <c r="L1283" s="16">
        <f t="shared" si="101"/>
        <v>54.910204081632649</v>
      </c>
      <c r="M1283" s="25" t="str">
        <f t="shared" si="102"/>
        <v>HOLD</v>
      </c>
    </row>
    <row r="1284" spans="2:13">
      <c r="B1284" s="3">
        <v>43916</v>
      </c>
      <c r="C1284" s="5">
        <v>44.29</v>
      </c>
      <c r="D1284" s="5">
        <v>42.84</v>
      </c>
      <c r="E1284" s="5">
        <v>45.27</v>
      </c>
      <c r="F1284" s="5">
        <v>42.45</v>
      </c>
      <c r="G1284" s="18" t="s">
        <v>871</v>
      </c>
      <c r="H1284" s="2">
        <v>6.4399999999999999E-2</v>
      </c>
      <c r="I1284" s="16">
        <f t="shared" si="98"/>
        <v>6.4407594328286466E-2</v>
      </c>
      <c r="J1284" s="16">
        <f t="shared" si="99"/>
        <v>1.0644075943282865</v>
      </c>
      <c r="K1284" s="16">
        <f t="shared" si="100"/>
        <v>48.725789473684216</v>
      </c>
      <c r="L1284" s="16">
        <f t="shared" si="101"/>
        <v>54.616530612244901</v>
      </c>
      <c r="M1284" s="25" t="str">
        <f t="shared" si="102"/>
        <v>HOLD</v>
      </c>
    </row>
    <row r="1285" spans="2:13">
      <c r="B1285" s="3">
        <v>43917</v>
      </c>
      <c r="C1285" s="5">
        <v>42.81</v>
      </c>
      <c r="D1285" s="5">
        <v>43.66</v>
      </c>
      <c r="E1285" s="5">
        <v>44.03</v>
      </c>
      <c r="F1285" s="5">
        <v>42.4</v>
      </c>
      <c r="G1285" s="18" t="s">
        <v>870</v>
      </c>
      <c r="H1285" s="2">
        <v>-3.3399999999999999E-2</v>
      </c>
      <c r="I1285" s="16">
        <f t="shared" si="98"/>
        <v>-3.3416121020546329E-2</v>
      </c>
      <c r="J1285" s="16">
        <f t="shared" si="99"/>
        <v>0.96658387897945364</v>
      </c>
      <c r="K1285" s="16">
        <f t="shared" si="100"/>
        <v>48.241578947368424</v>
      </c>
      <c r="L1285" s="16">
        <f t="shared" si="101"/>
        <v>54.363265306122443</v>
      </c>
      <c r="M1285" s="25" t="str">
        <f t="shared" si="102"/>
        <v>HOLD</v>
      </c>
    </row>
    <row r="1286" spans="2:13">
      <c r="B1286" s="3">
        <v>43920</v>
      </c>
      <c r="C1286" s="5">
        <v>45</v>
      </c>
      <c r="D1286" s="5">
        <v>43.04</v>
      </c>
      <c r="E1286" s="5">
        <v>45.56</v>
      </c>
      <c r="F1286" s="5">
        <v>43.04</v>
      </c>
      <c r="G1286" s="18" t="s">
        <v>869</v>
      </c>
      <c r="H1286" s="2">
        <v>5.1200000000000002E-2</v>
      </c>
      <c r="I1286" s="16">
        <f t="shared" si="98"/>
        <v>5.1156271899088945E-2</v>
      </c>
      <c r="J1286" s="16">
        <f t="shared" si="99"/>
        <v>1.051156271899089</v>
      </c>
      <c r="K1286" s="16">
        <f t="shared" si="100"/>
        <v>47.551578947368419</v>
      </c>
      <c r="L1286" s="16">
        <f t="shared" si="101"/>
        <v>54.077346938775499</v>
      </c>
      <c r="M1286" s="25" t="str">
        <f t="shared" si="102"/>
        <v>HOLD</v>
      </c>
    </row>
    <row r="1287" spans="2:13">
      <c r="B1287" s="3">
        <v>43921</v>
      </c>
      <c r="C1287" s="5">
        <v>44.25</v>
      </c>
      <c r="D1287" s="5">
        <v>45.07</v>
      </c>
      <c r="E1287" s="5">
        <v>45.51</v>
      </c>
      <c r="F1287" s="5">
        <v>44.06</v>
      </c>
      <c r="G1287" s="18" t="s">
        <v>868</v>
      </c>
      <c r="H1287" s="2">
        <v>-1.67E-2</v>
      </c>
      <c r="I1287" s="16">
        <f t="shared" si="98"/>
        <v>-1.6666666666666666E-2</v>
      </c>
      <c r="J1287" s="16">
        <f t="shared" si="99"/>
        <v>0.98333333333333328</v>
      </c>
      <c r="K1287" s="16">
        <f t="shared" si="100"/>
        <v>46.969473684210527</v>
      </c>
      <c r="L1287" s="16">
        <f t="shared" si="101"/>
        <v>53.833673469387755</v>
      </c>
      <c r="M1287" s="25" t="str">
        <f t="shared" si="102"/>
        <v>HOLD</v>
      </c>
    </row>
    <row r="1288" spans="2:13">
      <c r="B1288" s="3">
        <v>43922</v>
      </c>
      <c r="C1288" s="5">
        <v>42.12</v>
      </c>
      <c r="D1288" s="5">
        <v>42.48</v>
      </c>
      <c r="E1288" s="5">
        <v>43.65</v>
      </c>
      <c r="F1288" s="5">
        <v>41.8</v>
      </c>
      <c r="G1288" s="18" t="s">
        <v>867</v>
      </c>
      <c r="H1288" s="2">
        <v>-4.8099999999999997E-2</v>
      </c>
      <c r="I1288" s="16">
        <f t="shared" si="98"/>
        <v>-4.8135593220339043E-2</v>
      </c>
      <c r="J1288" s="16">
        <f t="shared" si="99"/>
        <v>0.951864406779661</v>
      </c>
      <c r="K1288" s="16">
        <f t="shared" si="100"/>
        <v>46.19736842105263</v>
      </c>
      <c r="L1288" s="16">
        <f t="shared" si="101"/>
        <v>53.569999999999993</v>
      </c>
      <c r="M1288" s="25" t="str">
        <f t="shared" si="102"/>
        <v>HOLD</v>
      </c>
    </row>
    <row r="1289" spans="2:13">
      <c r="B1289" s="3">
        <v>43923</v>
      </c>
      <c r="C1289" s="5">
        <v>43.95</v>
      </c>
      <c r="D1289" s="5">
        <v>42.22</v>
      </c>
      <c r="E1289" s="5">
        <v>44.19</v>
      </c>
      <c r="F1289" s="5">
        <v>41.86</v>
      </c>
      <c r="G1289" s="18" t="s">
        <v>866</v>
      </c>
      <c r="H1289" s="2">
        <v>4.3400000000000001E-2</v>
      </c>
      <c r="I1289" s="16">
        <f t="shared" ref="I1289:I1352" si="103">(C1289-C1288)/C1288</f>
        <v>4.3447293447293575E-2</v>
      </c>
      <c r="J1289" s="16">
        <f t="shared" ref="J1289:J1352" si="104">C1289/C1288</f>
        <v>1.0434472934472936</v>
      </c>
      <c r="K1289" s="16">
        <f t="shared" si="100"/>
        <v>45.427894736842106</v>
      </c>
      <c r="L1289" s="16">
        <f t="shared" si="101"/>
        <v>53.253877551020409</v>
      </c>
      <c r="M1289" s="25" t="str">
        <f t="shared" si="102"/>
        <v>HOLD</v>
      </c>
    </row>
    <row r="1290" spans="2:13">
      <c r="B1290" s="3">
        <v>43924</v>
      </c>
      <c r="C1290" s="5">
        <v>43.83</v>
      </c>
      <c r="D1290" s="5">
        <v>43.58</v>
      </c>
      <c r="E1290" s="5">
        <v>44.34</v>
      </c>
      <c r="F1290" s="5">
        <v>43.31</v>
      </c>
      <c r="G1290" s="18" t="s">
        <v>742</v>
      </c>
      <c r="H1290" s="2">
        <v>-2.7000000000000001E-3</v>
      </c>
      <c r="I1290" s="16">
        <f t="shared" si="103"/>
        <v>-2.7303754266212637E-3</v>
      </c>
      <c r="J1290" s="16">
        <f t="shared" si="104"/>
        <v>0.99726962457337875</v>
      </c>
      <c r="K1290" s="16">
        <f t="shared" si="100"/>
        <v>44.832631578947371</v>
      </c>
      <c r="L1290" s="16">
        <f t="shared" si="101"/>
        <v>52.970612244897957</v>
      </c>
      <c r="M1290" s="25" t="str">
        <f t="shared" si="102"/>
        <v>HOLD</v>
      </c>
    </row>
    <row r="1291" spans="2:13">
      <c r="B1291" s="3">
        <v>43927</v>
      </c>
      <c r="C1291" s="5">
        <v>46.67</v>
      </c>
      <c r="D1291" s="5">
        <v>45.39</v>
      </c>
      <c r="E1291" s="5">
        <v>47.01</v>
      </c>
      <c r="F1291" s="5">
        <v>44.69</v>
      </c>
      <c r="G1291" s="18" t="s">
        <v>865</v>
      </c>
      <c r="H1291" s="2">
        <v>6.4799999999999996E-2</v>
      </c>
      <c r="I1291" s="16">
        <f t="shared" si="103"/>
        <v>6.4795801962126476E-2</v>
      </c>
      <c r="J1291" s="16">
        <f t="shared" si="104"/>
        <v>1.0647958019621264</v>
      </c>
      <c r="K1291" s="16">
        <f t="shared" si="100"/>
        <v>44.41</v>
      </c>
      <c r="L1291" s="16">
        <f t="shared" si="101"/>
        <v>52.68795918367347</v>
      </c>
      <c r="M1291" s="25" t="str">
        <f t="shared" si="102"/>
        <v>HOLD</v>
      </c>
    </row>
    <row r="1292" spans="2:13">
      <c r="B1292" s="3">
        <v>43928</v>
      </c>
      <c r="C1292" s="5">
        <v>46.51</v>
      </c>
      <c r="D1292" s="5">
        <v>48.5</v>
      </c>
      <c r="E1292" s="5">
        <v>48.6</v>
      </c>
      <c r="F1292" s="5">
        <v>46.48</v>
      </c>
      <c r="G1292" s="18" t="s">
        <v>661</v>
      </c>
      <c r="H1292" s="2">
        <v>-3.3999999999999998E-3</v>
      </c>
      <c r="I1292" s="16">
        <f t="shared" si="103"/>
        <v>-3.4283265481037861E-3</v>
      </c>
      <c r="J1292" s="16">
        <f t="shared" si="104"/>
        <v>0.99657167345189623</v>
      </c>
      <c r="K1292" s="16">
        <f t="shared" si="100"/>
        <v>44.0421052631579</v>
      </c>
      <c r="L1292" s="16">
        <f t="shared" si="101"/>
        <v>52.467346938775513</v>
      </c>
      <c r="M1292" s="25" t="str">
        <f t="shared" si="102"/>
        <v>HOLD</v>
      </c>
    </row>
    <row r="1293" spans="2:13">
      <c r="B1293" s="3">
        <v>43929</v>
      </c>
      <c r="C1293" s="5">
        <v>47.82</v>
      </c>
      <c r="D1293" s="5">
        <v>46.64</v>
      </c>
      <c r="E1293" s="5">
        <v>48.09</v>
      </c>
      <c r="F1293" s="5">
        <v>46.33</v>
      </c>
      <c r="G1293" s="18" t="s">
        <v>706</v>
      </c>
      <c r="H1293" s="2">
        <v>2.8199999999999999E-2</v>
      </c>
      <c r="I1293" s="16">
        <f t="shared" si="103"/>
        <v>2.8165985809503382E-2</v>
      </c>
      <c r="J1293" s="16">
        <f t="shared" si="104"/>
        <v>1.0281659858095034</v>
      </c>
      <c r="K1293" s="16">
        <f t="shared" si="100"/>
        <v>43.742105263157896</v>
      </c>
      <c r="L1293" s="16">
        <f t="shared" si="101"/>
        <v>52.253061224489798</v>
      </c>
      <c r="M1293" s="25" t="str">
        <f t="shared" si="102"/>
        <v>HOLD</v>
      </c>
    </row>
    <row r="1294" spans="2:13">
      <c r="B1294" s="3">
        <v>43930</v>
      </c>
      <c r="C1294" s="5">
        <v>49</v>
      </c>
      <c r="D1294" s="5">
        <v>48.44</v>
      </c>
      <c r="E1294" s="5">
        <v>49.73</v>
      </c>
      <c r="F1294" s="5">
        <v>48.35</v>
      </c>
      <c r="G1294" s="18" t="s">
        <v>864</v>
      </c>
      <c r="H1294" s="2">
        <v>2.47E-2</v>
      </c>
      <c r="I1294" s="16">
        <f t="shared" si="103"/>
        <v>2.4675867837724796E-2</v>
      </c>
      <c r="J1294" s="16">
        <f t="shared" si="104"/>
        <v>1.0246758678377248</v>
      </c>
      <c r="K1294" s="16">
        <f t="shared" si="100"/>
        <v>43.776842105263164</v>
      </c>
      <c r="L1294" s="16">
        <f t="shared" si="101"/>
        <v>52.065510204081633</v>
      </c>
      <c r="M1294" s="25" t="str">
        <f t="shared" si="102"/>
        <v>HOLD</v>
      </c>
    </row>
    <row r="1295" spans="2:13">
      <c r="B1295" s="3">
        <v>43934</v>
      </c>
      <c r="C1295" s="5">
        <v>46.93</v>
      </c>
      <c r="D1295" s="5">
        <v>48.35</v>
      </c>
      <c r="E1295" s="5">
        <v>48.64</v>
      </c>
      <c r="F1295" s="5">
        <v>46.5</v>
      </c>
      <c r="G1295" s="18" t="s">
        <v>863</v>
      </c>
      <c r="H1295" s="2">
        <v>-4.2200000000000001E-2</v>
      </c>
      <c r="I1295" s="16">
        <f t="shared" si="103"/>
        <v>-4.224489795918368E-2</v>
      </c>
      <c r="J1295" s="16">
        <f t="shared" si="104"/>
        <v>0.95775510204081638</v>
      </c>
      <c r="K1295" s="16">
        <f t="shared" si="100"/>
        <v>43.804736842105271</v>
      </c>
      <c r="L1295" s="16">
        <f t="shared" si="101"/>
        <v>51.864285714285714</v>
      </c>
      <c r="M1295" s="25" t="str">
        <f t="shared" si="102"/>
        <v>HOLD</v>
      </c>
    </row>
    <row r="1296" spans="2:13">
      <c r="B1296" s="3">
        <v>43935</v>
      </c>
      <c r="C1296" s="5">
        <v>48.92</v>
      </c>
      <c r="D1296" s="5">
        <v>47.94</v>
      </c>
      <c r="E1296" s="5">
        <v>49.25</v>
      </c>
      <c r="F1296" s="5">
        <v>46.93</v>
      </c>
      <c r="G1296" s="18" t="s">
        <v>862</v>
      </c>
      <c r="H1296" s="2">
        <v>4.24E-2</v>
      </c>
      <c r="I1296" s="16">
        <f t="shared" si="103"/>
        <v>4.2403579799701725E-2</v>
      </c>
      <c r="J1296" s="16">
        <f t="shared" si="104"/>
        <v>1.0424035797997018</v>
      </c>
      <c r="K1296" s="16">
        <f t="shared" si="100"/>
        <v>43.892631578947373</v>
      </c>
      <c r="L1296" s="16">
        <f t="shared" si="101"/>
        <v>51.630204081632655</v>
      </c>
      <c r="M1296" s="25" t="str">
        <f t="shared" si="102"/>
        <v>HOLD</v>
      </c>
    </row>
    <row r="1297" spans="2:13">
      <c r="B1297" s="3">
        <v>43936</v>
      </c>
      <c r="C1297" s="5">
        <v>47.61</v>
      </c>
      <c r="D1297" s="5">
        <v>47.71</v>
      </c>
      <c r="E1297" s="5">
        <v>48.4</v>
      </c>
      <c r="F1297" s="5">
        <v>47.41</v>
      </c>
      <c r="G1297" s="18" t="s">
        <v>485</v>
      </c>
      <c r="H1297" s="2">
        <v>-2.6800000000000001E-2</v>
      </c>
      <c r="I1297" s="16">
        <f t="shared" si="103"/>
        <v>-2.6778413736713046E-2</v>
      </c>
      <c r="J1297" s="16">
        <f t="shared" si="104"/>
        <v>0.97322158626328692</v>
      </c>
      <c r="K1297" s="16">
        <f t="shared" si="100"/>
        <v>43.984210526315785</v>
      </c>
      <c r="L1297" s="16">
        <f t="shared" si="101"/>
        <v>51.433061224489791</v>
      </c>
      <c r="M1297" s="25" t="str">
        <f t="shared" si="102"/>
        <v>HOLD</v>
      </c>
    </row>
    <row r="1298" spans="2:13">
      <c r="B1298" s="3">
        <v>43937</v>
      </c>
      <c r="C1298" s="5">
        <v>47.1</v>
      </c>
      <c r="D1298" s="5">
        <v>47.4</v>
      </c>
      <c r="E1298" s="5">
        <v>47.85</v>
      </c>
      <c r="F1298" s="5">
        <v>46.76</v>
      </c>
      <c r="G1298" s="18" t="s">
        <v>861</v>
      </c>
      <c r="H1298" s="2">
        <v>-1.0699999999999999E-2</v>
      </c>
      <c r="I1298" s="16">
        <f t="shared" si="103"/>
        <v>-1.0712035286704433E-2</v>
      </c>
      <c r="J1298" s="16">
        <f t="shared" si="104"/>
        <v>0.98928796471329561</v>
      </c>
      <c r="K1298" s="16">
        <f t="shared" si="100"/>
        <v>44.129473684210524</v>
      </c>
      <c r="L1298" s="16">
        <f t="shared" si="101"/>
        <v>51.203877551020412</v>
      </c>
      <c r="M1298" s="25" t="str">
        <f t="shared" si="102"/>
        <v>HOLD</v>
      </c>
    </row>
    <row r="1299" spans="2:13">
      <c r="B1299" s="3">
        <v>43938</v>
      </c>
      <c r="C1299" s="5">
        <v>48.06</v>
      </c>
      <c r="D1299" s="5">
        <v>48.3</v>
      </c>
      <c r="E1299" s="5">
        <v>48.3</v>
      </c>
      <c r="F1299" s="5">
        <v>47.37</v>
      </c>
      <c r="G1299" s="18" t="s">
        <v>860</v>
      </c>
      <c r="H1299" s="2">
        <v>2.0400000000000001E-2</v>
      </c>
      <c r="I1299" s="16">
        <f t="shared" si="103"/>
        <v>2.0382165605095558E-2</v>
      </c>
      <c r="J1299" s="16">
        <f t="shared" si="104"/>
        <v>1.0203821656050955</v>
      </c>
      <c r="K1299" s="16">
        <f t="shared" si="100"/>
        <v>44.406842105263159</v>
      </c>
      <c r="L1299" s="16">
        <f t="shared" si="101"/>
        <v>50.964081632653055</v>
      </c>
      <c r="M1299" s="25" t="str">
        <f t="shared" si="102"/>
        <v>HOLD</v>
      </c>
    </row>
    <row r="1300" spans="2:13">
      <c r="B1300" s="3">
        <v>43941</v>
      </c>
      <c r="C1300" s="5">
        <v>46.53</v>
      </c>
      <c r="D1300" s="5">
        <v>47.79</v>
      </c>
      <c r="E1300" s="5">
        <v>48</v>
      </c>
      <c r="F1300" s="5">
        <v>46.31</v>
      </c>
      <c r="G1300" s="18" t="s">
        <v>859</v>
      </c>
      <c r="H1300" s="2">
        <v>-3.1800000000000002E-2</v>
      </c>
      <c r="I1300" s="16">
        <f t="shared" si="103"/>
        <v>-3.1835205992509386E-2</v>
      </c>
      <c r="J1300" s="16">
        <f t="shared" si="104"/>
        <v>0.96816479400749067</v>
      </c>
      <c r="K1300" s="16">
        <f t="shared" si="100"/>
        <v>44.920526315789473</v>
      </c>
      <c r="L1300" s="16">
        <f t="shared" si="101"/>
        <v>50.741020408163266</v>
      </c>
      <c r="M1300" s="25" t="str">
        <f t="shared" si="102"/>
        <v>HOLD</v>
      </c>
    </row>
    <row r="1301" spans="2:13">
      <c r="B1301" s="3">
        <v>43942</v>
      </c>
      <c r="C1301" s="5">
        <v>45.38</v>
      </c>
      <c r="D1301" s="5">
        <v>45.88</v>
      </c>
      <c r="E1301" s="5">
        <v>46.9</v>
      </c>
      <c r="F1301" s="5">
        <v>44.26</v>
      </c>
      <c r="G1301" s="18" t="s">
        <v>858</v>
      </c>
      <c r="H1301" s="2">
        <v>-2.47E-2</v>
      </c>
      <c r="I1301" s="16">
        <f t="shared" si="103"/>
        <v>-2.4715237481194897E-2</v>
      </c>
      <c r="J1301" s="16">
        <f t="shared" si="104"/>
        <v>0.97528476251880514</v>
      </c>
      <c r="K1301" s="16">
        <f t="shared" si="100"/>
        <v>45.392631578947359</v>
      </c>
      <c r="L1301" s="16">
        <f t="shared" si="101"/>
        <v>50.482653061224489</v>
      </c>
      <c r="M1301" s="25" t="str">
        <f t="shared" si="102"/>
        <v>HOLD</v>
      </c>
    </row>
    <row r="1302" spans="2:13">
      <c r="B1302" s="3">
        <v>43943</v>
      </c>
      <c r="C1302" s="5">
        <v>45.68</v>
      </c>
      <c r="D1302" s="5">
        <v>46.05</v>
      </c>
      <c r="E1302" s="5">
        <v>46.15</v>
      </c>
      <c r="F1302" s="5">
        <v>45.5</v>
      </c>
      <c r="G1302" s="18" t="s">
        <v>857</v>
      </c>
      <c r="H1302" s="2">
        <v>6.6E-3</v>
      </c>
      <c r="I1302" s="16">
        <f t="shared" si="103"/>
        <v>6.6108417805199899E-3</v>
      </c>
      <c r="J1302" s="16">
        <f t="shared" si="104"/>
        <v>1.00661084178052</v>
      </c>
      <c r="K1302" s="16">
        <f t="shared" si="100"/>
        <v>45.704736842105248</v>
      </c>
      <c r="L1302" s="16">
        <f t="shared" si="101"/>
        <v>50.189387755102047</v>
      </c>
      <c r="M1302" s="25" t="str">
        <f t="shared" si="102"/>
        <v>HOLD</v>
      </c>
    </row>
    <row r="1303" spans="2:13">
      <c r="B1303" s="3">
        <v>43944</v>
      </c>
      <c r="C1303" s="5">
        <v>45.07</v>
      </c>
      <c r="D1303" s="5">
        <v>45.95</v>
      </c>
      <c r="E1303" s="5">
        <v>46.1</v>
      </c>
      <c r="F1303" s="5">
        <v>44.97</v>
      </c>
      <c r="G1303" s="18" t="s">
        <v>663</v>
      </c>
      <c r="H1303" s="2">
        <v>-1.34E-2</v>
      </c>
      <c r="I1303" s="16">
        <f t="shared" si="103"/>
        <v>-1.3353765323992982E-2</v>
      </c>
      <c r="J1303" s="16">
        <f t="shared" si="104"/>
        <v>0.98664623467600698</v>
      </c>
      <c r="K1303" s="16">
        <f t="shared" si="100"/>
        <v>45.918947368421044</v>
      </c>
      <c r="L1303" s="16">
        <f t="shared" si="101"/>
        <v>49.905510204081629</v>
      </c>
      <c r="M1303" s="25" t="str">
        <f t="shared" si="102"/>
        <v>HOLD</v>
      </c>
    </row>
    <row r="1304" spans="2:13">
      <c r="B1304" s="3">
        <v>43945</v>
      </c>
      <c r="C1304" s="5">
        <v>45.43</v>
      </c>
      <c r="D1304" s="5">
        <v>45.5</v>
      </c>
      <c r="E1304" s="5">
        <v>45.75</v>
      </c>
      <c r="F1304" s="5">
        <v>45.12</v>
      </c>
      <c r="G1304" s="18" t="s">
        <v>856</v>
      </c>
      <c r="H1304" s="2">
        <v>8.0000000000000002E-3</v>
      </c>
      <c r="I1304" s="16">
        <f t="shared" si="103"/>
        <v>7.987574883514521E-3</v>
      </c>
      <c r="J1304" s="16">
        <f t="shared" si="104"/>
        <v>1.0079875748835145</v>
      </c>
      <c r="K1304" s="16">
        <f t="shared" si="100"/>
        <v>45.959999999999994</v>
      </c>
      <c r="L1304" s="16">
        <f t="shared" si="101"/>
        <v>49.612857142857138</v>
      </c>
      <c r="M1304" s="25" t="str">
        <f t="shared" si="102"/>
        <v>HOLD</v>
      </c>
    </row>
    <row r="1305" spans="2:13">
      <c r="B1305" s="3">
        <v>43948</v>
      </c>
      <c r="C1305" s="5">
        <v>46.78</v>
      </c>
      <c r="D1305" s="5">
        <v>46</v>
      </c>
      <c r="E1305" s="5">
        <v>46.98</v>
      </c>
      <c r="F1305" s="5">
        <v>45.71</v>
      </c>
      <c r="G1305" s="18" t="s">
        <v>855</v>
      </c>
      <c r="H1305" s="2">
        <v>2.9700000000000001E-2</v>
      </c>
      <c r="I1305" s="16">
        <f t="shared" si="103"/>
        <v>2.9716046665199239E-2</v>
      </c>
      <c r="J1305" s="16">
        <f t="shared" si="104"/>
        <v>1.0297160466651993</v>
      </c>
      <c r="K1305" s="16">
        <f t="shared" si="100"/>
        <v>46.0978947368421</v>
      </c>
      <c r="L1305" s="16">
        <f t="shared" si="101"/>
        <v>49.32346938775509</v>
      </c>
      <c r="M1305" s="25" t="str">
        <f t="shared" si="102"/>
        <v>HOLD</v>
      </c>
    </row>
    <row r="1306" spans="2:13">
      <c r="B1306" s="3">
        <v>43949</v>
      </c>
      <c r="C1306" s="5">
        <v>46.74</v>
      </c>
      <c r="D1306" s="5">
        <v>47.9</v>
      </c>
      <c r="E1306" s="5">
        <v>48</v>
      </c>
      <c r="F1306" s="5">
        <v>46.57</v>
      </c>
      <c r="G1306" s="18" t="s">
        <v>854</v>
      </c>
      <c r="H1306" s="2">
        <v>-8.9999999999999998E-4</v>
      </c>
      <c r="I1306" s="16">
        <f t="shared" si="103"/>
        <v>-8.5506626763572351E-4</v>
      </c>
      <c r="J1306" s="16">
        <f t="shared" si="104"/>
        <v>0.99914493373236424</v>
      </c>
      <c r="K1306" s="16">
        <f t="shared" si="100"/>
        <v>46.191578947368413</v>
      </c>
      <c r="L1306" s="16">
        <f t="shared" si="101"/>
        <v>49.054693877551017</v>
      </c>
      <c r="M1306" s="25" t="str">
        <f t="shared" si="102"/>
        <v>HOLD</v>
      </c>
    </row>
    <row r="1307" spans="2:13">
      <c r="B1307" s="3">
        <v>43950</v>
      </c>
      <c r="C1307" s="5">
        <v>47.12</v>
      </c>
      <c r="D1307" s="5">
        <v>47.27</v>
      </c>
      <c r="E1307" s="5">
        <v>47.86</v>
      </c>
      <c r="F1307" s="5">
        <v>46.88</v>
      </c>
      <c r="G1307" s="18" t="s">
        <v>853</v>
      </c>
      <c r="H1307" s="2">
        <v>8.0999999999999996E-3</v>
      </c>
      <c r="I1307" s="16">
        <f t="shared" si="103"/>
        <v>8.1300813008129101E-3</v>
      </c>
      <c r="J1307" s="16">
        <f t="shared" si="104"/>
        <v>1.0081300813008129</v>
      </c>
      <c r="K1307" s="16">
        <f t="shared" ref="K1307:K1370" si="105">AVERAGE(C1288:C1306)</f>
        <v>46.322631578947359</v>
      </c>
      <c r="L1307" s="16">
        <f t="shared" si="101"/>
        <v>48.793673469387755</v>
      </c>
      <c r="M1307" s="25" t="str">
        <f t="shared" si="102"/>
        <v>HOLD</v>
      </c>
    </row>
    <row r="1308" spans="2:13">
      <c r="B1308" s="3">
        <v>43951</v>
      </c>
      <c r="C1308" s="5">
        <v>45.89</v>
      </c>
      <c r="D1308" s="5">
        <v>47</v>
      </c>
      <c r="E1308" s="5">
        <v>47</v>
      </c>
      <c r="F1308" s="5">
        <v>45.7</v>
      </c>
      <c r="G1308" s="18" t="s">
        <v>852</v>
      </c>
      <c r="H1308" s="2">
        <v>-2.6100000000000002E-2</v>
      </c>
      <c r="I1308" s="16">
        <f t="shared" si="103"/>
        <v>-2.6103565365025401E-2</v>
      </c>
      <c r="J1308" s="16">
        <f t="shared" si="104"/>
        <v>0.97389643463497455</v>
      </c>
      <c r="K1308" s="16">
        <f t="shared" si="105"/>
        <v>46.585789473684208</v>
      </c>
      <c r="L1308" s="16">
        <f t="shared" si="101"/>
        <v>48.535510204081618</v>
      </c>
      <c r="M1308" s="25" t="str">
        <f t="shared" si="102"/>
        <v>HOLD</v>
      </c>
    </row>
    <row r="1309" spans="2:13">
      <c r="B1309" s="3">
        <v>43952</v>
      </c>
      <c r="C1309" s="5">
        <v>45.6</v>
      </c>
      <c r="D1309" s="5">
        <v>45.62</v>
      </c>
      <c r="E1309" s="5">
        <v>46.39</v>
      </c>
      <c r="F1309" s="5">
        <v>45.21</v>
      </c>
      <c r="G1309" s="18" t="s">
        <v>851</v>
      </c>
      <c r="H1309" s="2">
        <v>-6.3E-3</v>
      </c>
      <c r="I1309" s="16">
        <f t="shared" si="103"/>
        <v>-6.319459577249927E-3</v>
      </c>
      <c r="J1309" s="16">
        <f t="shared" si="104"/>
        <v>0.99368054042275011</v>
      </c>
      <c r="K1309" s="16">
        <f t="shared" si="105"/>
        <v>46.687894736842104</v>
      </c>
      <c r="L1309" s="16">
        <f t="shared" si="101"/>
        <v>48.253265306122437</v>
      </c>
      <c r="M1309" s="25" t="str">
        <f t="shared" si="102"/>
        <v>HOLD</v>
      </c>
    </row>
    <row r="1310" spans="2:13">
      <c r="B1310" s="3">
        <v>43955</v>
      </c>
      <c r="C1310" s="5">
        <v>45.14</v>
      </c>
      <c r="D1310" s="5">
        <v>45.32</v>
      </c>
      <c r="E1310" s="5">
        <v>45.48</v>
      </c>
      <c r="F1310" s="5">
        <v>44.6</v>
      </c>
      <c r="G1310" s="18" t="s">
        <v>850</v>
      </c>
      <c r="H1310" s="2">
        <v>-1.01E-2</v>
      </c>
      <c r="I1310" s="16">
        <f t="shared" si="103"/>
        <v>-1.0087719298245633E-2</v>
      </c>
      <c r="J1310" s="16">
        <f t="shared" si="104"/>
        <v>0.98991228070175441</v>
      </c>
      <c r="K1310" s="16">
        <f t="shared" si="105"/>
        <v>46.781052631578952</v>
      </c>
      <c r="L1310" s="16">
        <f t="shared" si="101"/>
        <v>47.956734693877536</v>
      </c>
      <c r="M1310" s="25" t="str">
        <f t="shared" si="102"/>
        <v>HOLD</v>
      </c>
    </row>
    <row r="1311" spans="2:13">
      <c r="B1311" s="3">
        <v>43956</v>
      </c>
      <c r="C1311" s="5">
        <v>45.4</v>
      </c>
      <c r="D1311" s="5">
        <v>45.36</v>
      </c>
      <c r="E1311" s="5">
        <v>46.1</v>
      </c>
      <c r="F1311" s="5">
        <v>45.15</v>
      </c>
      <c r="G1311" s="18" t="s">
        <v>143</v>
      </c>
      <c r="H1311" s="2">
        <v>5.7999999999999996E-3</v>
      </c>
      <c r="I1311" s="16">
        <f t="shared" si="103"/>
        <v>5.7598582188745683E-3</v>
      </c>
      <c r="J1311" s="16">
        <f t="shared" si="104"/>
        <v>1.0057598582188745</v>
      </c>
      <c r="K1311" s="16">
        <f t="shared" si="105"/>
        <v>46.700526315789467</v>
      </c>
      <c r="L1311" s="16">
        <f t="shared" si="101"/>
        <v>47.681020408163242</v>
      </c>
      <c r="M1311" s="25" t="str">
        <f t="shared" si="102"/>
        <v>HOLD</v>
      </c>
    </row>
    <row r="1312" spans="2:13">
      <c r="B1312" s="3">
        <v>43957</v>
      </c>
      <c r="C1312" s="5">
        <v>44.75</v>
      </c>
      <c r="D1312" s="5">
        <v>45.4</v>
      </c>
      <c r="E1312" s="5">
        <v>45.63</v>
      </c>
      <c r="F1312" s="5">
        <v>44.72</v>
      </c>
      <c r="G1312" s="18" t="s">
        <v>284</v>
      </c>
      <c r="H1312" s="2">
        <v>-1.43E-2</v>
      </c>
      <c r="I1312" s="16">
        <f t="shared" si="103"/>
        <v>-1.4317180616740057E-2</v>
      </c>
      <c r="J1312" s="16">
        <f t="shared" si="104"/>
        <v>0.98568281938325997</v>
      </c>
      <c r="K1312" s="16">
        <f t="shared" si="105"/>
        <v>46.642105263157895</v>
      </c>
      <c r="L1312" s="16">
        <f t="shared" si="101"/>
        <v>47.427551020408153</v>
      </c>
      <c r="M1312" s="25" t="str">
        <f t="shared" si="102"/>
        <v>HOLD</v>
      </c>
    </row>
    <row r="1313" spans="2:13">
      <c r="B1313" s="3">
        <v>43958</v>
      </c>
      <c r="C1313" s="5">
        <v>44.6</v>
      </c>
      <c r="D1313" s="5">
        <v>45.15</v>
      </c>
      <c r="E1313" s="5">
        <v>45.24</v>
      </c>
      <c r="F1313" s="5">
        <v>44.5</v>
      </c>
      <c r="G1313" s="18" t="s">
        <v>849</v>
      </c>
      <c r="H1313" s="2">
        <v>-3.3999999999999998E-3</v>
      </c>
      <c r="I1313" s="16">
        <f t="shared" si="103"/>
        <v>-3.3519553072625381E-3</v>
      </c>
      <c r="J1313" s="16">
        <f t="shared" si="104"/>
        <v>0.99664804469273749</v>
      </c>
      <c r="K1313" s="16">
        <f t="shared" si="105"/>
        <v>46.480526315789469</v>
      </c>
      <c r="L1313" s="16">
        <f t="shared" si="101"/>
        <v>47.165306122448975</v>
      </c>
      <c r="M1313" s="25" t="str">
        <f t="shared" si="102"/>
        <v>HOLD</v>
      </c>
    </row>
    <row r="1314" spans="2:13">
      <c r="B1314" s="3">
        <v>43959</v>
      </c>
      <c r="C1314" s="5">
        <v>46.11</v>
      </c>
      <c r="D1314" s="5">
        <v>45.08</v>
      </c>
      <c r="E1314" s="5">
        <v>46.22</v>
      </c>
      <c r="F1314" s="5">
        <v>44.88</v>
      </c>
      <c r="G1314" s="18" t="s">
        <v>450</v>
      </c>
      <c r="H1314" s="2">
        <v>3.39E-2</v>
      </c>
      <c r="I1314" s="16">
        <f t="shared" si="103"/>
        <v>3.385650224215242E-2</v>
      </c>
      <c r="J1314" s="16">
        <f t="shared" si="104"/>
        <v>1.0338565022421524</v>
      </c>
      <c r="K1314" s="16">
        <f t="shared" si="105"/>
        <v>46.248947368421057</v>
      </c>
      <c r="L1314" s="16">
        <f t="shared" si="101"/>
        <v>46.954489795918356</v>
      </c>
      <c r="M1314" s="25" t="str">
        <f t="shared" si="102"/>
        <v>HOLD</v>
      </c>
    </row>
    <row r="1315" spans="2:13">
      <c r="B1315" s="3">
        <v>43962</v>
      </c>
      <c r="C1315" s="5">
        <v>45.54</v>
      </c>
      <c r="D1315" s="5">
        <v>45.69</v>
      </c>
      <c r="E1315" s="5">
        <v>46.11</v>
      </c>
      <c r="F1315" s="5">
        <v>45.52</v>
      </c>
      <c r="G1315" s="18" t="s">
        <v>720</v>
      </c>
      <c r="H1315" s="2">
        <v>-1.24E-2</v>
      </c>
      <c r="I1315" s="16">
        <f t="shared" si="103"/>
        <v>-1.2361743656473656E-2</v>
      </c>
      <c r="J1315" s="16">
        <f t="shared" si="104"/>
        <v>0.98763825634352631</v>
      </c>
      <c r="K1315" s="16">
        <f t="shared" si="105"/>
        <v>46.205789473684213</v>
      </c>
      <c r="L1315" s="16">
        <f t="shared" si="101"/>
        <v>46.803877551020406</v>
      </c>
      <c r="M1315" s="25" t="str">
        <f t="shared" si="102"/>
        <v>HOLD</v>
      </c>
    </row>
    <row r="1316" spans="2:13">
      <c r="B1316" s="3">
        <v>43963</v>
      </c>
      <c r="C1316" s="5">
        <v>44.82</v>
      </c>
      <c r="D1316" s="5">
        <v>45.6</v>
      </c>
      <c r="E1316" s="5">
        <v>45.85</v>
      </c>
      <c r="F1316" s="5">
        <v>44.8</v>
      </c>
      <c r="G1316" s="18" t="s">
        <v>22</v>
      </c>
      <c r="H1316" s="2">
        <v>-1.5800000000000002E-2</v>
      </c>
      <c r="I1316" s="16">
        <f t="shared" si="103"/>
        <v>-1.5810276679841872E-2</v>
      </c>
      <c r="J1316" s="16">
        <f t="shared" si="104"/>
        <v>0.98418972332015808</v>
      </c>
      <c r="K1316" s="16">
        <f t="shared" si="105"/>
        <v>46.027894736842107</v>
      </c>
      <c r="L1316" s="16">
        <f t="shared" si="101"/>
        <v>46.592040816326524</v>
      </c>
      <c r="M1316" s="25" t="str">
        <f t="shared" si="102"/>
        <v>HOLD</v>
      </c>
    </row>
    <row r="1317" spans="2:13">
      <c r="B1317" s="3">
        <v>43964</v>
      </c>
      <c r="C1317" s="5">
        <v>43.94</v>
      </c>
      <c r="D1317" s="5">
        <v>44.71</v>
      </c>
      <c r="E1317" s="5">
        <v>44.78</v>
      </c>
      <c r="F1317" s="5">
        <v>43.52</v>
      </c>
      <c r="G1317" s="18" t="s">
        <v>848</v>
      </c>
      <c r="H1317" s="2">
        <v>-1.9599999999999999E-2</v>
      </c>
      <c r="I1317" s="16">
        <f t="shared" si="103"/>
        <v>-1.9634091923248605E-2</v>
      </c>
      <c r="J1317" s="16">
        <f t="shared" si="104"/>
        <v>0.98036590807675139</v>
      </c>
      <c r="K1317" s="16">
        <f t="shared" si="105"/>
        <v>45.881052631578946</v>
      </c>
      <c r="L1317" s="16">
        <f t="shared" si="101"/>
        <v>46.362653061224499</v>
      </c>
      <c r="M1317" s="25" t="str">
        <f t="shared" si="102"/>
        <v>HOLD</v>
      </c>
    </row>
    <row r="1318" spans="2:13">
      <c r="B1318" s="3">
        <v>43965</v>
      </c>
      <c r="C1318" s="5">
        <v>43.7</v>
      </c>
      <c r="D1318" s="5">
        <v>43.38</v>
      </c>
      <c r="E1318" s="5">
        <v>44.06</v>
      </c>
      <c r="F1318" s="5">
        <v>43.23</v>
      </c>
      <c r="G1318" s="18" t="s">
        <v>847</v>
      </c>
      <c r="H1318" s="2">
        <v>-5.4999999999999997E-3</v>
      </c>
      <c r="I1318" s="16">
        <f t="shared" si="103"/>
        <v>-5.4619936276739849E-3</v>
      </c>
      <c r="J1318" s="16">
        <f t="shared" si="104"/>
        <v>0.99453800637232603</v>
      </c>
      <c r="K1318" s="16">
        <f t="shared" si="105"/>
        <v>45.71473684210526</v>
      </c>
      <c r="L1318" s="16">
        <f t="shared" si="101"/>
        <v>46.056938775510211</v>
      </c>
      <c r="M1318" s="25" t="str">
        <f t="shared" si="102"/>
        <v>HOLD</v>
      </c>
    </row>
    <row r="1319" spans="2:13">
      <c r="B1319" s="3">
        <v>43966</v>
      </c>
      <c r="C1319" s="5">
        <v>43.26</v>
      </c>
      <c r="D1319" s="5">
        <v>43.96</v>
      </c>
      <c r="E1319" s="5">
        <v>44.69</v>
      </c>
      <c r="F1319" s="5">
        <v>43.2</v>
      </c>
      <c r="G1319" s="18" t="s">
        <v>846</v>
      </c>
      <c r="H1319" s="2">
        <v>-1.01E-2</v>
      </c>
      <c r="I1319" s="16">
        <f t="shared" si="103"/>
        <v>-1.0068649885583633E-2</v>
      </c>
      <c r="J1319" s="16">
        <f t="shared" si="104"/>
        <v>0.98993135011441635</v>
      </c>
      <c r="K1319" s="16">
        <f t="shared" si="105"/>
        <v>45.485263157894735</v>
      </c>
      <c r="L1319" s="16">
        <f t="shared" si="101"/>
        <v>45.79081632653061</v>
      </c>
      <c r="M1319" s="25" t="str">
        <f t="shared" si="102"/>
        <v>HOLD</v>
      </c>
    </row>
    <row r="1320" spans="2:13">
      <c r="B1320" s="3">
        <v>43969</v>
      </c>
      <c r="C1320" s="5">
        <v>44.97</v>
      </c>
      <c r="D1320" s="5">
        <v>44.82</v>
      </c>
      <c r="E1320" s="5">
        <v>45.39</v>
      </c>
      <c r="F1320" s="5">
        <v>44.13</v>
      </c>
      <c r="G1320" s="18" t="s">
        <v>845</v>
      </c>
      <c r="H1320" s="2">
        <v>3.95E-2</v>
      </c>
      <c r="I1320" s="16">
        <f t="shared" si="103"/>
        <v>3.9528432732316252E-2</v>
      </c>
      <c r="J1320" s="16">
        <f t="shared" si="104"/>
        <v>1.0395284327323162</v>
      </c>
      <c r="K1320" s="16">
        <f t="shared" si="105"/>
        <v>45.313157894736847</v>
      </c>
      <c r="L1320" s="16">
        <f t="shared" si="101"/>
        <v>45.54591836734695</v>
      </c>
      <c r="M1320" s="25" t="str">
        <f t="shared" si="102"/>
        <v>HOLD</v>
      </c>
    </row>
    <row r="1321" spans="2:13">
      <c r="B1321" s="3">
        <v>43970</v>
      </c>
      <c r="C1321" s="5">
        <v>44.54</v>
      </c>
      <c r="D1321" s="5">
        <v>45.01</v>
      </c>
      <c r="E1321" s="5">
        <v>45.33</v>
      </c>
      <c r="F1321" s="5">
        <v>44.25</v>
      </c>
      <c r="G1321" s="18" t="s">
        <v>844</v>
      </c>
      <c r="H1321" s="2">
        <v>-9.5999999999999992E-3</v>
      </c>
      <c r="I1321" s="16">
        <f t="shared" si="103"/>
        <v>-9.5619301756726654E-3</v>
      </c>
      <c r="J1321" s="16">
        <f t="shared" si="104"/>
        <v>0.99043806982432736</v>
      </c>
      <c r="K1321" s="16">
        <f t="shared" si="105"/>
        <v>45.291578947368421</v>
      </c>
      <c r="L1321" s="16">
        <f t="shared" si="101"/>
        <v>45.40530612244897</v>
      </c>
      <c r="M1321" s="25" t="str">
        <f t="shared" si="102"/>
        <v>HOLD</v>
      </c>
    </row>
    <row r="1322" spans="2:13">
      <c r="B1322" s="3">
        <v>43971</v>
      </c>
      <c r="C1322" s="5">
        <v>45.89</v>
      </c>
      <c r="D1322" s="5">
        <v>45.2</v>
      </c>
      <c r="E1322" s="5">
        <v>46.17</v>
      </c>
      <c r="F1322" s="5">
        <v>45.02</v>
      </c>
      <c r="G1322" s="18" t="s">
        <v>843</v>
      </c>
      <c r="H1322" s="2">
        <v>3.0300000000000001E-2</v>
      </c>
      <c r="I1322" s="16">
        <f t="shared" si="103"/>
        <v>3.0309833857207036E-2</v>
      </c>
      <c r="J1322" s="16">
        <f t="shared" si="104"/>
        <v>1.030309833857207</v>
      </c>
      <c r="K1322" s="16">
        <f t="shared" si="105"/>
        <v>45.231578947368426</v>
      </c>
      <c r="L1322" s="16">
        <f t="shared" si="101"/>
        <v>45.219183673469381</v>
      </c>
      <c r="M1322" s="25" t="str">
        <f t="shared" si="102"/>
        <v>BUY</v>
      </c>
    </row>
    <row r="1323" spans="2:13">
      <c r="B1323" s="3">
        <v>43972</v>
      </c>
      <c r="C1323" s="5">
        <v>45.17</v>
      </c>
      <c r="D1323" s="5">
        <v>46.08</v>
      </c>
      <c r="E1323" s="5">
        <v>46.09</v>
      </c>
      <c r="F1323" s="5">
        <v>45.03</v>
      </c>
      <c r="G1323" s="18" t="s">
        <v>784</v>
      </c>
      <c r="H1323" s="2">
        <v>-1.5699999999999999E-2</v>
      </c>
      <c r="I1323" s="16">
        <f t="shared" si="103"/>
        <v>-1.5689692743517083E-2</v>
      </c>
      <c r="J1323" s="16">
        <f t="shared" si="104"/>
        <v>0.98431030725648294</v>
      </c>
      <c r="K1323" s="16">
        <f t="shared" si="105"/>
        <v>45.27473684210527</v>
      </c>
      <c r="L1323" s="16">
        <f t="shared" si="101"/>
        <v>45.090204081632642</v>
      </c>
      <c r="M1323" s="25" t="str">
        <f t="shared" si="102"/>
        <v>HOLD</v>
      </c>
    </row>
    <row r="1324" spans="2:13">
      <c r="B1324" s="3">
        <v>43973</v>
      </c>
      <c r="C1324" s="5">
        <v>45.03</v>
      </c>
      <c r="D1324" s="5">
        <v>45.22</v>
      </c>
      <c r="E1324" s="5">
        <v>45.3</v>
      </c>
      <c r="F1324" s="5">
        <v>44.65</v>
      </c>
      <c r="G1324" s="18" t="s">
        <v>51</v>
      </c>
      <c r="H1324" s="2">
        <v>-3.0999999999999999E-3</v>
      </c>
      <c r="I1324" s="16">
        <f t="shared" si="103"/>
        <v>-3.0994022581359434E-3</v>
      </c>
      <c r="J1324" s="16">
        <f t="shared" si="104"/>
        <v>0.99690059774186401</v>
      </c>
      <c r="K1324" s="16">
        <f t="shared" si="105"/>
        <v>45.261052631578949</v>
      </c>
      <c r="L1324" s="16">
        <f t="shared" si="101"/>
        <v>45.049591836734692</v>
      </c>
      <c r="M1324" s="25" t="str">
        <f t="shared" si="102"/>
        <v>HOLD</v>
      </c>
    </row>
    <row r="1325" spans="2:13">
      <c r="B1325" s="3">
        <v>43977</v>
      </c>
      <c r="C1325" s="5">
        <v>46.09</v>
      </c>
      <c r="D1325" s="5">
        <v>46.92</v>
      </c>
      <c r="E1325" s="5">
        <v>46.93</v>
      </c>
      <c r="F1325" s="5">
        <v>45.93</v>
      </c>
      <c r="G1325" s="18" t="s">
        <v>842</v>
      </c>
      <c r="H1325" s="2">
        <v>2.35E-2</v>
      </c>
      <c r="I1325" s="16">
        <f t="shared" si="103"/>
        <v>2.3539862314012932E-2</v>
      </c>
      <c r="J1325" s="16">
        <f t="shared" si="104"/>
        <v>1.0235398623140128</v>
      </c>
      <c r="K1325" s="16">
        <f t="shared" si="105"/>
        <v>45.168947368421051</v>
      </c>
      <c r="L1325" s="16">
        <f t="shared" si="101"/>
        <v>44.979387755102046</v>
      </c>
      <c r="M1325" s="25" t="str">
        <f t="shared" si="102"/>
        <v>HOLD</v>
      </c>
    </row>
    <row r="1326" spans="2:13">
      <c r="B1326" s="3">
        <v>43978</v>
      </c>
      <c r="C1326" s="5">
        <v>46.73</v>
      </c>
      <c r="D1326" s="5">
        <v>47</v>
      </c>
      <c r="E1326" s="5">
        <v>47.09</v>
      </c>
      <c r="F1326" s="5">
        <v>46.16</v>
      </c>
      <c r="G1326" s="18" t="s">
        <v>841</v>
      </c>
      <c r="H1326" s="2">
        <v>1.3899999999999999E-2</v>
      </c>
      <c r="I1326" s="16">
        <f t="shared" si="103"/>
        <v>1.3885875461054315E-2</v>
      </c>
      <c r="J1326" s="16">
        <f t="shared" si="104"/>
        <v>1.0138858754610542</v>
      </c>
      <c r="K1326" s="16">
        <f t="shared" si="105"/>
        <v>45.134736842105262</v>
      </c>
      <c r="L1326" s="16">
        <f t="shared" si="101"/>
        <v>44.996326530612258</v>
      </c>
      <c r="M1326" s="25" t="str">
        <f t="shared" si="102"/>
        <v>HOLD</v>
      </c>
    </row>
    <row r="1327" spans="2:13">
      <c r="B1327" s="3">
        <v>43979</v>
      </c>
      <c r="C1327" s="5">
        <v>47.09</v>
      </c>
      <c r="D1327" s="5">
        <v>47.3</v>
      </c>
      <c r="E1327" s="5">
        <v>47.46</v>
      </c>
      <c r="F1327" s="5">
        <v>46.82</v>
      </c>
      <c r="G1327" s="18" t="s">
        <v>306</v>
      </c>
      <c r="H1327" s="2">
        <v>7.7000000000000002E-3</v>
      </c>
      <c r="I1327" s="16">
        <f t="shared" si="103"/>
        <v>7.7038305157287948E-3</v>
      </c>
      <c r="J1327" s="16">
        <f t="shared" si="104"/>
        <v>1.0077038305157289</v>
      </c>
      <c r="K1327" s="16">
        <f t="shared" si="105"/>
        <v>45.114210526315787</v>
      </c>
      <c r="L1327" s="16">
        <f t="shared" si="101"/>
        <v>44.987142857142864</v>
      </c>
      <c r="M1327" s="25" t="str">
        <f t="shared" si="102"/>
        <v>HOLD</v>
      </c>
    </row>
    <row r="1328" spans="2:13">
      <c r="B1328" s="3">
        <v>43980</v>
      </c>
      <c r="C1328" s="5">
        <v>46.68</v>
      </c>
      <c r="D1328" s="5">
        <v>46.68</v>
      </c>
      <c r="E1328" s="5">
        <v>47.19</v>
      </c>
      <c r="F1328" s="5">
        <v>46.14</v>
      </c>
      <c r="G1328" s="18" t="s">
        <v>840</v>
      </c>
      <c r="H1328" s="2">
        <v>-8.6999999999999994E-3</v>
      </c>
      <c r="I1328" s="16">
        <f t="shared" si="103"/>
        <v>-8.7067317901890779E-3</v>
      </c>
      <c r="J1328" s="16">
        <f t="shared" si="104"/>
        <v>0.9912932682098109</v>
      </c>
      <c r="K1328" s="16">
        <f t="shared" si="105"/>
        <v>45.177368421052634</v>
      </c>
      <c r="L1328" s="16">
        <f t="shared" si="101"/>
        <v>45.032857142857154</v>
      </c>
      <c r="M1328" s="25" t="str">
        <f t="shared" si="102"/>
        <v>HOLD</v>
      </c>
    </row>
    <row r="1329" spans="2:13">
      <c r="B1329" s="3">
        <v>43983</v>
      </c>
      <c r="C1329" s="5">
        <v>46.99</v>
      </c>
      <c r="D1329" s="5">
        <v>46.66</v>
      </c>
      <c r="E1329" s="5">
        <v>47.23</v>
      </c>
      <c r="F1329" s="5">
        <v>46.59</v>
      </c>
      <c r="G1329" s="18" t="s">
        <v>707</v>
      </c>
      <c r="H1329" s="2">
        <v>6.6E-3</v>
      </c>
      <c r="I1329" s="16">
        <f t="shared" si="103"/>
        <v>6.6409597257926795E-3</v>
      </c>
      <c r="J1329" s="16">
        <f t="shared" si="104"/>
        <v>1.0066409597257926</v>
      </c>
      <c r="K1329" s="16">
        <f t="shared" si="105"/>
        <v>45.234210526315785</v>
      </c>
      <c r="L1329" s="16">
        <f t="shared" si="101"/>
        <v>45.131836734693877</v>
      </c>
      <c r="M1329" s="25" t="str">
        <f t="shared" si="102"/>
        <v>HOLD</v>
      </c>
    </row>
    <row r="1330" spans="2:13">
      <c r="B1330" s="3">
        <v>43984</v>
      </c>
      <c r="C1330" s="5">
        <v>46.9</v>
      </c>
      <c r="D1330" s="5">
        <v>47.16</v>
      </c>
      <c r="E1330" s="5">
        <v>47.28</v>
      </c>
      <c r="F1330" s="5">
        <v>46.56</v>
      </c>
      <c r="G1330" s="18" t="s">
        <v>223</v>
      </c>
      <c r="H1330" s="2">
        <v>-1.9E-3</v>
      </c>
      <c r="I1330" s="16">
        <f t="shared" si="103"/>
        <v>-1.9153011278996257E-3</v>
      </c>
      <c r="J1330" s="16">
        <f t="shared" si="104"/>
        <v>0.99808469887210038</v>
      </c>
      <c r="K1330" s="16">
        <f t="shared" si="105"/>
        <v>45.331578947368428</v>
      </c>
      <c r="L1330" s="16">
        <f t="shared" si="101"/>
        <v>45.309183673469377</v>
      </c>
      <c r="M1330" s="25" t="str">
        <f t="shared" si="102"/>
        <v>HOLD</v>
      </c>
    </row>
    <row r="1331" spans="2:13">
      <c r="B1331" s="3">
        <v>43985</v>
      </c>
      <c r="C1331" s="5">
        <v>47.9</v>
      </c>
      <c r="D1331" s="5">
        <v>47.27</v>
      </c>
      <c r="E1331" s="5">
        <v>48.12</v>
      </c>
      <c r="F1331" s="5">
        <v>47.12</v>
      </c>
      <c r="G1331" s="18" t="s">
        <v>540</v>
      </c>
      <c r="H1331" s="2">
        <v>2.1299999999999999E-2</v>
      </c>
      <c r="I1331" s="16">
        <f t="shared" si="103"/>
        <v>2.1321961620469083E-2</v>
      </c>
      <c r="J1331" s="16">
        <f t="shared" si="104"/>
        <v>1.0213219616204692</v>
      </c>
      <c r="K1331" s="16">
        <f t="shared" si="105"/>
        <v>45.410526315789468</v>
      </c>
      <c r="L1331" s="16">
        <f t="shared" si="101"/>
        <v>45.499795918367333</v>
      </c>
      <c r="M1331" s="25" t="str">
        <f t="shared" si="102"/>
        <v>SELL</v>
      </c>
    </row>
    <row r="1332" spans="2:13">
      <c r="B1332" s="3">
        <v>43986</v>
      </c>
      <c r="C1332" s="5">
        <v>47.92</v>
      </c>
      <c r="D1332" s="5">
        <v>47.94</v>
      </c>
      <c r="E1332" s="5">
        <v>48.27</v>
      </c>
      <c r="F1332" s="5">
        <v>47.38</v>
      </c>
      <c r="G1332" s="18" t="s">
        <v>318</v>
      </c>
      <c r="H1332" s="2">
        <v>4.0000000000000002E-4</v>
      </c>
      <c r="I1332" s="16">
        <f t="shared" si="103"/>
        <v>4.1753653444682938E-4</v>
      </c>
      <c r="J1332" s="16">
        <f t="shared" si="104"/>
        <v>1.0004175365344468</v>
      </c>
      <c r="K1332" s="16">
        <f t="shared" si="105"/>
        <v>45.576315789473682</v>
      </c>
      <c r="L1332" s="16">
        <f t="shared" si="101"/>
        <v>45.672244897959175</v>
      </c>
      <c r="M1332" s="25" t="str">
        <f t="shared" si="102"/>
        <v>HOLD</v>
      </c>
    </row>
    <row r="1333" spans="2:13">
      <c r="B1333" s="3">
        <v>43987</v>
      </c>
      <c r="C1333" s="5">
        <v>49.09</v>
      </c>
      <c r="D1333" s="5">
        <v>48.54</v>
      </c>
      <c r="E1333" s="5">
        <v>49.49</v>
      </c>
      <c r="F1333" s="5">
        <v>48.46</v>
      </c>
      <c r="G1333" s="18" t="s">
        <v>839</v>
      </c>
      <c r="H1333" s="2">
        <v>2.4400000000000002E-2</v>
      </c>
      <c r="I1333" s="16">
        <f t="shared" si="103"/>
        <v>2.4415692821368983E-2</v>
      </c>
      <c r="J1333" s="16">
        <f t="shared" si="104"/>
        <v>1.024415692821369</v>
      </c>
      <c r="K1333" s="16">
        <f t="shared" si="105"/>
        <v>45.751052631578943</v>
      </c>
      <c r="L1333" s="16">
        <f t="shared" si="101"/>
        <v>45.801020408163254</v>
      </c>
      <c r="M1333" s="25" t="str">
        <f t="shared" si="102"/>
        <v>HOLD</v>
      </c>
    </row>
    <row r="1334" spans="2:13">
      <c r="B1334" s="3">
        <v>43990</v>
      </c>
      <c r="C1334" s="5">
        <v>49.85</v>
      </c>
      <c r="D1334" s="5">
        <v>49.54</v>
      </c>
      <c r="E1334" s="5">
        <v>49.97</v>
      </c>
      <c r="F1334" s="5">
        <v>49.47</v>
      </c>
      <c r="G1334" s="18" t="s">
        <v>838</v>
      </c>
      <c r="H1334" s="2">
        <v>1.55E-2</v>
      </c>
      <c r="I1334" s="16">
        <f t="shared" si="103"/>
        <v>1.5481768180892197E-2</v>
      </c>
      <c r="J1334" s="16">
        <f t="shared" si="104"/>
        <v>1.0154817681808923</v>
      </c>
      <c r="K1334" s="16">
        <f t="shared" si="105"/>
        <v>45.907894736842103</v>
      </c>
      <c r="L1334" s="16">
        <f t="shared" si="101"/>
        <v>45.898979591836735</v>
      </c>
      <c r="M1334" s="25" t="str">
        <f t="shared" si="102"/>
        <v>BUY</v>
      </c>
    </row>
    <row r="1335" spans="2:13">
      <c r="B1335" s="3">
        <v>43991</v>
      </c>
      <c r="C1335" s="5">
        <v>49</v>
      </c>
      <c r="D1335" s="5">
        <v>49.59</v>
      </c>
      <c r="E1335" s="5">
        <v>49.59</v>
      </c>
      <c r="F1335" s="5">
        <v>48.68</v>
      </c>
      <c r="G1335" s="18" t="s">
        <v>827</v>
      </c>
      <c r="H1335" s="2">
        <v>-1.7100000000000001E-2</v>
      </c>
      <c r="I1335" s="16">
        <f t="shared" si="103"/>
        <v>-1.705115346038117E-2</v>
      </c>
      <c r="J1335" s="16">
        <f t="shared" si="104"/>
        <v>0.98294884653961878</v>
      </c>
      <c r="K1335" s="16">
        <f t="shared" si="105"/>
        <v>46.134736842105262</v>
      </c>
      <c r="L1335" s="16">
        <f t="shared" si="101"/>
        <v>46.042653061224492</v>
      </c>
      <c r="M1335" s="25" t="str">
        <f t="shared" si="102"/>
        <v>HOLD</v>
      </c>
    </row>
    <row r="1336" spans="2:13">
      <c r="B1336" s="3">
        <v>43992</v>
      </c>
      <c r="C1336" s="5">
        <v>48.62</v>
      </c>
      <c r="D1336" s="5">
        <v>49.16</v>
      </c>
      <c r="E1336" s="5">
        <v>49.27</v>
      </c>
      <c r="F1336" s="5">
        <v>48.57</v>
      </c>
      <c r="G1336" s="18" t="s">
        <v>582</v>
      </c>
      <c r="H1336" s="2">
        <v>-7.7999999999999996E-3</v>
      </c>
      <c r="I1336" s="16">
        <f t="shared" si="103"/>
        <v>-7.7551020408163788E-3</v>
      </c>
      <c r="J1336" s="16">
        <f t="shared" si="104"/>
        <v>0.99224489795918358</v>
      </c>
      <c r="K1336" s="16">
        <f t="shared" si="105"/>
        <v>46.354736842105261</v>
      </c>
      <c r="L1336" s="16">
        <f t="shared" si="101"/>
        <v>46.124285714285719</v>
      </c>
      <c r="M1336" s="25" t="str">
        <f t="shared" si="102"/>
        <v>HOLD</v>
      </c>
    </row>
    <row r="1337" spans="2:13">
      <c r="B1337" s="3">
        <v>43993</v>
      </c>
      <c r="C1337" s="5">
        <v>45.54</v>
      </c>
      <c r="D1337" s="5">
        <v>47.81</v>
      </c>
      <c r="E1337" s="5">
        <v>47.92</v>
      </c>
      <c r="F1337" s="5">
        <v>45.46</v>
      </c>
      <c r="G1337" s="18" t="s">
        <v>837</v>
      </c>
      <c r="H1337" s="2">
        <v>-6.3299999999999995E-2</v>
      </c>
      <c r="I1337" s="16">
        <f t="shared" si="103"/>
        <v>-6.3348416289592729E-2</v>
      </c>
      <c r="J1337" s="16">
        <f t="shared" si="104"/>
        <v>0.93665158371040724</v>
      </c>
      <c r="K1337" s="16">
        <f t="shared" si="105"/>
        <v>46.601052631578952</v>
      </c>
      <c r="L1337" s="16">
        <f t="shared" ref="L1337:L1400" si="106">AVERAGE(C1288:C1336)</f>
        <v>46.213469387755104</v>
      </c>
      <c r="M1337" s="25" t="str">
        <f t="shared" ref="M1337:M1400" si="107">IF(AND(K1337&gt;L1337,K1336&lt;=L1336),"BUY",IF(AND(K1337&lt;L1337,K1336&gt;=L1336),"SELL","HOLD"))</f>
        <v>HOLD</v>
      </c>
    </row>
    <row r="1338" spans="2:13">
      <c r="B1338" s="3">
        <v>43994</v>
      </c>
      <c r="C1338" s="5">
        <v>45.6</v>
      </c>
      <c r="D1338" s="5">
        <v>46.21</v>
      </c>
      <c r="E1338" s="5">
        <v>46.25</v>
      </c>
      <c r="F1338" s="5">
        <v>45.01</v>
      </c>
      <c r="G1338" s="18" t="s">
        <v>836</v>
      </c>
      <c r="H1338" s="2">
        <v>1.2999999999999999E-3</v>
      </c>
      <c r="I1338" s="16">
        <f t="shared" si="103"/>
        <v>1.3175230566535414E-3</v>
      </c>
      <c r="J1338" s="16">
        <f t="shared" si="104"/>
        <v>1.0013175230566536</v>
      </c>
      <c r="K1338" s="16">
        <f t="shared" si="105"/>
        <v>46.697894736842109</v>
      </c>
      <c r="L1338" s="16">
        <f t="shared" si="106"/>
        <v>46.283265306122452</v>
      </c>
      <c r="M1338" s="25" t="str">
        <f t="shared" si="107"/>
        <v>HOLD</v>
      </c>
    </row>
    <row r="1339" spans="2:13">
      <c r="B1339" s="3">
        <v>43997</v>
      </c>
      <c r="C1339" s="5">
        <v>46.3</v>
      </c>
      <c r="D1339" s="5">
        <v>44.57</v>
      </c>
      <c r="E1339" s="5">
        <v>46.45</v>
      </c>
      <c r="F1339" s="5">
        <v>44.47</v>
      </c>
      <c r="G1339" s="18" t="s">
        <v>387</v>
      </c>
      <c r="H1339" s="2">
        <v>1.54E-2</v>
      </c>
      <c r="I1339" s="16">
        <f t="shared" si="103"/>
        <v>1.5350877192982362E-2</v>
      </c>
      <c r="J1339" s="16">
        <f t="shared" si="104"/>
        <v>1.0153508771929824</v>
      </c>
      <c r="K1339" s="16">
        <f t="shared" si="105"/>
        <v>46.821052631578951</v>
      </c>
      <c r="L1339" s="16">
        <f t="shared" si="106"/>
        <v>46.316938775510202</v>
      </c>
      <c r="M1339" s="25" t="str">
        <f t="shared" si="107"/>
        <v>HOLD</v>
      </c>
    </row>
    <row r="1340" spans="2:13">
      <c r="B1340" s="3">
        <v>43998</v>
      </c>
      <c r="C1340" s="5">
        <v>46.77</v>
      </c>
      <c r="D1340" s="5">
        <v>47.56</v>
      </c>
      <c r="E1340" s="5">
        <v>47.69</v>
      </c>
      <c r="F1340" s="5">
        <v>46.19</v>
      </c>
      <c r="G1340" s="18" t="s">
        <v>835</v>
      </c>
      <c r="H1340" s="2">
        <v>1.0200000000000001E-2</v>
      </c>
      <c r="I1340" s="16">
        <f t="shared" si="103"/>
        <v>1.0151187904967732E-2</v>
      </c>
      <c r="J1340" s="16">
        <f t="shared" si="104"/>
        <v>1.0101511879049678</v>
      </c>
      <c r="K1340" s="16">
        <f t="shared" si="105"/>
        <v>46.891052631578951</v>
      </c>
      <c r="L1340" s="16">
        <f t="shared" si="106"/>
        <v>46.367346938775512</v>
      </c>
      <c r="M1340" s="25" t="str">
        <f t="shared" si="107"/>
        <v>HOLD</v>
      </c>
    </row>
    <row r="1341" spans="2:13">
      <c r="B1341" s="3">
        <v>43999</v>
      </c>
      <c r="C1341" s="5">
        <v>46.58</v>
      </c>
      <c r="D1341" s="5">
        <v>46.78</v>
      </c>
      <c r="E1341" s="5">
        <v>47.06</v>
      </c>
      <c r="F1341" s="5">
        <v>46.44</v>
      </c>
      <c r="G1341" s="18" t="s">
        <v>368</v>
      </c>
      <c r="H1341" s="2">
        <v>-4.1000000000000003E-3</v>
      </c>
      <c r="I1341" s="16">
        <f t="shared" si="103"/>
        <v>-4.0624331836648453E-3</v>
      </c>
      <c r="J1341" s="16">
        <f t="shared" si="104"/>
        <v>0.99593756681633516</v>
      </c>
      <c r="K1341" s="16">
        <f t="shared" si="105"/>
        <v>47.008421052631576</v>
      </c>
      <c r="L1341" s="16">
        <f t="shared" si="106"/>
        <v>46.369387755102039</v>
      </c>
      <c r="M1341" s="25" t="str">
        <f t="shared" si="107"/>
        <v>HOLD</v>
      </c>
    </row>
    <row r="1342" spans="2:13">
      <c r="B1342" s="3">
        <v>44000</v>
      </c>
      <c r="C1342" s="5">
        <v>46.99</v>
      </c>
      <c r="D1342" s="5">
        <v>46.3</v>
      </c>
      <c r="E1342" s="5">
        <v>47.04</v>
      </c>
      <c r="F1342" s="5">
        <v>46.07</v>
      </c>
      <c r="G1342" s="18" t="s">
        <v>834</v>
      </c>
      <c r="H1342" s="2">
        <v>8.8000000000000005E-3</v>
      </c>
      <c r="I1342" s="16">
        <f t="shared" si="103"/>
        <v>8.8020609703736308E-3</v>
      </c>
      <c r="J1342" s="16">
        <f t="shared" si="104"/>
        <v>1.0088020609703736</v>
      </c>
      <c r="K1342" s="16">
        <f t="shared" si="105"/>
        <v>47.044736842105266</v>
      </c>
      <c r="L1342" s="16">
        <f t="shared" si="106"/>
        <v>46.370816326530615</v>
      </c>
      <c r="M1342" s="25" t="str">
        <f t="shared" si="107"/>
        <v>HOLD</v>
      </c>
    </row>
    <row r="1343" spans="2:13">
      <c r="B1343" s="3">
        <v>44001</v>
      </c>
      <c r="C1343" s="5">
        <v>46.02</v>
      </c>
      <c r="D1343" s="5">
        <v>47.77</v>
      </c>
      <c r="E1343" s="5">
        <v>47.79</v>
      </c>
      <c r="F1343" s="5">
        <v>46.02</v>
      </c>
      <c r="G1343" s="18" t="s">
        <v>468</v>
      </c>
      <c r="H1343" s="2">
        <v>-2.06E-2</v>
      </c>
      <c r="I1343" s="16">
        <f t="shared" si="103"/>
        <v>-2.0642689934028492E-2</v>
      </c>
      <c r="J1343" s="16">
        <f t="shared" si="104"/>
        <v>0.97935731006597149</v>
      </c>
      <c r="K1343" s="16">
        <f t="shared" si="105"/>
        <v>47.140526315789472</v>
      </c>
      <c r="L1343" s="16">
        <f t="shared" si="106"/>
        <v>46.353877551020403</v>
      </c>
      <c r="M1343" s="25" t="str">
        <f t="shared" si="107"/>
        <v>HOLD</v>
      </c>
    </row>
    <row r="1344" spans="2:13">
      <c r="B1344" s="3">
        <v>44004</v>
      </c>
      <c r="C1344" s="5">
        <v>45.74</v>
      </c>
      <c r="D1344" s="5">
        <v>46.03</v>
      </c>
      <c r="E1344" s="5">
        <v>46.15</v>
      </c>
      <c r="F1344" s="5">
        <v>45.38</v>
      </c>
      <c r="G1344" s="18" t="s">
        <v>633</v>
      </c>
      <c r="H1344" s="2">
        <v>-6.1000000000000004E-3</v>
      </c>
      <c r="I1344" s="16">
        <f t="shared" si="103"/>
        <v>-6.0843111690569562E-3</v>
      </c>
      <c r="J1344" s="16">
        <f t="shared" si="104"/>
        <v>0.99391568883094306</v>
      </c>
      <c r="K1344" s="16">
        <f t="shared" si="105"/>
        <v>47.192631578947363</v>
      </c>
      <c r="L1344" s="16">
        <f t="shared" si="106"/>
        <v>46.29306122448979</v>
      </c>
      <c r="M1344" s="25" t="str">
        <f t="shared" si="107"/>
        <v>HOLD</v>
      </c>
    </row>
    <row r="1345" spans="2:13">
      <c r="B1345" s="3">
        <v>44005</v>
      </c>
      <c r="C1345" s="5">
        <v>45.64</v>
      </c>
      <c r="D1345" s="5">
        <v>46</v>
      </c>
      <c r="E1345" s="5">
        <v>46.29</v>
      </c>
      <c r="F1345" s="5">
        <v>45.58</v>
      </c>
      <c r="G1345" s="18" t="s">
        <v>833</v>
      </c>
      <c r="H1345" s="2">
        <v>-2.2000000000000001E-3</v>
      </c>
      <c r="I1345" s="16">
        <f t="shared" si="103"/>
        <v>-2.1862702229995938E-3</v>
      </c>
      <c r="J1345" s="16">
        <f t="shared" si="104"/>
        <v>0.99781372977700045</v>
      </c>
      <c r="K1345" s="16">
        <f t="shared" si="105"/>
        <v>47.17421052631579</v>
      </c>
      <c r="L1345" s="16">
        <f t="shared" si="106"/>
        <v>46.268775510204073</v>
      </c>
      <c r="M1345" s="25" t="str">
        <f t="shared" si="107"/>
        <v>HOLD</v>
      </c>
    </row>
    <row r="1346" spans="2:13">
      <c r="B1346" s="3">
        <v>44006</v>
      </c>
      <c r="C1346" s="5">
        <v>44.65</v>
      </c>
      <c r="D1346" s="5">
        <v>45.37</v>
      </c>
      <c r="E1346" s="5">
        <v>45.44</v>
      </c>
      <c r="F1346" s="5">
        <v>44.5</v>
      </c>
      <c r="G1346" s="18" t="s">
        <v>332</v>
      </c>
      <c r="H1346" s="2">
        <v>-2.1700000000000001E-2</v>
      </c>
      <c r="I1346" s="16">
        <f t="shared" si="103"/>
        <v>-2.1691498685363759E-2</v>
      </c>
      <c r="J1346" s="16">
        <f t="shared" si="104"/>
        <v>0.9783085013146362</v>
      </c>
      <c r="K1346" s="16">
        <f t="shared" si="105"/>
        <v>47.11684210526316</v>
      </c>
      <c r="L1346" s="16">
        <f t="shared" si="106"/>
        <v>46.201836734693863</v>
      </c>
      <c r="M1346" s="25" t="str">
        <f t="shared" si="107"/>
        <v>HOLD</v>
      </c>
    </row>
    <row r="1347" spans="2:13">
      <c r="B1347" s="3">
        <v>44007</v>
      </c>
      <c r="C1347" s="5">
        <v>44.93</v>
      </c>
      <c r="D1347" s="5">
        <v>44.47</v>
      </c>
      <c r="E1347" s="5">
        <v>44.98</v>
      </c>
      <c r="F1347" s="5">
        <v>44.03</v>
      </c>
      <c r="G1347" s="18" t="s">
        <v>832</v>
      </c>
      <c r="H1347" s="2">
        <v>6.3E-3</v>
      </c>
      <c r="I1347" s="16">
        <f t="shared" si="103"/>
        <v>6.2709966405375397E-3</v>
      </c>
      <c r="J1347" s="16">
        <f t="shared" si="104"/>
        <v>1.0062709966405374</v>
      </c>
      <c r="K1347" s="16">
        <f t="shared" si="105"/>
        <v>46.98842105263158</v>
      </c>
      <c r="L1347" s="16">
        <f t="shared" si="106"/>
        <v>46.141428571428555</v>
      </c>
      <c r="M1347" s="25" t="str">
        <f t="shared" si="107"/>
        <v>HOLD</v>
      </c>
    </row>
    <row r="1348" spans="2:13">
      <c r="B1348" s="3">
        <v>44008</v>
      </c>
      <c r="C1348" s="5">
        <v>43.57</v>
      </c>
      <c r="D1348" s="5">
        <v>44.92</v>
      </c>
      <c r="E1348" s="5">
        <v>45.01</v>
      </c>
      <c r="F1348" s="5">
        <v>43.51</v>
      </c>
      <c r="G1348" s="18" t="s">
        <v>422</v>
      </c>
      <c r="H1348" s="2">
        <v>-3.0300000000000001E-2</v>
      </c>
      <c r="I1348" s="16">
        <f t="shared" si="103"/>
        <v>-3.0269307812152223E-2</v>
      </c>
      <c r="J1348" s="16">
        <f t="shared" si="104"/>
        <v>0.9697306921878478</v>
      </c>
      <c r="K1348" s="16">
        <f t="shared" si="105"/>
        <v>46.896315789473682</v>
      </c>
      <c r="L1348" s="16">
        <f t="shared" si="106"/>
        <v>46.097142857142842</v>
      </c>
      <c r="M1348" s="25" t="str">
        <f t="shared" si="107"/>
        <v>HOLD</v>
      </c>
    </row>
    <row r="1349" spans="2:13">
      <c r="B1349" s="3">
        <v>44011</v>
      </c>
      <c r="C1349" s="5">
        <v>44.36</v>
      </c>
      <c r="D1349" s="5">
        <v>44</v>
      </c>
      <c r="E1349" s="5">
        <v>44.57</v>
      </c>
      <c r="F1349" s="5">
        <v>43.55</v>
      </c>
      <c r="G1349" s="18" t="s">
        <v>743</v>
      </c>
      <c r="H1349" s="2">
        <v>1.8100000000000002E-2</v>
      </c>
      <c r="I1349" s="16">
        <f t="shared" si="103"/>
        <v>1.8131742024328646E-2</v>
      </c>
      <c r="J1349" s="16">
        <f t="shared" si="104"/>
        <v>1.0181317420243285</v>
      </c>
      <c r="K1349" s="16">
        <f t="shared" si="105"/>
        <v>46.716315789473683</v>
      </c>
      <c r="L1349" s="16">
        <f t="shared" si="106"/>
        <v>46.005510204081624</v>
      </c>
      <c r="M1349" s="25" t="str">
        <f t="shared" si="107"/>
        <v>HOLD</v>
      </c>
    </row>
    <row r="1350" spans="2:13">
      <c r="B1350" s="3">
        <v>44012</v>
      </c>
      <c r="C1350" s="5">
        <v>44.68</v>
      </c>
      <c r="D1350" s="5">
        <v>44.25</v>
      </c>
      <c r="E1350" s="5">
        <v>44.83</v>
      </c>
      <c r="F1350" s="5">
        <v>44.04</v>
      </c>
      <c r="G1350" s="18" t="s">
        <v>831</v>
      </c>
      <c r="H1350" s="2">
        <v>7.1999999999999998E-3</v>
      </c>
      <c r="I1350" s="16">
        <f t="shared" si="103"/>
        <v>7.2137060414788163E-3</v>
      </c>
      <c r="J1350" s="16">
        <f t="shared" si="104"/>
        <v>1.0072137060414788</v>
      </c>
      <c r="K1350" s="16">
        <f t="shared" si="105"/>
        <v>46.582631578947371</v>
      </c>
      <c r="L1350" s="16">
        <f t="shared" si="106"/>
        <v>45.961224489795917</v>
      </c>
      <c r="M1350" s="25" t="str">
        <f t="shared" si="107"/>
        <v>HOLD</v>
      </c>
    </row>
    <row r="1351" spans="2:13">
      <c r="B1351" s="3">
        <v>44013</v>
      </c>
      <c r="C1351" s="5">
        <v>44.82</v>
      </c>
      <c r="D1351" s="5">
        <v>44.93</v>
      </c>
      <c r="E1351" s="5">
        <v>45.53</v>
      </c>
      <c r="F1351" s="5">
        <v>44.71</v>
      </c>
      <c r="G1351" s="18" t="s">
        <v>213</v>
      </c>
      <c r="H1351" s="2">
        <v>3.0999999999999999E-3</v>
      </c>
      <c r="I1351" s="16">
        <f t="shared" si="103"/>
        <v>3.1333930170098605E-3</v>
      </c>
      <c r="J1351" s="16">
        <f t="shared" si="104"/>
        <v>1.0031333930170099</v>
      </c>
      <c r="K1351" s="16">
        <f t="shared" si="105"/>
        <v>46.413157894736834</v>
      </c>
      <c r="L1351" s="16">
        <f t="shared" si="106"/>
        <v>45.946938775510198</v>
      </c>
      <c r="M1351" s="25" t="str">
        <f t="shared" si="107"/>
        <v>HOLD</v>
      </c>
    </row>
    <row r="1352" spans="2:13">
      <c r="B1352" s="3">
        <v>44014</v>
      </c>
      <c r="C1352" s="5">
        <v>44.88</v>
      </c>
      <c r="D1352" s="5">
        <v>45.29</v>
      </c>
      <c r="E1352" s="5">
        <v>45.43</v>
      </c>
      <c r="F1352" s="5">
        <v>44.8</v>
      </c>
      <c r="G1352" s="18" t="s">
        <v>550</v>
      </c>
      <c r="H1352" s="2">
        <v>1.2999999999999999E-3</v>
      </c>
      <c r="I1352" s="16">
        <f t="shared" si="103"/>
        <v>1.3386880856760882E-3</v>
      </c>
      <c r="J1352" s="16">
        <f t="shared" si="104"/>
        <v>1.0013386880856761</v>
      </c>
      <c r="K1352" s="16">
        <f t="shared" si="105"/>
        <v>46.25</v>
      </c>
      <c r="L1352" s="16">
        <f t="shared" si="106"/>
        <v>45.929387755102042</v>
      </c>
      <c r="M1352" s="25" t="str">
        <f t="shared" si="107"/>
        <v>HOLD</v>
      </c>
    </row>
    <row r="1353" spans="2:13">
      <c r="B1353" s="3">
        <v>44018</v>
      </c>
      <c r="C1353" s="5">
        <v>45.23</v>
      </c>
      <c r="D1353" s="5">
        <v>45.14</v>
      </c>
      <c r="E1353" s="5">
        <v>45.27</v>
      </c>
      <c r="F1353" s="5">
        <v>44.6</v>
      </c>
      <c r="G1353" s="18" t="s">
        <v>830</v>
      </c>
      <c r="H1353" s="2">
        <v>7.7999999999999996E-3</v>
      </c>
      <c r="I1353" s="16">
        <f t="shared" ref="I1353:I1416" si="108">(C1353-C1352)/C1352</f>
        <v>7.7985739750444363E-3</v>
      </c>
      <c r="J1353" s="16">
        <f t="shared" ref="J1353:J1416" si="109">C1353/C1352</f>
        <v>1.0077985739750444</v>
      </c>
      <c r="K1353" s="16">
        <f t="shared" si="105"/>
        <v>46.028421052631572</v>
      </c>
      <c r="L1353" s="16">
        <f t="shared" si="106"/>
        <v>45.92551020408164</v>
      </c>
      <c r="M1353" s="25" t="str">
        <f t="shared" si="107"/>
        <v>HOLD</v>
      </c>
    </row>
    <row r="1354" spans="2:13">
      <c r="B1354" s="3">
        <v>44019</v>
      </c>
      <c r="C1354" s="5">
        <v>45.21</v>
      </c>
      <c r="D1354" s="5">
        <v>45</v>
      </c>
      <c r="E1354" s="5">
        <v>45.49</v>
      </c>
      <c r="F1354" s="5">
        <v>44.8</v>
      </c>
      <c r="G1354" s="18" t="s">
        <v>829</v>
      </c>
      <c r="H1354" s="2">
        <v>-4.0000000000000002E-4</v>
      </c>
      <c r="I1354" s="16">
        <f t="shared" si="108"/>
        <v>-4.4218439089091358E-4</v>
      </c>
      <c r="J1354" s="16">
        <f t="shared" si="109"/>
        <v>0.99955781560910906</v>
      </c>
      <c r="K1354" s="16">
        <f t="shared" si="105"/>
        <v>45.785263157894732</v>
      </c>
      <c r="L1354" s="16">
        <f t="shared" si="106"/>
        <v>45.921428571428571</v>
      </c>
      <c r="M1354" s="25" t="str">
        <f t="shared" si="107"/>
        <v>SELL</v>
      </c>
    </row>
    <row r="1355" spans="2:13">
      <c r="B1355" s="3">
        <v>44020</v>
      </c>
      <c r="C1355" s="5">
        <v>45.07</v>
      </c>
      <c r="D1355" s="5">
        <v>45.14</v>
      </c>
      <c r="E1355" s="5">
        <v>45.18</v>
      </c>
      <c r="F1355" s="5">
        <v>44.47</v>
      </c>
      <c r="G1355" s="18" t="s">
        <v>640</v>
      </c>
      <c r="H1355" s="2">
        <v>-3.0999999999999999E-3</v>
      </c>
      <c r="I1355" s="16">
        <f t="shared" si="108"/>
        <v>-3.0966600309666127E-3</v>
      </c>
      <c r="J1355" s="16">
        <f t="shared" si="109"/>
        <v>0.99690333996903335</v>
      </c>
      <c r="K1355" s="16">
        <f t="shared" si="105"/>
        <v>45.585789473684216</v>
      </c>
      <c r="L1355" s="16">
        <f t="shared" si="106"/>
        <v>45.889387755102049</v>
      </c>
      <c r="M1355" s="25" t="str">
        <f t="shared" si="107"/>
        <v>HOLD</v>
      </c>
    </row>
    <row r="1356" spans="2:13">
      <c r="B1356" s="3">
        <v>44021</v>
      </c>
      <c r="C1356" s="5">
        <v>43.91</v>
      </c>
      <c r="D1356" s="5">
        <v>45.05</v>
      </c>
      <c r="E1356" s="5">
        <v>45.05</v>
      </c>
      <c r="F1356" s="5">
        <v>43.83</v>
      </c>
      <c r="G1356" s="18" t="s">
        <v>828</v>
      </c>
      <c r="H1356" s="2">
        <v>-2.5700000000000001E-2</v>
      </c>
      <c r="I1356" s="16">
        <f t="shared" si="108"/>
        <v>-2.5737741291324688E-2</v>
      </c>
      <c r="J1356" s="16">
        <f t="shared" si="109"/>
        <v>0.97426225870867533</v>
      </c>
      <c r="K1356" s="16">
        <f t="shared" si="105"/>
        <v>45.398947368421062</v>
      </c>
      <c r="L1356" s="16">
        <f t="shared" si="106"/>
        <v>45.855306122448987</v>
      </c>
      <c r="M1356" s="25" t="str">
        <f t="shared" si="107"/>
        <v>HOLD</v>
      </c>
    </row>
    <row r="1357" spans="2:13">
      <c r="B1357" s="3">
        <v>44022</v>
      </c>
      <c r="C1357" s="5">
        <v>45.15</v>
      </c>
      <c r="D1357" s="5">
        <v>43.88</v>
      </c>
      <c r="E1357" s="5">
        <v>45.25</v>
      </c>
      <c r="F1357" s="5">
        <v>43.86</v>
      </c>
      <c r="G1357" s="18" t="s">
        <v>387</v>
      </c>
      <c r="H1357" s="2">
        <v>2.8199999999999999E-2</v>
      </c>
      <c r="I1357" s="16">
        <f t="shared" si="108"/>
        <v>2.8239580961056755E-2</v>
      </c>
      <c r="J1357" s="16">
        <f t="shared" si="109"/>
        <v>1.0282395809610567</v>
      </c>
      <c r="K1357" s="16">
        <f t="shared" si="105"/>
        <v>45.313157894736847</v>
      </c>
      <c r="L1357" s="16">
        <f t="shared" si="106"/>
        <v>45.789795918367346</v>
      </c>
      <c r="M1357" s="25" t="str">
        <f t="shared" si="107"/>
        <v>HOLD</v>
      </c>
    </row>
    <row r="1358" spans="2:13">
      <c r="B1358" s="3">
        <v>44025</v>
      </c>
      <c r="C1358" s="5">
        <v>45.25</v>
      </c>
      <c r="D1358" s="5">
        <v>45.53</v>
      </c>
      <c r="E1358" s="5">
        <v>45.67</v>
      </c>
      <c r="F1358" s="5">
        <v>44.96</v>
      </c>
      <c r="G1358" s="18" t="s">
        <v>827</v>
      </c>
      <c r="H1358" s="2">
        <v>2.2000000000000001E-3</v>
      </c>
      <c r="I1358" s="16">
        <f t="shared" si="108"/>
        <v>2.2148394241417813E-3</v>
      </c>
      <c r="J1358" s="16">
        <f t="shared" si="109"/>
        <v>1.0022148394241417</v>
      </c>
      <c r="K1358" s="16">
        <f t="shared" si="105"/>
        <v>45.289473684210527</v>
      </c>
      <c r="L1358" s="16">
        <f t="shared" si="106"/>
        <v>45.774693877551009</v>
      </c>
      <c r="M1358" s="25" t="str">
        <f t="shared" si="107"/>
        <v>HOLD</v>
      </c>
    </row>
    <row r="1359" spans="2:13">
      <c r="B1359" s="3">
        <v>44026</v>
      </c>
      <c r="C1359" s="5">
        <v>45.87</v>
      </c>
      <c r="D1359" s="5">
        <v>44.91</v>
      </c>
      <c r="E1359" s="5">
        <v>45.94</v>
      </c>
      <c r="F1359" s="5">
        <v>44.67</v>
      </c>
      <c r="G1359" s="18" t="s">
        <v>826</v>
      </c>
      <c r="H1359" s="2">
        <v>1.37E-2</v>
      </c>
      <c r="I1359" s="16">
        <f t="shared" si="108"/>
        <v>1.370165745856348E-2</v>
      </c>
      <c r="J1359" s="16">
        <f t="shared" si="109"/>
        <v>1.0137016574585636</v>
      </c>
      <c r="K1359" s="16">
        <f t="shared" si="105"/>
        <v>45.234210526315792</v>
      </c>
      <c r="L1359" s="16">
        <f t="shared" si="106"/>
        <v>45.767551020408156</v>
      </c>
      <c r="M1359" s="25" t="str">
        <f t="shared" si="107"/>
        <v>HOLD</v>
      </c>
    </row>
    <row r="1360" spans="2:13">
      <c r="B1360" s="3">
        <v>44027</v>
      </c>
      <c r="C1360" s="5">
        <v>46.4</v>
      </c>
      <c r="D1360" s="5">
        <v>46.3</v>
      </c>
      <c r="E1360" s="5">
        <v>47.19</v>
      </c>
      <c r="F1360" s="5">
        <v>46.2</v>
      </c>
      <c r="G1360" s="18" t="s">
        <v>825</v>
      </c>
      <c r="H1360" s="2">
        <v>1.1599999999999999E-2</v>
      </c>
      <c r="I1360" s="16">
        <f t="shared" si="108"/>
        <v>1.1554392849356904E-2</v>
      </c>
      <c r="J1360" s="16">
        <f t="shared" si="109"/>
        <v>1.0115543928493569</v>
      </c>
      <c r="K1360" s="16">
        <f t="shared" si="105"/>
        <v>45.18684210526316</v>
      </c>
      <c r="L1360" s="16">
        <f t="shared" si="106"/>
        <v>45.782448979591834</v>
      </c>
      <c r="M1360" s="25" t="str">
        <f t="shared" si="107"/>
        <v>HOLD</v>
      </c>
    </row>
    <row r="1361" spans="2:13">
      <c r="B1361" s="3">
        <v>44028</v>
      </c>
      <c r="C1361" s="5">
        <v>46.15</v>
      </c>
      <c r="D1361" s="5">
        <v>46.26</v>
      </c>
      <c r="E1361" s="5">
        <v>46.69</v>
      </c>
      <c r="F1361" s="5">
        <v>45.94</v>
      </c>
      <c r="G1361" s="18" t="s">
        <v>171</v>
      </c>
      <c r="H1361" s="2">
        <v>-5.4000000000000003E-3</v>
      </c>
      <c r="I1361" s="16">
        <f t="shared" si="108"/>
        <v>-5.387931034482759E-3</v>
      </c>
      <c r="J1361" s="16">
        <f t="shared" si="109"/>
        <v>0.99461206896551724</v>
      </c>
      <c r="K1361" s="16">
        <f t="shared" si="105"/>
        <v>45.177368421052634</v>
      </c>
      <c r="L1361" s="16">
        <f t="shared" si="106"/>
        <v>45.802857142857135</v>
      </c>
      <c r="M1361" s="25" t="str">
        <f t="shared" si="107"/>
        <v>HOLD</v>
      </c>
    </row>
    <row r="1362" spans="2:13">
      <c r="B1362" s="3">
        <v>44029</v>
      </c>
      <c r="C1362" s="5">
        <v>46.82</v>
      </c>
      <c r="D1362" s="5">
        <v>46.47</v>
      </c>
      <c r="E1362" s="5">
        <v>46.91</v>
      </c>
      <c r="F1362" s="5">
        <v>46.12</v>
      </c>
      <c r="G1362" s="18" t="s">
        <v>228</v>
      </c>
      <c r="H1362" s="2">
        <v>1.4500000000000001E-2</v>
      </c>
      <c r="I1362" s="16">
        <f t="shared" si="108"/>
        <v>1.4517876489707513E-2</v>
      </c>
      <c r="J1362" s="16">
        <f t="shared" si="109"/>
        <v>1.0145178764897076</v>
      </c>
      <c r="K1362" s="16">
        <f t="shared" si="105"/>
        <v>45.13315789473684</v>
      </c>
      <c r="L1362" s="16">
        <f t="shared" si="106"/>
        <v>45.831428571428567</v>
      </c>
      <c r="M1362" s="25" t="str">
        <f t="shared" si="107"/>
        <v>HOLD</v>
      </c>
    </row>
    <row r="1363" spans="2:13">
      <c r="B1363" s="3">
        <v>44032</v>
      </c>
      <c r="C1363" s="5">
        <v>46.12</v>
      </c>
      <c r="D1363" s="5">
        <v>46.72</v>
      </c>
      <c r="E1363" s="5">
        <v>46.83</v>
      </c>
      <c r="F1363" s="5">
        <v>45.85</v>
      </c>
      <c r="G1363" s="18" t="s">
        <v>824</v>
      </c>
      <c r="H1363" s="2">
        <v>-1.4999999999999999E-2</v>
      </c>
      <c r="I1363" s="16">
        <f t="shared" si="108"/>
        <v>-1.4950875694147861E-2</v>
      </c>
      <c r="J1363" s="16">
        <f t="shared" si="109"/>
        <v>0.98504912430585212</v>
      </c>
      <c r="K1363" s="16">
        <f t="shared" si="105"/>
        <v>45.175263157894733</v>
      </c>
      <c r="L1363" s="16">
        <f t="shared" si="106"/>
        <v>45.876734693877559</v>
      </c>
      <c r="M1363" s="25" t="str">
        <f t="shared" si="107"/>
        <v>HOLD</v>
      </c>
    </row>
    <row r="1364" spans="2:13">
      <c r="B1364" s="3">
        <v>44033</v>
      </c>
      <c r="C1364" s="5">
        <v>47.2</v>
      </c>
      <c r="D1364" s="5">
        <v>47.52</v>
      </c>
      <c r="E1364" s="5">
        <v>47.99</v>
      </c>
      <c r="F1364" s="5">
        <v>46.93</v>
      </c>
      <c r="G1364" s="18" t="s">
        <v>823</v>
      </c>
      <c r="H1364" s="2">
        <v>2.3400000000000001E-2</v>
      </c>
      <c r="I1364" s="16">
        <f t="shared" si="108"/>
        <v>2.3417172593235159E-2</v>
      </c>
      <c r="J1364" s="16">
        <f t="shared" si="109"/>
        <v>1.0234171725932351</v>
      </c>
      <c r="K1364" s="16">
        <f t="shared" si="105"/>
        <v>45.195263157894736</v>
      </c>
      <c r="L1364" s="16">
        <f t="shared" si="106"/>
        <v>45.876938775510212</v>
      </c>
      <c r="M1364" s="25" t="str">
        <f t="shared" si="107"/>
        <v>HOLD</v>
      </c>
    </row>
    <row r="1365" spans="2:13">
      <c r="B1365" s="3">
        <v>44034</v>
      </c>
      <c r="C1365" s="5">
        <v>48.48</v>
      </c>
      <c r="D1365" s="5">
        <v>47.93</v>
      </c>
      <c r="E1365" s="5">
        <v>48.52</v>
      </c>
      <c r="F1365" s="5">
        <v>47.03</v>
      </c>
      <c r="G1365" s="18" t="s">
        <v>822</v>
      </c>
      <c r="H1365" s="2">
        <v>2.7099999999999999E-2</v>
      </c>
      <c r="I1365" s="16">
        <f t="shared" si="108"/>
        <v>2.7118644067796481E-2</v>
      </c>
      <c r="J1365" s="16">
        <f t="shared" si="109"/>
        <v>1.0271186440677964</v>
      </c>
      <c r="K1365" s="16">
        <f t="shared" si="105"/>
        <v>45.277368421052628</v>
      </c>
      <c r="L1365" s="16">
        <f t="shared" si="106"/>
        <v>45.910816326530615</v>
      </c>
      <c r="M1365" s="25" t="str">
        <f t="shared" si="107"/>
        <v>HOLD</v>
      </c>
    </row>
    <row r="1366" spans="2:13">
      <c r="B1366" s="3">
        <v>44035</v>
      </c>
      <c r="C1366" s="5">
        <v>48.28</v>
      </c>
      <c r="D1366" s="5">
        <v>48.47</v>
      </c>
      <c r="E1366" s="5">
        <v>48.57</v>
      </c>
      <c r="F1366" s="5">
        <v>48.03</v>
      </c>
      <c r="G1366" s="18" t="s">
        <v>538</v>
      </c>
      <c r="H1366" s="2">
        <v>-4.1000000000000003E-3</v>
      </c>
      <c r="I1366" s="16">
        <f t="shared" si="108"/>
        <v>-4.1254125412540374E-3</v>
      </c>
      <c r="J1366" s="16">
        <f t="shared" si="109"/>
        <v>0.99587458745874591</v>
      </c>
      <c r="K1366" s="16">
        <f t="shared" si="105"/>
        <v>45.478947368421053</v>
      </c>
      <c r="L1366" s="16">
        <f t="shared" si="106"/>
        <v>45.985510204081635</v>
      </c>
      <c r="M1366" s="25" t="str">
        <f t="shared" si="107"/>
        <v>HOLD</v>
      </c>
    </row>
    <row r="1367" spans="2:13">
      <c r="B1367" s="3">
        <v>44036</v>
      </c>
      <c r="C1367" s="5">
        <v>48.49</v>
      </c>
      <c r="D1367" s="5">
        <v>48.4</v>
      </c>
      <c r="E1367" s="5">
        <v>48.8</v>
      </c>
      <c r="F1367" s="5">
        <v>48.07</v>
      </c>
      <c r="G1367" s="18" t="s">
        <v>279</v>
      </c>
      <c r="H1367" s="2">
        <v>4.3E-3</v>
      </c>
      <c r="I1367" s="16">
        <f t="shared" si="108"/>
        <v>4.3496271748136046E-3</v>
      </c>
      <c r="J1367" s="16">
        <f t="shared" si="109"/>
        <v>1.0043496271748136</v>
      </c>
      <c r="K1367" s="16">
        <f t="shared" si="105"/>
        <v>45.655263157894737</v>
      </c>
      <c r="L1367" s="16">
        <f t="shared" si="106"/>
        <v>46.074081632653076</v>
      </c>
      <c r="M1367" s="25" t="str">
        <f t="shared" si="107"/>
        <v>HOLD</v>
      </c>
    </row>
    <row r="1368" spans="2:13">
      <c r="B1368" s="3">
        <v>44039</v>
      </c>
      <c r="C1368" s="5">
        <v>48.48</v>
      </c>
      <c r="D1368" s="5">
        <v>48.18</v>
      </c>
      <c r="E1368" s="5">
        <v>48.51</v>
      </c>
      <c r="F1368" s="5">
        <v>48.18</v>
      </c>
      <c r="G1368" s="18" t="s">
        <v>588</v>
      </c>
      <c r="H1368" s="2">
        <v>-2.0000000000000001E-4</v>
      </c>
      <c r="I1368" s="16">
        <f t="shared" si="108"/>
        <v>-2.0622808826572728E-4</v>
      </c>
      <c r="J1368" s="16">
        <f t="shared" si="109"/>
        <v>0.99979377191173424</v>
      </c>
      <c r="K1368" s="16">
        <f t="shared" si="105"/>
        <v>45.914210526315792</v>
      </c>
      <c r="L1368" s="16">
        <f t="shared" si="106"/>
        <v>46.171836734693876</v>
      </c>
      <c r="M1368" s="25" t="str">
        <f t="shared" si="107"/>
        <v>HOLD</v>
      </c>
    </row>
    <row r="1369" spans="2:13">
      <c r="B1369" s="3">
        <v>44040</v>
      </c>
      <c r="C1369" s="5">
        <v>48.18</v>
      </c>
      <c r="D1369" s="5">
        <v>48.34</v>
      </c>
      <c r="E1369" s="5">
        <v>49.28</v>
      </c>
      <c r="F1369" s="5">
        <v>48.1</v>
      </c>
      <c r="G1369" s="18" t="s">
        <v>681</v>
      </c>
      <c r="H1369" s="2">
        <v>-6.1999999999999998E-3</v>
      </c>
      <c r="I1369" s="16">
        <f t="shared" si="108"/>
        <v>-6.1881188118811303E-3</v>
      </c>
      <c r="J1369" s="16">
        <f t="shared" si="109"/>
        <v>0.99381188118811892</v>
      </c>
      <c r="K1369" s="16">
        <f t="shared" si="105"/>
        <v>46.131052631578946</v>
      </c>
      <c r="L1369" s="16">
        <f t="shared" si="106"/>
        <v>46.278367346938779</v>
      </c>
      <c r="M1369" s="25" t="str">
        <f t="shared" si="107"/>
        <v>HOLD</v>
      </c>
    </row>
    <row r="1370" spans="2:13">
      <c r="B1370" s="3">
        <v>44041</v>
      </c>
      <c r="C1370" s="5">
        <v>48.02</v>
      </c>
      <c r="D1370" s="5">
        <v>48.14</v>
      </c>
      <c r="E1370" s="5">
        <v>48.5</v>
      </c>
      <c r="F1370" s="5">
        <v>47.82</v>
      </c>
      <c r="G1370" s="18" t="s">
        <v>652</v>
      </c>
      <c r="H1370" s="2">
        <v>-3.3E-3</v>
      </c>
      <c r="I1370" s="16">
        <f t="shared" si="108"/>
        <v>-3.3208800332087296E-3</v>
      </c>
      <c r="J1370" s="16">
        <f t="shared" si="109"/>
        <v>0.99667911996679126</v>
      </c>
      <c r="K1370" s="16">
        <f t="shared" si="105"/>
        <v>46.315263157894741</v>
      </c>
      <c r="L1370" s="16">
        <f t="shared" si="106"/>
        <v>46.343877551020405</v>
      </c>
      <c r="M1370" s="25" t="str">
        <f t="shared" si="107"/>
        <v>HOLD</v>
      </c>
    </row>
    <row r="1371" spans="2:13">
      <c r="B1371" s="3">
        <v>44042</v>
      </c>
      <c r="C1371" s="5">
        <v>47.69</v>
      </c>
      <c r="D1371" s="5">
        <v>47.67</v>
      </c>
      <c r="E1371" s="5">
        <v>48.23</v>
      </c>
      <c r="F1371" s="5">
        <v>47.2</v>
      </c>
      <c r="G1371" s="18" t="s">
        <v>821</v>
      </c>
      <c r="H1371" s="2">
        <v>-6.8999999999999999E-3</v>
      </c>
      <c r="I1371" s="16">
        <f t="shared" si="108"/>
        <v>-6.8721366097460514E-3</v>
      </c>
      <c r="J1371" s="16">
        <f t="shared" si="109"/>
        <v>0.99312786339025394</v>
      </c>
      <c r="K1371" s="16">
        <f t="shared" ref="K1371:K1434" si="110">AVERAGE(C1352:C1370)</f>
        <v>46.483684210526313</v>
      </c>
      <c r="L1371" s="16">
        <f t="shared" si="106"/>
        <v>46.414897959183669</v>
      </c>
      <c r="M1371" s="25" t="str">
        <f t="shared" si="107"/>
        <v>BUY</v>
      </c>
    </row>
    <row r="1372" spans="2:13">
      <c r="B1372" s="3">
        <v>44043</v>
      </c>
      <c r="C1372" s="5">
        <v>47.24</v>
      </c>
      <c r="D1372" s="5">
        <v>47.44</v>
      </c>
      <c r="E1372" s="5">
        <v>47.77</v>
      </c>
      <c r="F1372" s="5">
        <v>46.73</v>
      </c>
      <c r="G1372" s="18" t="s">
        <v>820</v>
      </c>
      <c r="H1372" s="2">
        <v>-9.4000000000000004E-3</v>
      </c>
      <c r="I1372" s="16">
        <f t="shared" si="108"/>
        <v>-9.4359404487313007E-3</v>
      </c>
      <c r="J1372" s="16">
        <f t="shared" si="109"/>
        <v>0.99056405955126869</v>
      </c>
      <c r="K1372" s="16">
        <f t="shared" si="110"/>
        <v>46.631578947368418</v>
      </c>
      <c r="L1372" s="16">
        <f t="shared" si="106"/>
        <v>46.451632653061225</v>
      </c>
      <c r="M1372" s="25" t="str">
        <f t="shared" si="107"/>
        <v>HOLD</v>
      </c>
    </row>
    <row r="1373" spans="2:13">
      <c r="B1373" s="3">
        <v>44046</v>
      </c>
      <c r="C1373" s="5">
        <v>46.3</v>
      </c>
      <c r="D1373" s="5">
        <v>47.14</v>
      </c>
      <c r="E1373" s="5">
        <v>47.36</v>
      </c>
      <c r="F1373" s="5">
        <v>46.23</v>
      </c>
      <c r="G1373" s="18" t="s">
        <v>819</v>
      </c>
      <c r="H1373" s="2">
        <v>-1.9900000000000001E-2</v>
      </c>
      <c r="I1373" s="16">
        <f t="shared" si="108"/>
        <v>-1.9898391193903572E-2</v>
      </c>
      <c r="J1373" s="16">
        <f t="shared" si="109"/>
        <v>0.98010160880609642</v>
      </c>
      <c r="K1373" s="16">
        <f t="shared" si="110"/>
        <v>46.737368421052622</v>
      </c>
      <c r="L1373" s="16">
        <f t="shared" si="106"/>
        <v>46.493877551020404</v>
      </c>
      <c r="M1373" s="25" t="str">
        <f t="shared" si="107"/>
        <v>HOLD</v>
      </c>
    </row>
    <row r="1374" spans="2:13">
      <c r="B1374" s="3">
        <v>44047</v>
      </c>
      <c r="C1374" s="5">
        <v>46.69</v>
      </c>
      <c r="D1374" s="5">
        <v>46.29</v>
      </c>
      <c r="E1374" s="5">
        <v>46.86</v>
      </c>
      <c r="F1374" s="5">
        <v>46.22</v>
      </c>
      <c r="G1374" s="18" t="s">
        <v>818</v>
      </c>
      <c r="H1374" s="2">
        <v>8.3999999999999995E-3</v>
      </c>
      <c r="I1374" s="16">
        <f t="shared" si="108"/>
        <v>8.4233261339093004E-3</v>
      </c>
      <c r="J1374" s="16">
        <f t="shared" si="109"/>
        <v>1.0084233261339093</v>
      </c>
      <c r="K1374" s="16">
        <f t="shared" si="110"/>
        <v>46.794736842105259</v>
      </c>
      <c r="L1374" s="16">
        <f t="shared" si="106"/>
        <v>46.51979591836735</v>
      </c>
      <c r="M1374" s="25" t="str">
        <f t="shared" si="107"/>
        <v>HOLD</v>
      </c>
    </row>
    <row r="1375" spans="2:13">
      <c r="B1375" s="3">
        <v>44048</v>
      </c>
      <c r="C1375" s="5">
        <v>47.22</v>
      </c>
      <c r="D1375" s="5">
        <v>46.9</v>
      </c>
      <c r="E1375" s="5">
        <v>47.27</v>
      </c>
      <c r="F1375" s="5">
        <v>46.81</v>
      </c>
      <c r="G1375" s="18" t="s">
        <v>699</v>
      </c>
      <c r="H1375" s="2">
        <v>1.14E-2</v>
      </c>
      <c r="I1375" s="16">
        <f t="shared" si="108"/>
        <v>1.1351467123581092E-2</v>
      </c>
      <c r="J1375" s="16">
        <f t="shared" si="109"/>
        <v>1.011351467123581</v>
      </c>
      <c r="K1375" s="16">
        <f t="shared" si="110"/>
        <v>46.88</v>
      </c>
      <c r="L1375" s="16">
        <f t="shared" si="106"/>
        <v>46.532040816326536</v>
      </c>
      <c r="M1375" s="25" t="str">
        <f t="shared" si="107"/>
        <v>HOLD</v>
      </c>
    </row>
    <row r="1376" spans="2:13">
      <c r="B1376" s="3">
        <v>44049</v>
      </c>
      <c r="C1376" s="5">
        <v>47.48</v>
      </c>
      <c r="D1376" s="5">
        <v>46.66</v>
      </c>
      <c r="E1376" s="5">
        <v>47.53</v>
      </c>
      <c r="F1376" s="5">
        <v>46.6</v>
      </c>
      <c r="G1376" s="18" t="s">
        <v>817</v>
      </c>
      <c r="H1376" s="2">
        <v>5.4999999999999997E-3</v>
      </c>
      <c r="I1376" s="16">
        <f t="shared" si="108"/>
        <v>5.5061414654806861E-3</v>
      </c>
      <c r="J1376" s="16">
        <f t="shared" si="109"/>
        <v>1.0055061414654807</v>
      </c>
      <c r="K1376" s="16">
        <f t="shared" si="110"/>
        <v>47.054210526315785</v>
      </c>
      <c r="L1376" s="16">
        <f t="shared" si="106"/>
        <v>46.542040816326526</v>
      </c>
      <c r="M1376" s="25" t="str">
        <f t="shared" si="107"/>
        <v>HOLD</v>
      </c>
    </row>
    <row r="1377" spans="2:13">
      <c r="B1377" s="3">
        <v>44050</v>
      </c>
      <c r="C1377" s="5">
        <v>47.8</v>
      </c>
      <c r="D1377" s="5">
        <v>47.47</v>
      </c>
      <c r="E1377" s="5">
        <v>48.08</v>
      </c>
      <c r="F1377" s="5">
        <v>47.21</v>
      </c>
      <c r="G1377" s="18" t="s">
        <v>216</v>
      </c>
      <c r="H1377" s="2">
        <v>6.7000000000000002E-3</v>
      </c>
      <c r="I1377" s="16">
        <f t="shared" si="108"/>
        <v>6.7396798652064093E-3</v>
      </c>
      <c r="J1377" s="16">
        <f t="shared" si="109"/>
        <v>1.0067396798652064</v>
      </c>
      <c r="K1377" s="16">
        <f t="shared" si="110"/>
        <v>47.176842105263162</v>
      </c>
      <c r="L1377" s="16">
        <f t="shared" si="106"/>
        <v>46.550000000000004</v>
      </c>
      <c r="M1377" s="25" t="str">
        <f t="shared" si="107"/>
        <v>HOLD</v>
      </c>
    </row>
    <row r="1378" spans="2:13">
      <c r="B1378" s="3">
        <v>44053</v>
      </c>
      <c r="C1378" s="5">
        <v>47.72</v>
      </c>
      <c r="D1378" s="5">
        <v>48.06</v>
      </c>
      <c r="E1378" s="5">
        <v>48.27</v>
      </c>
      <c r="F1378" s="5">
        <v>47.66</v>
      </c>
      <c r="G1378" s="18" t="s">
        <v>284</v>
      </c>
      <c r="H1378" s="2">
        <v>-1.6999999999999999E-3</v>
      </c>
      <c r="I1378" s="16">
        <f t="shared" si="108"/>
        <v>-1.6736401673639811E-3</v>
      </c>
      <c r="J1378" s="16">
        <f t="shared" si="109"/>
        <v>0.99832635983263607</v>
      </c>
      <c r="K1378" s="16">
        <f t="shared" si="110"/>
        <v>47.311052631578953</v>
      </c>
      <c r="L1378" s="16">
        <f t="shared" si="106"/>
        <v>46.572857142857153</v>
      </c>
      <c r="M1378" s="25" t="str">
        <f t="shared" si="107"/>
        <v>HOLD</v>
      </c>
    </row>
    <row r="1379" spans="2:13">
      <c r="B1379" s="3">
        <v>44054</v>
      </c>
      <c r="C1379" s="5">
        <v>47.93</v>
      </c>
      <c r="D1379" s="5">
        <v>48.46</v>
      </c>
      <c r="E1379" s="5">
        <v>48.65</v>
      </c>
      <c r="F1379" s="5">
        <v>47.7</v>
      </c>
      <c r="G1379" s="18" t="s">
        <v>32</v>
      </c>
      <c r="H1379" s="2">
        <v>4.4000000000000003E-3</v>
      </c>
      <c r="I1379" s="16">
        <f t="shared" si="108"/>
        <v>4.400670578373865E-3</v>
      </c>
      <c r="J1379" s="16">
        <f t="shared" si="109"/>
        <v>1.0044006705783739</v>
      </c>
      <c r="K1379" s="16">
        <f t="shared" si="110"/>
        <v>47.408421052631589</v>
      </c>
      <c r="L1379" s="16">
        <f t="shared" si="106"/>
        <v>46.587755102040823</v>
      </c>
      <c r="M1379" s="25" t="str">
        <f t="shared" si="107"/>
        <v>HOLD</v>
      </c>
    </row>
    <row r="1380" spans="2:13">
      <c r="B1380" s="3">
        <v>44055</v>
      </c>
      <c r="C1380" s="5">
        <v>48.43</v>
      </c>
      <c r="D1380" s="5">
        <v>48.3</v>
      </c>
      <c r="E1380" s="5">
        <v>48.69</v>
      </c>
      <c r="F1380" s="5">
        <v>48.12</v>
      </c>
      <c r="G1380" s="18" t="s">
        <v>816</v>
      </c>
      <c r="H1380" s="2">
        <v>1.04E-2</v>
      </c>
      <c r="I1380" s="16">
        <f t="shared" si="108"/>
        <v>1.0431879824744418E-2</v>
      </c>
      <c r="J1380" s="16">
        <f t="shared" si="109"/>
        <v>1.0104318798247445</v>
      </c>
      <c r="K1380" s="16">
        <f t="shared" si="110"/>
        <v>47.488947368421059</v>
      </c>
      <c r="L1380" s="16">
        <f t="shared" si="106"/>
        <v>46.608775510204083</v>
      </c>
      <c r="M1380" s="25" t="str">
        <f t="shared" si="107"/>
        <v>HOLD</v>
      </c>
    </row>
    <row r="1381" spans="2:13">
      <c r="B1381" s="3">
        <v>44056</v>
      </c>
      <c r="C1381" s="5">
        <v>48.38</v>
      </c>
      <c r="D1381" s="5">
        <v>48.26</v>
      </c>
      <c r="E1381" s="5">
        <v>48.73</v>
      </c>
      <c r="F1381" s="5">
        <v>48.06</v>
      </c>
      <c r="G1381" s="18" t="s">
        <v>139</v>
      </c>
      <c r="H1381" s="2">
        <v>-1E-3</v>
      </c>
      <c r="I1381" s="16">
        <f t="shared" si="108"/>
        <v>-1.0324179227750806E-3</v>
      </c>
      <c r="J1381" s="16">
        <f t="shared" si="109"/>
        <v>0.99896758207722491</v>
      </c>
      <c r="K1381" s="16">
        <f t="shared" si="110"/>
        <v>47.608947368421049</v>
      </c>
      <c r="L1381" s="16">
        <f t="shared" si="106"/>
        <v>46.619591836734685</v>
      </c>
      <c r="M1381" s="25" t="str">
        <f t="shared" si="107"/>
        <v>HOLD</v>
      </c>
    </row>
    <row r="1382" spans="2:13">
      <c r="B1382" s="3">
        <v>44057</v>
      </c>
      <c r="C1382" s="5">
        <v>48.45</v>
      </c>
      <c r="D1382" s="5">
        <v>48.34</v>
      </c>
      <c r="E1382" s="5">
        <v>48.69</v>
      </c>
      <c r="F1382" s="5">
        <v>48.03</v>
      </c>
      <c r="G1382" s="18" t="s">
        <v>481</v>
      </c>
      <c r="H1382" s="2">
        <v>1.4E-3</v>
      </c>
      <c r="I1382" s="16">
        <f t="shared" si="108"/>
        <v>1.4468788755684224E-3</v>
      </c>
      <c r="J1382" s="16">
        <f t="shared" si="109"/>
        <v>1.0014468788755684</v>
      </c>
      <c r="K1382" s="16">
        <f t="shared" si="110"/>
        <v>47.691052631578948</v>
      </c>
      <c r="L1382" s="16">
        <f t="shared" si="106"/>
        <v>46.628979591836739</v>
      </c>
      <c r="M1382" s="25" t="str">
        <f t="shared" si="107"/>
        <v>HOLD</v>
      </c>
    </row>
    <row r="1383" spans="2:13">
      <c r="B1383" s="3">
        <v>44060</v>
      </c>
      <c r="C1383" s="5">
        <v>48.21</v>
      </c>
      <c r="D1383" s="5">
        <v>48.32</v>
      </c>
      <c r="E1383" s="5">
        <v>48.75</v>
      </c>
      <c r="F1383" s="5">
        <v>48.2</v>
      </c>
      <c r="G1383" s="18" t="s">
        <v>815</v>
      </c>
      <c r="H1383" s="2">
        <v>-5.0000000000000001E-3</v>
      </c>
      <c r="I1383" s="16">
        <f t="shared" si="108"/>
        <v>-4.9535603715170689E-3</v>
      </c>
      <c r="J1383" s="16">
        <f t="shared" si="109"/>
        <v>0.99504643962848294</v>
      </c>
      <c r="K1383" s="16">
        <f t="shared" si="110"/>
        <v>47.813684210526311</v>
      </c>
      <c r="L1383" s="16">
        <f t="shared" si="106"/>
        <v>46.615918367346936</v>
      </c>
      <c r="M1383" s="25" t="str">
        <f t="shared" si="107"/>
        <v>HOLD</v>
      </c>
    </row>
    <row r="1384" spans="2:13">
      <c r="B1384" s="3">
        <v>44061</v>
      </c>
      <c r="C1384" s="5">
        <v>48.42</v>
      </c>
      <c r="D1384" s="5">
        <v>48.2</v>
      </c>
      <c r="E1384" s="5">
        <v>48.5</v>
      </c>
      <c r="F1384" s="5">
        <v>47.96</v>
      </c>
      <c r="G1384" s="18" t="s">
        <v>186</v>
      </c>
      <c r="H1384" s="2">
        <v>4.4000000000000003E-3</v>
      </c>
      <c r="I1384" s="16">
        <f t="shared" si="108"/>
        <v>4.3559427504667259E-3</v>
      </c>
      <c r="J1384" s="16">
        <f t="shared" si="109"/>
        <v>1.0043559427504667</v>
      </c>
      <c r="K1384" s="16">
        <f t="shared" si="110"/>
        <v>47.86684210526316</v>
      </c>
      <c r="L1384" s="16">
        <f t="shared" si="106"/>
        <v>46.582448979591838</v>
      </c>
      <c r="M1384" s="25" t="str">
        <f t="shared" si="107"/>
        <v>HOLD</v>
      </c>
    </row>
    <row r="1385" spans="2:13">
      <c r="B1385" s="3">
        <v>44062</v>
      </c>
      <c r="C1385" s="5">
        <v>47.37</v>
      </c>
      <c r="D1385" s="5">
        <v>48.12</v>
      </c>
      <c r="E1385" s="5">
        <v>48.38</v>
      </c>
      <c r="F1385" s="5">
        <v>47.22</v>
      </c>
      <c r="G1385" s="18" t="s">
        <v>814</v>
      </c>
      <c r="H1385" s="2">
        <v>-2.1700000000000001E-2</v>
      </c>
      <c r="I1385" s="16">
        <f t="shared" si="108"/>
        <v>-2.1685254027261548E-2</v>
      </c>
      <c r="J1385" s="16">
        <f t="shared" si="109"/>
        <v>0.97831474597273849</v>
      </c>
      <c r="K1385" s="16">
        <f t="shared" si="110"/>
        <v>47.863684210526316</v>
      </c>
      <c r="L1385" s="16">
        <f t="shared" si="106"/>
        <v>46.570612244897973</v>
      </c>
      <c r="M1385" s="25" t="str">
        <f t="shared" si="107"/>
        <v>HOLD</v>
      </c>
    </row>
    <row r="1386" spans="2:13">
      <c r="B1386" s="3">
        <v>44063</v>
      </c>
      <c r="C1386" s="5">
        <v>47.35</v>
      </c>
      <c r="D1386" s="5">
        <v>47.27</v>
      </c>
      <c r="E1386" s="5">
        <v>47.6</v>
      </c>
      <c r="F1386" s="5">
        <v>47.09</v>
      </c>
      <c r="G1386" s="18" t="s">
        <v>536</v>
      </c>
      <c r="H1386" s="2">
        <v>-4.0000000000000002E-4</v>
      </c>
      <c r="I1386" s="16">
        <f t="shared" si="108"/>
        <v>-4.2220814861718435E-4</v>
      </c>
      <c r="J1386" s="16">
        <f t="shared" si="109"/>
        <v>0.99957779185138285</v>
      </c>
      <c r="K1386" s="16">
        <f t="shared" si="110"/>
        <v>47.815789473684212</v>
      </c>
      <c r="L1386" s="16">
        <f t="shared" si="106"/>
        <v>46.545102040816325</v>
      </c>
      <c r="M1386" s="25" t="str">
        <f t="shared" si="107"/>
        <v>HOLD</v>
      </c>
    </row>
    <row r="1387" spans="2:13">
      <c r="B1387" s="3">
        <v>44064</v>
      </c>
      <c r="C1387" s="5">
        <v>47.28</v>
      </c>
      <c r="D1387" s="5">
        <v>47.34</v>
      </c>
      <c r="E1387" s="5">
        <v>47.49</v>
      </c>
      <c r="F1387" s="5">
        <v>46.97</v>
      </c>
      <c r="G1387" s="18" t="s">
        <v>535</v>
      </c>
      <c r="H1387" s="2">
        <v>-1.5E-3</v>
      </c>
      <c r="I1387" s="16">
        <f t="shared" si="108"/>
        <v>-1.478352692713839E-3</v>
      </c>
      <c r="J1387" s="16">
        <f t="shared" si="109"/>
        <v>0.99852164730728621</v>
      </c>
      <c r="K1387" s="16">
        <f t="shared" si="110"/>
        <v>47.75578947368421</v>
      </c>
      <c r="L1387" s="16">
        <f t="shared" si="106"/>
        <v>46.58204081632654</v>
      </c>
      <c r="M1387" s="25" t="str">
        <f t="shared" si="107"/>
        <v>HOLD</v>
      </c>
    </row>
    <row r="1388" spans="2:13">
      <c r="B1388" s="3">
        <v>44067</v>
      </c>
      <c r="C1388" s="5">
        <v>47.97</v>
      </c>
      <c r="D1388" s="5">
        <v>47.43</v>
      </c>
      <c r="E1388" s="5">
        <v>47.98</v>
      </c>
      <c r="F1388" s="5">
        <v>47.17</v>
      </c>
      <c r="G1388" s="18" t="s">
        <v>46</v>
      </c>
      <c r="H1388" s="2">
        <v>1.46E-2</v>
      </c>
      <c r="I1388" s="16">
        <f t="shared" si="108"/>
        <v>1.4593908629441576E-2</v>
      </c>
      <c r="J1388" s="16">
        <f t="shared" si="109"/>
        <v>1.0145939086294415</v>
      </c>
      <c r="K1388" s="16">
        <f t="shared" si="110"/>
        <v>47.692631578947363</v>
      </c>
      <c r="L1388" s="16">
        <f t="shared" si="106"/>
        <v>46.616326530612248</v>
      </c>
      <c r="M1388" s="25" t="str">
        <f t="shared" si="107"/>
        <v>HOLD</v>
      </c>
    </row>
    <row r="1389" spans="2:13">
      <c r="B1389" s="3">
        <v>44068</v>
      </c>
      <c r="C1389" s="5">
        <v>47.91</v>
      </c>
      <c r="D1389" s="5">
        <v>48</v>
      </c>
      <c r="E1389" s="5">
        <v>48.05</v>
      </c>
      <c r="F1389" s="5">
        <v>47.65</v>
      </c>
      <c r="G1389" s="18" t="s">
        <v>813</v>
      </c>
      <c r="H1389" s="2">
        <v>-1.2999999999999999E-3</v>
      </c>
      <c r="I1389" s="16">
        <f t="shared" si="108"/>
        <v>-1.2507817385866641E-3</v>
      </c>
      <c r="J1389" s="16">
        <f t="shared" si="109"/>
        <v>0.99874921826141339</v>
      </c>
      <c r="K1389" s="16">
        <f t="shared" si="110"/>
        <v>47.681578947368422</v>
      </c>
      <c r="L1389" s="16">
        <f t="shared" si="106"/>
        <v>46.650408163265311</v>
      </c>
      <c r="M1389" s="25" t="str">
        <f t="shared" si="107"/>
        <v>HOLD</v>
      </c>
    </row>
    <row r="1390" spans="2:13">
      <c r="B1390" s="3">
        <v>44069</v>
      </c>
      <c r="C1390" s="5">
        <v>48.16</v>
      </c>
      <c r="D1390" s="5">
        <v>47.76</v>
      </c>
      <c r="E1390" s="5">
        <v>48.18</v>
      </c>
      <c r="F1390" s="5">
        <v>47.47</v>
      </c>
      <c r="G1390" s="18" t="s">
        <v>480</v>
      </c>
      <c r="H1390" s="2">
        <v>5.1999999999999998E-3</v>
      </c>
      <c r="I1390" s="16">
        <f t="shared" si="108"/>
        <v>5.2181173032769777E-3</v>
      </c>
      <c r="J1390" s="16">
        <f t="shared" si="109"/>
        <v>1.005218117303277</v>
      </c>
      <c r="K1390" s="16">
        <f t="shared" si="110"/>
        <v>47.675789473684212</v>
      </c>
      <c r="L1390" s="16">
        <f t="shared" si="106"/>
        <v>46.673673469387758</v>
      </c>
      <c r="M1390" s="25" t="str">
        <f t="shared" si="107"/>
        <v>HOLD</v>
      </c>
    </row>
    <row r="1391" spans="2:13">
      <c r="B1391" s="3">
        <v>44070</v>
      </c>
      <c r="C1391" s="5">
        <v>48.23</v>
      </c>
      <c r="D1391" s="5">
        <v>48.25</v>
      </c>
      <c r="E1391" s="5">
        <v>48.82</v>
      </c>
      <c r="F1391" s="5">
        <v>48.2</v>
      </c>
      <c r="G1391" s="18" t="s">
        <v>234</v>
      </c>
      <c r="H1391" s="2">
        <v>1.5E-3</v>
      </c>
      <c r="I1391" s="16">
        <f t="shared" si="108"/>
        <v>1.4534883720930293E-3</v>
      </c>
      <c r="J1391" s="16">
        <f t="shared" si="109"/>
        <v>1.0014534883720931</v>
      </c>
      <c r="K1391" s="16">
        <f t="shared" si="110"/>
        <v>47.700526315789467</v>
      </c>
      <c r="L1391" s="16">
        <f t="shared" si="106"/>
        <v>46.705918367346939</v>
      </c>
      <c r="M1391" s="25" t="str">
        <f t="shared" si="107"/>
        <v>HOLD</v>
      </c>
    </row>
    <row r="1392" spans="2:13">
      <c r="B1392" s="3">
        <v>44071</v>
      </c>
      <c r="C1392" s="5">
        <v>49.83</v>
      </c>
      <c r="D1392" s="5">
        <v>48.75</v>
      </c>
      <c r="E1392" s="5">
        <v>49.85</v>
      </c>
      <c r="F1392" s="5">
        <v>48.53</v>
      </c>
      <c r="G1392" s="18" t="s">
        <v>667</v>
      </c>
      <c r="H1392" s="2">
        <v>3.32E-2</v>
      </c>
      <c r="I1392" s="16">
        <f t="shared" si="108"/>
        <v>3.3174372797014337E-2</v>
      </c>
      <c r="J1392" s="16">
        <f t="shared" si="109"/>
        <v>1.0331743727970144</v>
      </c>
      <c r="K1392" s="16">
        <f t="shared" si="110"/>
        <v>47.752631578947359</v>
      </c>
      <c r="L1392" s="16">
        <f t="shared" si="106"/>
        <v>46.731224489795927</v>
      </c>
      <c r="M1392" s="25" t="str">
        <f t="shared" si="107"/>
        <v>HOLD</v>
      </c>
    </row>
    <row r="1393" spans="2:13">
      <c r="B1393" s="3">
        <v>44074</v>
      </c>
      <c r="C1393" s="5">
        <v>49.53</v>
      </c>
      <c r="D1393" s="5">
        <v>49.8</v>
      </c>
      <c r="E1393" s="5">
        <v>50.07</v>
      </c>
      <c r="F1393" s="5">
        <v>49.35</v>
      </c>
      <c r="G1393" s="18" t="s">
        <v>812</v>
      </c>
      <c r="H1393" s="2">
        <v>-6.0000000000000001E-3</v>
      </c>
      <c r="I1393" s="16">
        <f t="shared" si="108"/>
        <v>-6.0204695966284798E-3</v>
      </c>
      <c r="J1393" s="16">
        <f t="shared" si="109"/>
        <v>0.9939795304033715</v>
      </c>
      <c r="K1393" s="16">
        <f t="shared" si="110"/>
        <v>47.938421052631575</v>
      </c>
      <c r="L1393" s="16">
        <f t="shared" si="106"/>
        <v>46.808979591836732</v>
      </c>
      <c r="M1393" s="25" t="str">
        <f t="shared" si="107"/>
        <v>HOLD</v>
      </c>
    </row>
    <row r="1394" spans="2:13">
      <c r="B1394" s="3">
        <v>44075</v>
      </c>
      <c r="C1394" s="5">
        <v>49.12</v>
      </c>
      <c r="D1394" s="5">
        <v>49.31</v>
      </c>
      <c r="E1394" s="5">
        <v>49.35</v>
      </c>
      <c r="F1394" s="5">
        <v>48.83</v>
      </c>
      <c r="G1394" s="18" t="s">
        <v>36</v>
      </c>
      <c r="H1394" s="2">
        <v>-8.3000000000000001E-3</v>
      </c>
      <c r="I1394" s="16">
        <f t="shared" si="108"/>
        <v>-8.2778114274178003E-3</v>
      </c>
      <c r="J1394" s="16">
        <f t="shared" si="109"/>
        <v>0.99172218857258221</v>
      </c>
      <c r="K1394" s="16">
        <f t="shared" si="110"/>
        <v>48.087894736842102</v>
      </c>
      <c r="L1394" s="16">
        <f t="shared" si="106"/>
        <v>46.886326530612244</v>
      </c>
      <c r="M1394" s="25" t="str">
        <f t="shared" si="107"/>
        <v>HOLD</v>
      </c>
    </row>
    <row r="1395" spans="2:13">
      <c r="B1395" s="3">
        <v>44076</v>
      </c>
      <c r="C1395" s="5">
        <v>51.19</v>
      </c>
      <c r="D1395" s="5">
        <v>49.36</v>
      </c>
      <c r="E1395" s="5">
        <v>51.36</v>
      </c>
      <c r="F1395" s="5">
        <v>49.36</v>
      </c>
      <c r="G1395" s="18" t="s">
        <v>811</v>
      </c>
      <c r="H1395" s="2">
        <v>4.2099999999999999E-2</v>
      </c>
      <c r="I1395" s="16">
        <f t="shared" si="108"/>
        <v>4.2141693811074923E-2</v>
      </c>
      <c r="J1395" s="16">
        <f t="shared" si="109"/>
        <v>1.042141693811075</v>
      </c>
      <c r="K1395" s="16">
        <f t="shared" si="110"/>
        <v>48.187894736842104</v>
      </c>
      <c r="L1395" s="16">
        <f t="shared" si="106"/>
        <v>46.957346938775515</v>
      </c>
      <c r="M1395" s="25" t="str">
        <f t="shared" si="107"/>
        <v>HOLD</v>
      </c>
    </row>
    <row r="1396" spans="2:13">
      <c r="B1396" s="3">
        <v>44077</v>
      </c>
      <c r="C1396" s="5">
        <v>50.48</v>
      </c>
      <c r="D1396" s="5">
        <v>51.4</v>
      </c>
      <c r="E1396" s="5">
        <v>52.14</v>
      </c>
      <c r="F1396" s="5">
        <v>50.1</v>
      </c>
      <c r="G1396" s="18" t="s">
        <v>777</v>
      </c>
      <c r="H1396" s="2">
        <v>-1.3899999999999999E-2</v>
      </c>
      <c r="I1396" s="16">
        <f t="shared" si="108"/>
        <v>-1.3869896464153172E-2</v>
      </c>
      <c r="J1396" s="16">
        <f t="shared" si="109"/>
        <v>0.98613010353584685</v>
      </c>
      <c r="K1396" s="16">
        <f t="shared" si="110"/>
        <v>48.38315789473684</v>
      </c>
      <c r="L1396" s="16">
        <f t="shared" si="106"/>
        <v>47.090816326530614</v>
      </c>
      <c r="M1396" s="25" t="str">
        <f t="shared" si="107"/>
        <v>HOLD</v>
      </c>
    </row>
    <row r="1397" spans="2:13">
      <c r="B1397" s="3">
        <v>44078</v>
      </c>
      <c r="C1397" s="5">
        <v>51.04</v>
      </c>
      <c r="D1397" s="5">
        <v>50.94</v>
      </c>
      <c r="E1397" s="5">
        <v>51.47</v>
      </c>
      <c r="F1397" s="5">
        <v>50.28</v>
      </c>
      <c r="G1397" s="18" t="s">
        <v>810</v>
      </c>
      <c r="H1397" s="2">
        <v>1.11E-2</v>
      </c>
      <c r="I1397" s="16">
        <f t="shared" si="108"/>
        <v>1.1093502377179126E-2</v>
      </c>
      <c r="J1397" s="16">
        <f t="shared" si="109"/>
        <v>1.0110935023771792</v>
      </c>
      <c r="K1397" s="16">
        <f t="shared" si="110"/>
        <v>48.524210526315791</v>
      </c>
      <c r="L1397" s="16">
        <f t="shared" si="106"/>
        <v>47.204081632653072</v>
      </c>
      <c r="M1397" s="25" t="str">
        <f t="shared" si="107"/>
        <v>HOLD</v>
      </c>
    </row>
    <row r="1398" spans="2:13">
      <c r="B1398" s="3">
        <v>44082</v>
      </c>
      <c r="C1398" s="5">
        <v>49.81</v>
      </c>
      <c r="D1398" s="5">
        <v>50.93</v>
      </c>
      <c r="E1398" s="5">
        <v>51.04</v>
      </c>
      <c r="F1398" s="5">
        <v>49.36</v>
      </c>
      <c r="G1398" s="18" t="s">
        <v>809</v>
      </c>
      <c r="H1398" s="2">
        <v>-2.41E-2</v>
      </c>
      <c r="I1398" s="16">
        <f t="shared" si="108"/>
        <v>-2.4098746081504641E-2</v>
      </c>
      <c r="J1398" s="16">
        <f t="shared" si="109"/>
        <v>0.97590125391849536</v>
      </c>
      <c r="K1398" s="16">
        <f t="shared" si="110"/>
        <v>48.698947368421052</v>
      </c>
      <c r="L1398" s="16">
        <f t="shared" si="106"/>
        <v>47.35653061224491</v>
      </c>
      <c r="M1398" s="25" t="str">
        <f t="shared" si="107"/>
        <v>HOLD</v>
      </c>
    </row>
    <row r="1399" spans="2:13">
      <c r="B1399" s="3">
        <v>44083</v>
      </c>
      <c r="C1399" s="5">
        <v>50.19</v>
      </c>
      <c r="D1399" s="5">
        <v>49.6</v>
      </c>
      <c r="E1399" s="5">
        <v>50.76</v>
      </c>
      <c r="F1399" s="5">
        <v>49.55</v>
      </c>
      <c r="G1399" s="18" t="s">
        <v>808</v>
      </c>
      <c r="H1399" s="2">
        <v>7.6E-3</v>
      </c>
      <c r="I1399" s="16">
        <f t="shared" si="108"/>
        <v>7.6289901626178562E-3</v>
      </c>
      <c r="J1399" s="16">
        <f t="shared" si="109"/>
        <v>1.0076289901626179</v>
      </c>
      <c r="K1399" s="16">
        <f t="shared" si="110"/>
        <v>48.797894736842096</v>
      </c>
      <c r="L1399" s="16">
        <f t="shared" si="106"/>
        <v>47.467755102040819</v>
      </c>
      <c r="M1399" s="25" t="str">
        <f t="shared" si="107"/>
        <v>HOLD</v>
      </c>
    </row>
    <row r="1400" spans="2:13">
      <c r="B1400" s="3">
        <v>44084</v>
      </c>
      <c r="C1400" s="5">
        <v>50</v>
      </c>
      <c r="D1400" s="5">
        <v>50.35</v>
      </c>
      <c r="E1400" s="5">
        <v>50.67</v>
      </c>
      <c r="F1400" s="5">
        <v>49.95</v>
      </c>
      <c r="G1400" s="18" t="s">
        <v>807</v>
      </c>
      <c r="H1400" s="2">
        <v>-3.8E-3</v>
      </c>
      <c r="I1400" s="16">
        <f t="shared" si="108"/>
        <v>-3.785614664275707E-3</v>
      </c>
      <c r="J1400" s="16">
        <f t="shared" si="109"/>
        <v>0.99621438533572426</v>
      </c>
      <c r="K1400" s="16">
        <f t="shared" si="110"/>
        <v>48.890526315789479</v>
      </c>
      <c r="L1400" s="16">
        <f t="shared" si="106"/>
        <v>47.580204081632658</v>
      </c>
      <c r="M1400" s="25" t="str">
        <f t="shared" si="107"/>
        <v>HOLD</v>
      </c>
    </row>
    <row r="1401" spans="2:13">
      <c r="B1401" s="3">
        <v>44085</v>
      </c>
      <c r="C1401" s="5">
        <v>51.06</v>
      </c>
      <c r="D1401" s="5">
        <v>50.4</v>
      </c>
      <c r="E1401" s="5">
        <v>51.2</v>
      </c>
      <c r="F1401" s="5">
        <v>50.1</v>
      </c>
      <c r="G1401" s="18" t="s">
        <v>806</v>
      </c>
      <c r="H1401" s="2">
        <v>2.12E-2</v>
      </c>
      <c r="I1401" s="16">
        <f t="shared" si="108"/>
        <v>2.1200000000000045E-2</v>
      </c>
      <c r="J1401" s="16">
        <f t="shared" si="109"/>
        <v>1.0212000000000001</v>
      </c>
      <c r="K1401" s="16">
        <f t="shared" si="110"/>
        <v>48.975789473684209</v>
      </c>
      <c r="L1401" s="16">
        <f t="shared" ref="L1401:L1464" si="111">AVERAGE(C1352:C1400)</f>
        <v>47.685918367346943</v>
      </c>
      <c r="M1401" s="25" t="str">
        <f t="shared" ref="M1401:M1464" si="112">IF(AND(K1401&gt;L1401,K1400&lt;=L1400),"BUY",IF(AND(K1401&lt;L1401,K1400&gt;=L1400),"SELL","HOLD"))</f>
        <v>HOLD</v>
      </c>
    </row>
    <row r="1402" spans="2:13">
      <c r="B1402" s="3">
        <v>44088</v>
      </c>
      <c r="C1402" s="5">
        <v>50.71</v>
      </c>
      <c r="D1402" s="5">
        <v>50.97</v>
      </c>
      <c r="E1402" s="5">
        <v>51.23</v>
      </c>
      <c r="F1402" s="5">
        <v>50.57</v>
      </c>
      <c r="G1402" s="18" t="s">
        <v>686</v>
      </c>
      <c r="H1402" s="2">
        <v>-6.8999999999999999E-3</v>
      </c>
      <c r="I1402" s="16">
        <f t="shared" si="108"/>
        <v>-6.8546807677242732E-3</v>
      </c>
      <c r="J1402" s="16">
        <f t="shared" si="109"/>
        <v>0.99314531923227578</v>
      </c>
      <c r="K1402" s="16">
        <f t="shared" si="110"/>
        <v>49.113157894736837</v>
      </c>
      <c r="L1402" s="16">
        <f t="shared" si="111"/>
        <v>47.81204081632653</v>
      </c>
      <c r="M1402" s="25" t="str">
        <f t="shared" si="112"/>
        <v>HOLD</v>
      </c>
    </row>
    <row r="1403" spans="2:13">
      <c r="B1403" s="3">
        <v>44089</v>
      </c>
      <c r="C1403" s="5">
        <v>51.05</v>
      </c>
      <c r="D1403" s="5">
        <v>51</v>
      </c>
      <c r="E1403" s="5">
        <v>51.38</v>
      </c>
      <c r="F1403" s="5">
        <v>50.84</v>
      </c>
      <c r="G1403" s="18" t="s">
        <v>805</v>
      </c>
      <c r="H1403" s="2">
        <v>6.7000000000000002E-3</v>
      </c>
      <c r="I1403" s="16">
        <f t="shared" si="108"/>
        <v>6.704791954249582E-3</v>
      </c>
      <c r="J1403" s="16">
        <f t="shared" si="109"/>
        <v>1.0067047919542496</v>
      </c>
      <c r="K1403" s="16">
        <f t="shared" si="110"/>
        <v>49.244736842105254</v>
      </c>
      <c r="L1403" s="16">
        <f t="shared" si="111"/>
        <v>47.923877551020411</v>
      </c>
      <c r="M1403" s="25" t="str">
        <f t="shared" si="112"/>
        <v>HOLD</v>
      </c>
    </row>
    <row r="1404" spans="2:13">
      <c r="B1404" s="3">
        <v>44090</v>
      </c>
      <c r="C1404" s="5">
        <v>50.79</v>
      </c>
      <c r="D1404" s="5">
        <v>50.95</v>
      </c>
      <c r="E1404" s="5">
        <v>51.45</v>
      </c>
      <c r="F1404" s="5">
        <v>50.74</v>
      </c>
      <c r="G1404" s="18" t="s">
        <v>804</v>
      </c>
      <c r="H1404" s="2">
        <v>-5.1000000000000004E-3</v>
      </c>
      <c r="I1404" s="16">
        <f t="shared" si="108"/>
        <v>-5.0930460333006473E-3</v>
      </c>
      <c r="J1404" s="16">
        <f t="shared" si="109"/>
        <v>0.99490695396669937</v>
      </c>
      <c r="K1404" s="16">
        <f t="shared" si="110"/>
        <v>49.38315789473684</v>
      </c>
      <c r="L1404" s="16">
        <f t="shared" si="111"/>
        <v>48.043061224489804</v>
      </c>
      <c r="M1404" s="25" t="str">
        <f t="shared" si="112"/>
        <v>HOLD</v>
      </c>
    </row>
    <row r="1405" spans="2:13">
      <c r="B1405" s="3">
        <v>44091</v>
      </c>
      <c r="C1405" s="5">
        <v>50.55</v>
      </c>
      <c r="D1405" s="5">
        <v>50.22</v>
      </c>
      <c r="E1405" s="5">
        <v>50.63</v>
      </c>
      <c r="F1405" s="5">
        <v>49.94</v>
      </c>
      <c r="G1405" s="18" t="s">
        <v>107</v>
      </c>
      <c r="H1405" s="2">
        <v>-4.7000000000000002E-3</v>
      </c>
      <c r="I1405" s="16">
        <f t="shared" si="108"/>
        <v>-4.7253396337862174E-3</v>
      </c>
      <c r="J1405" s="16">
        <f t="shared" si="109"/>
        <v>0.99527466036621381</v>
      </c>
      <c r="K1405" s="16">
        <f t="shared" si="110"/>
        <v>49.563157894736833</v>
      </c>
      <c r="L1405" s="16">
        <f t="shared" si="111"/>
        <v>48.159795918367358</v>
      </c>
      <c r="M1405" s="25" t="str">
        <f t="shared" si="112"/>
        <v>HOLD</v>
      </c>
    </row>
    <row r="1406" spans="2:13">
      <c r="B1406" s="3">
        <v>44092</v>
      </c>
      <c r="C1406" s="5">
        <v>50.45</v>
      </c>
      <c r="D1406" s="5">
        <v>50.75</v>
      </c>
      <c r="E1406" s="5">
        <v>51.16</v>
      </c>
      <c r="F1406" s="5">
        <v>50.21</v>
      </c>
      <c r="G1406" s="18" t="s">
        <v>803</v>
      </c>
      <c r="H1406" s="2">
        <v>-2E-3</v>
      </c>
      <c r="I1406" s="16">
        <f t="shared" si="108"/>
        <v>-1.9782393669632902E-3</v>
      </c>
      <c r="J1406" s="16">
        <f t="shared" si="109"/>
        <v>0.99802176063303671</v>
      </c>
      <c r="K1406" s="16">
        <f t="shared" si="110"/>
        <v>49.731578947368412</v>
      </c>
      <c r="L1406" s="16">
        <f t="shared" si="111"/>
        <v>48.295306122448984</v>
      </c>
      <c r="M1406" s="25" t="str">
        <f t="shared" si="112"/>
        <v>HOLD</v>
      </c>
    </row>
    <row r="1407" spans="2:13">
      <c r="B1407" s="3">
        <v>44095</v>
      </c>
      <c r="C1407" s="5">
        <v>49.09</v>
      </c>
      <c r="D1407" s="5">
        <v>49.75</v>
      </c>
      <c r="E1407" s="5">
        <v>50.02</v>
      </c>
      <c r="F1407" s="5">
        <v>48.6</v>
      </c>
      <c r="G1407" s="18" t="s">
        <v>733</v>
      </c>
      <c r="H1407" s="2">
        <v>-2.7E-2</v>
      </c>
      <c r="I1407" s="16">
        <f t="shared" si="108"/>
        <v>-2.6957383548067381E-2</v>
      </c>
      <c r="J1407" s="16">
        <f t="shared" si="109"/>
        <v>0.97304261645193257</v>
      </c>
      <c r="K1407" s="16">
        <f t="shared" si="110"/>
        <v>49.898421052631576</v>
      </c>
      <c r="L1407" s="16">
        <f t="shared" si="111"/>
        <v>48.403469387755109</v>
      </c>
      <c r="M1407" s="25" t="str">
        <f t="shared" si="112"/>
        <v>HOLD</v>
      </c>
    </row>
    <row r="1408" spans="2:13">
      <c r="B1408" s="3">
        <v>44096</v>
      </c>
      <c r="C1408" s="5">
        <v>49.66</v>
      </c>
      <c r="D1408" s="5">
        <v>49.11</v>
      </c>
      <c r="E1408" s="5">
        <v>50.03</v>
      </c>
      <c r="F1408" s="5">
        <v>49.07</v>
      </c>
      <c r="G1408" s="18" t="s">
        <v>255</v>
      </c>
      <c r="H1408" s="2">
        <v>1.1599999999999999E-2</v>
      </c>
      <c r="I1408" s="16">
        <f t="shared" si="108"/>
        <v>1.1611326135669038E-2</v>
      </c>
      <c r="J1408" s="16">
        <f t="shared" si="109"/>
        <v>1.011611326135669</v>
      </c>
      <c r="K1408" s="16">
        <f t="shared" si="110"/>
        <v>49.957368421052628</v>
      </c>
      <c r="L1408" s="16">
        <f t="shared" si="111"/>
        <v>48.481836734693893</v>
      </c>
      <c r="M1408" s="25" t="str">
        <f t="shared" si="112"/>
        <v>HOLD</v>
      </c>
    </row>
    <row r="1409" spans="2:13">
      <c r="B1409" s="3">
        <v>44097</v>
      </c>
      <c r="C1409" s="5">
        <v>48.21</v>
      </c>
      <c r="D1409" s="5">
        <v>49.73</v>
      </c>
      <c r="E1409" s="5">
        <v>49.92</v>
      </c>
      <c r="F1409" s="5">
        <v>48.17</v>
      </c>
      <c r="G1409" s="18" t="s">
        <v>802</v>
      </c>
      <c r="H1409" s="2">
        <v>-2.92E-2</v>
      </c>
      <c r="I1409" s="16">
        <f t="shared" si="108"/>
        <v>-2.9198550140958433E-2</v>
      </c>
      <c r="J1409" s="16">
        <f t="shared" si="109"/>
        <v>0.9708014498590416</v>
      </c>
      <c r="K1409" s="16">
        <f t="shared" si="110"/>
        <v>50.049473684210518</v>
      </c>
      <c r="L1409" s="16">
        <f t="shared" si="111"/>
        <v>48.559183673469391</v>
      </c>
      <c r="M1409" s="25" t="str">
        <f t="shared" si="112"/>
        <v>HOLD</v>
      </c>
    </row>
    <row r="1410" spans="2:13">
      <c r="B1410" s="3">
        <v>44098</v>
      </c>
      <c r="C1410" s="5">
        <v>48.7</v>
      </c>
      <c r="D1410" s="5">
        <v>48.21</v>
      </c>
      <c r="E1410" s="5">
        <v>49.1</v>
      </c>
      <c r="F1410" s="5">
        <v>47.56</v>
      </c>
      <c r="G1410" s="18" t="s">
        <v>8</v>
      </c>
      <c r="H1410" s="2">
        <v>1.0200000000000001E-2</v>
      </c>
      <c r="I1410" s="16">
        <f t="shared" si="108"/>
        <v>1.0163866417755693E-2</v>
      </c>
      <c r="J1410" s="16">
        <f t="shared" si="109"/>
        <v>1.0101638664177557</v>
      </c>
      <c r="K1410" s="16">
        <f t="shared" si="110"/>
        <v>50.052105263157898</v>
      </c>
      <c r="L1410" s="16">
        <f t="shared" si="111"/>
        <v>48.596122448979592</v>
      </c>
      <c r="M1410" s="25" t="str">
        <f t="shared" si="112"/>
        <v>HOLD</v>
      </c>
    </row>
    <row r="1411" spans="2:13">
      <c r="B1411" s="3">
        <v>44099</v>
      </c>
      <c r="C1411" s="5">
        <v>48.72</v>
      </c>
      <c r="D1411" s="5">
        <v>48.2</v>
      </c>
      <c r="E1411" s="5">
        <v>48.76</v>
      </c>
      <c r="F1411" s="5">
        <v>47.98</v>
      </c>
      <c r="G1411" s="18" t="s">
        <v>368</v>
      </c>
      <c r="H1411" s="2">
        <v>4.0000000000000002E-4</v>
      </c>
      <c r="I1411" s="16">
        <f t="shared" si="108"/>
        <v>4.1067761806973344E-4</v>
      </c>
      <c r="J1411" s="16">
        <f t="shared" si="109"/>
        <v>1.0004106776180697</v>
      </c>
      <c r="K1411" s="16">
        <f t="shared" si="110"/>
        <v>50.076842105263161</v>
      </c>
      <c r="L1411" s="16">
        <f t="shared" si="111"/>
        <v>48.648163265306117</v>
      </c>
      <c r="M1411" s="25" t="str">
        <f t="shared" si="112"/>
        <v>HOLD</v>
      </c>
    </row>
    <row r="1412" spans="2:13">
      <c r="B1412" s="3">
        <v>44102</v>
      </c>
      <c r="C1412" s="5">
        <v>49.28</v>
      </c>
      <c r="D1412" s="5">
        <v>49.31</v>
      </c>
      <c r="E1412" s="5">
        <v>49.71</v>
      </c>
      <c r="F1412" s="5">
        <v>49.14</v>
      </c>
      <c r="G1412" s="18" t="s">
        <v>474</v>
      </c>
      <c r="H1412" s="2">
        <v>1.15E-2</v>
      </c>
      <c r="I1412" s="16">
        <f t="shared" si="108"/>
        <v>1.1494252873563265E-2</v>
      </c>
      <c r="J1412" s="16">
        <f t="shared" si="109"/>
        <v>1.0114942528735633</v>
      </c>
      <c r="K1412" s="16">
        <f t="shared" si="110"/>
        <v>50.018421052631581</v>
      </c>
      <c r="L1412" s="16">
        <f t="shared" si="111"/>
        <v>48.686938775510193</v>
      </c>
      <c r="M1412" s="25" t="str">
        <f t="shared" si="112"/>
        <v>HOLD</v>
      </c>
    </row>
    <row r="1413" spans="2:13">
      <c r="B1413" s="3">
        <v>44103</v>
      </c>
      <c r="C1413" s="5">
        <v>48.92</v>
      </c>
      <c r="D1413" s="5">
        <v>49.39</v>
      </c>
      <c r="E1413" s="5">
        <v>49.55</v>
      </c>
      <c r="F1413" s="5">
        <v>48.91</v>
      </c>
      <c r="G1413" s="18" t="s">
        <v>209</v>
      </c>
      <c r="H1413" s="2">
        <v>-7.3000000000000001E-3</v>
      </c>
      <c r="I1413" s="16">
        <f t="shared" si="108"/>
        <v>-7.3051948051947938E-3</v>
      </c>
      <c r="J1413" s="16">
        <f t="shared" si="109"/>
        <v>0.99269480519480524</v>
      </c>
      <c r="K1413" s="16">
        <f t="shared" si="110"/>
        <v>50.005263157894738</v>
      </c>
      <c r="L1413" s="16">
        <f t="shared" si="111"/>
        <v>48.751428571428555</v>
      </c>
      <c r="M1413" s="25" t="str">
        <f t="shared" si="112"/>
        <v>HOLD</v>
      </c>
    </row>
    <row r="1414" spans="2:13">
      <c r="B1414" s="3">
        <v>44104</v>
      </c>
      <c r="C1414" s="5">
        <v>49.37</v>
      </c>
      <c r="D1414" s="5">
        <v>49.27</v>
      </c>
      <c r="E1414" s="5">
        <v>49.62</v>
      </c>
      <c r="F1414" s="5">
        <v>48.89</v>
      </c>
      <c r="G1414" s="18" t="s">
        <v>801</v>
      </c>
      <c r="H1414" s="2">
        <v>9.1999999999999998E-3</v>
      </c>
      <c r="I1414" s="16">
        <f t="shared" si="108"/>
        <v>9.1986917416188828E-3</v>
      </c>
      <c r="J1414" s="16">
        <f t="shared" si="109"/>
        <v>1.0091986917416189</v>
      </c>
      <c r="K1414" s="16">
        <f t="shared" si="110"/>
        <v>49.994736842105269</v>
      </c>
      <c r="L1414" s="16">
        <f t="shared" si="111"/>
        <v>48.786530612244889</v>
      </c>
      <c r="M1414" s="25" t="str">
        <f t="shared" si="112"/>
        <v>HOLD</v>
      </c>
    </row>
    <row r="1415" spans="2:13">
      <c r="B1415" s="3">
        <v>44105</v>
      </c>
      <c r="C1415" s="5">
        <v>49.18</v>
      </c>
      <c r="D1415" s="5">
        <v>49.44</v>
      </c>
      <c r="E1415" s="5">
        <v>49.66</v>
      </c>
      <c r="F1415" s="5">
        <v>48.59</v>
      </c>
      <c r="G1415" s="18" t="s">
        <v>800</v>
      </c>
      <c r="H1415" s="2">
        <v>-3.8E-3</v>
      </c>
      <c r="I1415" s="16">
        <f t="shared" si="108"/>
        <v>-3.8484909864289598E-3</v>
      </c>
      <c r="J1415" s="16">
        <f t="shared" si="109"/>
        <v>0.99615150901357108</v>
      </c>
      <c r="K1415" s="16">
        <f t="shared" si="110"/>
        <v>49.898947368421055</v>
      </c>
      <c r="L1415" s="16">
        <f t="shared" si="111"/>
        <v>48.804693877551017</v>
      </c>
      <c r="M1415" s="25" t="str">
        <f t="shared" si="112"/>
        <v>HOLD</v>
      </c>
    </row>
    <row r="1416" spans="2:13">
      <c r="B1416" s="3">
        <v>44106</v>
      </c>
      <c r="C1416" s="5">
        <v>49.36</v>
      </c>
      <c r="D1416" s="5">
        <v>48.76</v>
      </c>
      <c r="E1416" s="5">
        <v>49.58</v>
      </c>
      <c r="F1416" s="5">
        <v>48.55</v>
      </c>
      <c r="G1416" s="18" t="s">
        <v>239</v>
      </c>
      <c r="H1416" s="2">
        <v>3.7000000000000002E-3</v>
      </c>
      <c r="I1416" s="16">
        <f t="shared" si="108"/>
        <v>3.6600244001626621E-3</v>
      </c>
      <c r="J1416" s="16">
        <f t="shared" si="109"/>
        <v>1.0036600244001626</v>
      </c>
      <c r="K1416" s="16">
        <f t="shared" si="110"/>
        <v>49.83052631578947</v>
      </c>
      <c r="L1416" s="16">
        <f t="shared" si="111"/>
        <v>48.823061224489784</v>
      </c>
      <c r="M1416" s="25" t="str">
        <f t="shared" si="112"/>
        <v>HOLD</v>
      </c>
    </row>
    <row r="1417" spans="2:13">
      <c r="B1417" s="3">
        <v>44109</v>
      </c>
      <c r="C1417" s="5">
        <v>49.38</v>
      </c>
      <c r="D1417" s="5">
        <v>49.43</v>
      </c>
      <c r="E1417" s="5">
        <v>49.55</v>
      </c>
      <c r="F1417" s="5">
        <v>49.12</v>
      </c>
      <c r="G1417" s="18" t="s">
        <v>799</v>
      </c>
      <c r="H1417" s="2">
        <v>4.0000000000000002E-4</v>
      </c>
      <c r="I1417" s="16">
        <f t="shared" ref="I1417:I1480" si="113">(C1417-C1416)/C1416</f>
        <v>4.0518638573750257E-4</v>
      </c>
      <c r="J1417" s="16">
        <f t="shared" ref="J1417:J1480" si="114">C1417/C1416</f>
        <v>1.0004051863857375</v>
      </c>
      <c r="K1417" s="16">
        <f t="shared" si="110"/>
        <v>49.742105263157896</v>
      </c>
      <c r="L1417" s="16">
        <f t="shared" si="111"/>
        <v>48.8408163265306</v>
      </c>
      <c r="M1417" s="25" t="str">
        <f t="shared" si="112"/>
        <v>HOLD</v>
      </c>
    </row>
    <row r="1418" spans="2:13">
      <c r="B1418" s="3">
        <v>44110</v>
      </c>
      <c r="C1418" s="5">
        <v>48.94</v>
      </c>
      <c r="D1418" s="5">
        <v>49.55</v>
      </c>
      <c r="E1418" s="5">
        <v>49.73</v>
      </c>
      <c r="F1418" s="5">
        <v>48.83</v>
      </c>
      <c r="G1418" s="18" t="s">
        <v>481</v>
      </c>
      <c r="H1418" s="2">
        <v>-8.8999999999999999E-3</v>
      </c>
      <c r="I1418" s="16">
        <f t="shared" si="113"/>
        <v>-8.9104900769543301E-3</v>
      </c>
      <c r="J1418" s="16">
        <f t="shared" si="114"/>
        <v>0.99108950992304568</v>
      </c>
      <c r="K1418" s="16">
        <f t="shared" si="110"/>
        <v>49.719473684210527</v>
      </c>
      <c r="L1418" s="16">
        <f t="shared" si="111"/>
        <v>48.859183673469389</v>
      </c>
      <c r="M1418" s="25" t="str">
        <f t="shared" si="112"/>
        <v>HOLD</v>
      </c>
    </row>
    <row r="1419" spans="2:13">
      <c r="B1419" s="3">
        <v>44111</v>
      </c>
      <c r="C1419" s="5">
        <v>49.56</v>
      </c>
      <c r="D1419" s="5">
        <v>49.02</v>
      </c>
      <c r="E1419" s="5">
        <v>49.76</v>
      </c>
      <c r="F1419" s="5">
        <v>48.95</v>
      </c>
      <c r="G1419" s="18" t="s">
        <v>193</v>
      </c>
      <c r="H1419" s="2">
        <v>1.2699999999999999E-2</v>
      </c>
      <c r="I1419" s="16">
        <f t="shared" si="113"/>
        <v>1.2668573763792492E-2</v>
      </c>
      <c r="J1419" s="16">
        <f t="shared" si="114"/>
        <v>1.0126685737637926</v>
      </c>
      <c r="K1419" s="16">
        <f t="shared" si="110"/>
        <v>49.653684210526308</v>
      </c>
      <c r="L1419" s="16">
        <f t="shared" si="111"/>
        <v>48.874693877551024</v>
      </c>
      <c r="M1419" s="25" t="str">
        <f t="shared" si="112"/>
        <v>HOLD</v>
      </c>
    </row>
    <row r="1420" spans="2:13">
      <c r="B1420" s="3">
        <v>44112</v>
      </c>
      <c r="C1420" s="5">
        <v>50.46</v>
      </c>
      <c r="D1420" s="5">
        <v>49.71</v>
      </c>
      <c r="E1420" s="5">
        <v>50.54</v>
      </c>
      <c r="F1420" s="5">
        <v>49.53</v>
      </c>
      <c r="G1420" s="18" t="s">
        <v>146</v>
      </c>
      <c r="H1420" s="2">
        <v>1.8200000000000001E-2</v>
      </c>
      <c r="I1420" s="16">
        <f t="shared" si="113"/>
        <v>1.8159806295399487E-2</v>
      </c>
      <c r="J1420" s="16">
        <f t="shared" si="114"/>
        <v>1.0181598062953996</v>
      </c>
      <c r="K1420" s="16">
        <f t="shared" si="110"/>
        <v>49.63052631578946</v>
      </c>
      <c r="L1420" s="16">
        <f t="shared" si="111"/>
        <v>48.906122448979595</v>
      </c>
      <c r="M1420" s="25" t="str">
        <f t="shared" si="112"/>
        <v>HOLD</v>
      </c>
    </row>
    <row r="1421" spans="2:13">
      <c r="B1421" s="3">
        <v>44113</v>
      </c>
      <c r="C1421" s="5">
        <v>50.81</v>
      </c>
      <c r="D1421" s="5">
        <v>50.67</v>
      </c>
      <c r="E1421" s="5">
        <v>51.23</v>
      </c>
      <c r="F1421" s="5">
        <v>50.6</v>
      </c>
      <c r="G1421" s="18" t="s">
        <v>798</v>
      </c>
      <c r="H1421" s="2">
        <v>6.8999999999999999E-3</v>
      </c>
      <c r="I1421" s="16">
        <f t="shared" si="113"/>
        <v>6.9361870788743844E-3</v>
      </c>
      <c r="J1421" s="16">
        <f t="shared" si="114"/>
        <v>1.0069361870788744</v>
      </c>
      <c r="K1421" s="16">
        <f t="shared" si="110"/>
        <v>49.598947368421044</v>
      </c>
      <c r="L1421" s="16">
        <f t="shared" si="111"/>
        <v>48.962653061224493</v>
      </c>
      <c r="M1421" s="25" t="str">
        <f t="shared" si="112"/>
        <v>HOLD</v>
      </c>
    </row>
    <row r="1422" spans="2:13">
      <c r="B1422" s="3">
        <v>44116</v>
      </c>
      <c r="C1422" s="5">
        <v>51.09</v>
      </c>
      <c r="D1422" s="5">
        <v>50.84</v>
      </c>
      <c r="E1422" s="5">
        <v>51.52</v>
      </c>
      <c r="F1422" s="5">
        <v>50.83</v>
      </c>
      <c r="G1422" s="18" t="s">
        <v>797</v>
      </c>
      <c r="H1422" s="2">
        <v>5.4999999999999997E-3</v>
      </c>
      <c r="I1422" s="16">
        <f t="shared" si="113"/>
        <v>5.510726234993134E-3</v>
      </c>
      <c r="J1422" s="16">
        <f t="shared" si="114"/>
        <v>1.0055107262349932</v>
      </c>
      <c r="K1422" s="16">
        <f t="shared" si="110"/>
        <v>49.604210526315775</v>
      </c>
      <c r="L1422" s="16">
        <f t="shared" si="111"/>
        <v>49.035510204081625</v>
      </c>
      <c r="M1422" s="25" t="str">
        <f t="shared" si="112"/>
        <v>HOLD</v>
      </c>
    </row>
    <row r="1423" spans="2:13">
      <c r="B1423" s="3">
        <v>44117</v>
      </c>
      <c r="C1423" s="5">
        <v>50.22</v>
      </c>
      <c r="D1423" s="5">
        <v>50.99</v>
      </c>
      <c r="E1423" s="5">
        <v>50.99</v>
      </c>
      <c r="F1423" s="5">
        <v>49.9</v>
      </c>
      <c r="G1423" s="18" t="s">
        <v>749</v>
      </c>
      <c r="H1423" s="2">
        <v>-1.7000000000000001E-2</v>
      </c>
      <c r="I1423" s="16">
        <f t="shared" si="113"/>
        <v>-1.7028772753963681E-2</v>
      </c>
      <c r="J1423" s="16">
        <f t="shared" si="114"/>
        <v>0.98297122724603636</v>
      </c>
      <c r="K1423" s="16">
        <f t="shared" si="110"/>
        <v>49.606315789473676</v>
      </c>
      <c r="L1423" s="16">
        <f t="shared" si="111"/>
        <v>49.133265306122453</v>
      </c>
      <c r="M1423" s="25" t="str">
        <f t="shared" si="112"/>
        <v>HOLD</v>
      </c>
    </row>
    <row r="1424" spans="2:13">
      <c r="B1424" s="3">
        <v>44118</v>
      </c>
      <c r="C1424" s="5">
        <v>50.12</v>
      </c>
      <c r="D1424" s="5">
        <v>50.05</v>
      </c>
      <c r="E1424" s="5">
        <v>50.49</v>
      </c>
      <c r="F1424" s="5">
        <v>49.65</v>
      </c>
      <c r="G1424" s="18" t="s">
        <v>796</v>
      </c>
      <c r="H1424" s="2">
        <v>-2E-3</v>
      </c>
      <c r="I1424" s="16">
        <f t="shared" si="113"/>
        <v>-1.9912385503783638E-3</v>
      </c>
      <c r="J1424" s="16">
        <f t="shared" si="114"/>
        <v>0.99800876144962158</v>
      </c>
      <c r="K1424" s="16">
        <f t="shared" si="110"/>
        <v>49.576315789473682</v>
      </c>
      <c r="L1424" s="16">
        <f t="shared" si="111"/>
        <v>49.205306122448981</v>
      </c>
      <c r="M1424" s="25" t="str">
        <f t="shared" si="112"/>
        <v>HOLD</v>
      </c>
    </row>
    <row r="1425" spans="2:13">
      <c r="B1425" s="3">
        <v>44119</v>
      </c>
      <c r="C1425" s="5">
        <v>49.99</v>
      </c>
      <c r="D1425" s="5">
        <v>49.4</v>
      </c>
      <c r="E1425" s="5">
        <v>50.13</v>
      </c>
      <c r="F1425" s="5">
        <v>49.3</v>
      </c>
      <c r="G1425" s="18" t="s">
        <v>795</v>
      </c>
      <c r="H1425" s="2">
        <v>-2.5999999999999999E-3</v>
      </c>
      <c r="I1425" s="16">
        <f t="shared" si="113"/>
        <v>-2.5937749401435646E-3</v>
      </c>
      <c r="J1425" s="16">
        <f t="shared" si="114"/>
        <v>0.99740622505985643</v>
      </c>
      <c r="K1425" s="16">
        <f t="shared" si="110"/>
        <v>49.553684210526313</v>
      </c>
      <c r="L1425" s="16">
        <f t="shared" si="111"/>
        <v>49.264489795918358</v>
      </c>
      <c r="M1425" s="25" t="str">
        <f t="shared" si="112"/>
        <v>HOLD</v>
      </c>
    </row>
    <row r="1426" spans="2:13">
      <c r="B1426" s="3">
        <v>44120</v>
      </c>
      <c r="C1426" s="5">
        <v>50.03</v>
      </c>
      <c r="D1426" s="5">
        <v>49.99</v>
      </c>
      <c r="E1426" s="5">
        <v>50.35</v>
      </c>
      <c r="F1426" s="5">
        <v>49.87</v>
      </c>
      <c r="G1426" s="18" t="s">
        <v>794</v>
      </c>
      <c r="H1426" s="2">
        <v>8.0000000000000004E-4</v>
      </c>
      <c r="I1426" s="16">
        <f t="shared" si="113"/>
        <v>8.0016003200638415E-4</v>
      </c>
      <c r="J1426" s="16">
        <f t="shared" si="114"/>
        <v>1.0008001600320064</v>
      </c>
      <c r="K1426" s="16">
        <f t="shared" si="110"/>
        <v>49.529473684210537</v>
      </c>
      <c r="L1426" s="16">
        <f t="shared" si="111"/>
        <v>49.315714285714272</v>
      </c>
      <c r="M1426" s="25" t="str">
        <f t="shared" si="112"/>
        <v>HOLD</v>
      </c>
    </row>
    <row r="1427" spans="2:13">
      <c r="B1427" s="3">
        <v>44123</v>
      </c>
      <c r="C1427" s="5">
        <v>49.62</v>
      </c>
      <c r="D1427" s="5">
        <v>50.03</v>
      </c>
      <c r="E1427" s="5">
        <v>50.48</v>
      </c>
      <c r="F1427" s="5">
        <v>49.46</v>
      </c>
      <c r="G1427" s="18" t="s">
        <v>237</v>
      </c>
      <c r="H1427" s="2">
        <v>-8.2000000000000007E-3</v>
      </c>
      <c r="I1427" s="16">
        <f t="shared" si="113"/>
        <v>-8.1950829502299358E-3</v>
      </c>
      <c r="J1427" s="16">
        <f t="shared" si="114"/>
        <v>0.99180491704977003</v>
      </c>
      <c r="K1427" s="16">
        <f t="shared" si="110"/>
        <v>49.578947368421055</v>
      </c>
      <c r="L1427" s="16">
        <f t="shared" si="111"/>
        <v>49.361224489795916</v>
      </c>
      <c r="M1427" s="25" t="str">
        <f t="shared" si="112"/>
        <v>HOLD</v>
      </c>
    </row>
    <row r="1428" spans="2:13">
      <c r="B1428" s="3">
        <v>44124</v>
      </c>
      <c r="C1428" s="5">
        <v>50.25</v>
      </c>
      <c r="D1428" s="5">
        <v>49.89</v>
      </c>
      <c r="E1428" s="5">
        <v>50.62</v>
      </c>
      <c r="F1428" s="5">
        <v>49.79</v>
      </c>
      <c r="G1428" s="18" t="s">
        <v>469</v>
      </c>
      <c r="H1428" s="2">
        <v>1.2699999999999999E-2</v>
      </c>
      <c r="I1428" s="16">
        <f t="shared" si="113"/>
        <v>1.2696493349455917E-2</v>
      </c>
      <c r="J1428" s="16">
        <f t="shared" si="114"/>
        <v>1.012696493349456</v>
      </c>
      <c r="K1428" s="16">
        <f t="shared" si="110"/>
        <v>49.576842105263168</v>
      </c>
      <c r="L1428" s="16">
        <f t="shared" si="111"/>
        <v>49.399999999999991</v>
      </c>
      <c r="M1428" s="25" t="str">
        <f t="shared" si="112"/>
        <v>HOLD</v>
      </c>
    </row>
    <row r="1429" spans="2:13">
      <c r="B1429" s="3">
        <v>44125</v>
      </c>
      <c r="C1429" s="5">
        <v>49.99</v>
      </c>
      <c r="D1429" s="5">
        <v>49.96</v>
      </c>
      <c r="E1429" s="5">
        <v>50.43</v>
      </c>
      <c r="F1429" s="5">
        <v>49.77</v>
      </c>
      <c r="G1429" s="18" t="s">
        <v>437</v>
      </c>
      <c r="H1429" s="2">
        <v>-5.1999999999999998E-3</v>
      </c>
      <c r="I1429" s="16">
        <f t="shared" si="113"/>
        <v>-5.1741293532337916E-3</v>
      </c>
      <c r="J1429" s="16">
        <f t="shared" si="114"/>
        <v>0.9948258706467662</v>
      </c>
      <c r="K1429" s="16">
        <f t="shared" si="110"/>
        <v>49.684210526315795</v>
      </c>
      <c r="L1429" s="16">
        <f t="shared" si="111"/>
        <v>49.447346938775503</v>
      </c>
      <c r="M1429" s="25" t="str">
        <f t="shared" si="112"/>
        <v>HOLD</v>
      </c>
    </row>
    <row r="1430" spans="2:13">
      <c r="B1430" s="3">
        <v>44126</v>
      </c>
      <c r="C1430" s="5">
        <v>50.68</v>
      </c>
      <c r="D1430" s="5">
        <v>51.17</v>
      </c>
      <c r="E1430" s="5">
        <v>51.2</v>
      </c>
      <c r="F1430" s="5">
        <v>50.38</v>
      </c>
      <c r="G1430" s="18" t="s">
        <v>628</v>
      </c>
      <c r="H1430" s="2">
        <v>1.38E-2</v>
      </c>
      <c r="I1430" s="16">
        <f t="shared" si="113"/>
        <v>1.3802760552110376E-2</v>
      </c>
      <c r="J1430" s="16">
        <f t="shared" si="114"/>
        <v>1.0138027605521103</v>
      </c>
      <c r="K1430" s="16">
        <f t="shared" si="110"/>
        <v>49.752105263157901</v>
      </c>
      <c r="L1430" s="16">
        <f t="shared" si="111"/>
        <v>49.479183673469379</v>
      </c>
      <c r="M1430" s="25" t="str">
        <f t="shared" si="112"/>
        <v>HOLD</v>
      </c>
    </row>
    <row r="1431" spans="2:13">
      <c r="B1431" s="3">
        <v>44127</v>
      </c>
      <c r="C1431" s="5">
        <v>50.52</v>
      </c>
      <c r="D1431" s="5">
        <v>51</v>
      </c>
      <c r="E1431" s="5">
        <v>51.18</v>
      </c>
      <c r="F1431" s="5">
        <v>50.47</v>
      </c>
      <c r="G1431" s="18" t="s">
        <v>793</v>
      </c>
      <c r="H1431" s="2">
        <v>-3.2000000000000002E-3</v>
      </c>
      <c r="I1431" s="16">
        <f t="shared" si="113"/>
        <v>-3.1570639305445263E-3</v>
      </c>
      <c r="J1431" s="16">
        <f t="shared" si="114"/>
        <v>0.99684293606945551</v>
      </c>
      <c r="K1431" s="16">
        <f t="shared" si="110"/>
        <v>49.85526315789474</v>
      </c>
      <c r="L1431" s="16">
        <f t="shared" si="111"/>
        <v>49.526122448979578</v>
      </c>
      <c r="M1431" s="25" t="str">
        <f t="shared" si="112"/>
        <v>HOLD</v>
      </c>
    </row>
    <row r="1432" spans="2:13">
      <c r="B1432" s="3">
        <v>44130</v>
      </c>
      <c r="C1432" s="5">
        <v>49.8</v>
      </c>
      <c r="D1432" s="5">
        <v>50.34</v>
      </c>
      <c r="E1432" s="5">
        <v>50.51</v>
      </c>
      <c r="F1432" s="5">
        <v>49.2</v>
      </c>
      <c r="G1432" s="18" t="s">
        <v>792</v>
      </c>
      <c r="H1432" s="2">
        <v>-1.43E-2</v>
      </c>
      <c r="I1432" s="16">
        <f t="shared" si="113"/>
        <v>-1.4251781472684202E-2</v>
      </c>
      <c r="J1432" s="16">
        <f t="shared" si="114"/>
        <v>0.98574821852731576</v>
      </c>
      <c r="K1432" s="16">
        <f t="shared" si="110"/>
        <v>49.920526315789466</v>
      </c>
      <c r="L1432" s="16">
        <f t="shared" si="111"/>
        <v>49.568367346938764</v>
      </c>
      <c r="M1432" s="25" t="str">
        <f t="shared" si="112"/>
        <v>HOLD</v>
      </c>
    </row>
    <row r="1433" spans="2:13">
      <c r="B1433" s="3">
        <v>44131</v>
      </c>
      <c r="C1433" s="5">
        <v>49.9</v>
      </c>
      <c r="D1433" s="5">
        <v>49.81</v>
      </c>
      <c r="E1433" s="5">
        <v>50.28</v>
      </c>
      <c r="F1433" s="5">
        <v>49.55</v>
      </c>
      <c r="G1433" s="18" t="s">
        <v>291</v>
      </c>
      <c r="H1433" s="2">
        <v>2E-3</v>
      </c>
      <c r="I1433" s="16">
        <f t="shared" si="113"/>
        <v>2.0080321285140847E-3</v>
      </c>
      <c r="J1433" s="16">
        <f t="shared" si="114"/>
        <v>1.0020080321285141</v>
      </c>
      <c r="K1433" s="16">
        <f t="shared" si="110"/>
        <v>49.966842105263154</v>
      </c>
      <c r="L1433" s="16">
        <f t="shared" si="111"/>
        <v>49.600816326530605</v>
      </c>
      <c r="M1433" s="25" t="str">
        <f t="shared" si="112"/>
        <v>HOLD</v>
      </c>
    </row>
    <row r="1434" spans="2:13">
      <c r="B1434" s="3">
        <v>44132</v>
      </c>
      <c r="C1434" s="5">
        <v>47.96</v>
      </c>
      <c r="D1434" s="5">
        <v>49</v>
      </c>
      <c r="E1434" s="5">
        <v>49.15</v>
      </c>
      <c r="F1434" s="5">
        <v>47.78</v>
      </c>
      <c r="G1434" s="18" t="s">
        <v>791</v>
      </c>
      <c r="H1434" s="2">
        <v>-3.8899999999999997E-2</v>
      </c>
      <c r="I1434" s="16">
        <f t="shared" si="113"/>
        <v>-3.8877755511022002E-2</v>
      </c>
      <c r="J1434" s="16">
        <f t="shared" si="114"/>
        <v>0.96112224448897798</v>
      </c>
      <c r="K1434" s="16">
        <f t="shared" si="110"/>
        <v>49.994736842105254</v>
      </c>
      <c r="L1434" s="16">
        <f t="shared" si="111"/>
        <v>49.631020408163259</v>
      </c>
      <c r="M1434" s="25" t="str">
        <f t="shared" si="112"/>
        <v>HOLD</v>
      </c>
    </row>
    <row r="1435" spans="2:13">
      <c r="B1435" s="3">
        <v>44133</v>
      </c>
      <c r="C1435" s="5">
        <v>48.02</v>
      </c>
      <c r="D1435" s="5">
        <v>47.73</v>
      </c>
      <c r="E1435" s="5">
        <v>48.48</v>
      </c>
      <c r="F1435" s="5">
        <v>47.3</v>
      </c>
      <c r="G1435" s="18" t="s">
        <v>286</v>
      </c>
      <c r="H1435" s="2">
        <v>1.2999999999999999E-3</v>
      </c>
      <c r="I1435" s="16">
        <f t="shared" si="113"/>
        <v>1.2510425354462526E-3</v>
      </c>
      <c r="J1435" s="16">
        <f t="shared" si="114"/>
        <v>1.0012510425354462</v>
      </c>
      <c r="K1435" s="16">
        <f t="shared" ref="K1435:K1498" si="115">AVERAGE(C1416:C1434)</f>
        <v>49.930526315789471</v>
      </c>
      <c r="L1435" s="16">
        <f t="shared" si="111"/>
        <v>49.643061224489792</v>
      </c>
      <c r="M1435" s="25" t="str">
        <f t="shared" si="112"/>
        <v>HOLD</v>
      </c>
    </row>
    <row r="1436" spans="2:13">
      <c r="B1436" s="3">
        <v>44134</v>
      </c>
      <c r="C1436" s="5">
        <v>48.06</v>
      </c>
      <c r="D1436" s="5">
        <v>47.81</v>
      </c>
      <c r="E1436" s="5">
        <v>48.12</v>
      </c>
      <c r="F1436" s="5">
        <v>47.37</v>
      </c>
      <c r="G1436" s="18" t="s">
        <v>650</v>
      </c>
      <c r="H1436" s="2">
        <v>8.0000000000000004E-4</v>
      </c>
      <c r="I1436" s="16">
        <f t="shared" si="113"/>
        <v>8.3298625572676265E-4</v>
      </c>
      <c r="J1436" s="16">
        <f t="shared" si="114"/>
        <v>1.0008329862557268</v>
      </c>
      <c r="K1436" s="16">
        <f t="shared" si="115"/>
        <v>49.859999999999992</v>
      </c>
      <c r="L1436" s="16">
        <f t="shared" si="111"/>
        <v>49.656734693877539</v>
      </c>
      <c r="M1436" s="25" t="str">
        <f t="shared" si="112"/>
        <v>HOLD</v>
      </c>
    </row>
    <row r="1437" spans="2:13">
      <c r="B1437" s="3">
        <v>44137</v>
      </c>
      <c r="C1437" s="5">
        <v>48.62</v>
      </c>
      <c r="D1437" s="5">
        <v>48.75</v>
      </c>
      <c r="E1437" s="5">
        <v>48.95</v>
      </c>
      <c r="F1437" s="5">
        <v>48.24</v>
      </c>
      <c r="G1437" s="18" t="s">
        <v>790</v>
      </c>
      <c r="H1437" s="2">
        <v>1.17E-2</v>
      </c>
      <c r="I1437" s="16">
        <f t="shared" si="113"/>
        <v>1.1652101539741888E-2</v>
      </c>
      <c r="J1437" s="16">
        <f t="shared" si="114"/>
        <v>1.0116521015397419</v>
      </c>
      <c r="K1437" s="16">
        <f t="shared" si="115"/>
        <v>49.790526315789471</v>
      </c>
      <c r="L1437" s="16">
        <f t="shared" si="111"/>
        <v>49.67265306122448</v>
      </c>
      <c r="M1437" s="25" t="str">
        <f t="shared" si="112"/>
        <v>HOLD</v>
      </c>
    </row>
    <row r="1438" spans="2:13">
      <c r="B1438" s="3">
        <v>44138</v>
      </c>
      <c r="C1438" s="5">
        <v>49.35</v>
      </c>
      <c r="D1438" s="5">
        <v>49.22</v>
      </c>
      <c r="E1438" s="5">
        <v>49.96</v>
      </c>
      <c r="F1438" s="5">
        <v>49</v>
      </c>
      <c r="G1438" s="18" t="s">
        <v>789</v>
      </c>
      <c r="H1438" s="2">
        <v>1.4999999999999999E-2</v>
      </c>
      <c r="I1438" s="16">
        <f t="shared" si="113"/>
        <v>1.5014397367338627E-2</v>
      </c>
      <c r="J1438" s="16">
        <f t="shared" si="114"/>
        <v>1.0150143973673387</v>
      </c>
      <c r="K1438" s="16">
        <f t="shared" si="115"/>
        <v>49.773684210526312</v>
      </c>
      <c r="L1438" s="16">
        <f t="shared" si="111"/>
        <v>49.685918367346929</v>
      </c>
      <c r="M1438" s="25" t="str">
        <f t="shared" si="112"/>
        <v>HOLD</v>
      </c>
    </row>
    <row r="1439" spans="2:13">
      <c r="B1439" s="3">
        <v>44139</v>
      </c>
      <c r="C1439" s="5">
        <v>49.17</v>
      </c>
      <c r="D1439" s="5">
        <v>49.43</v>
      </c>
      <c r="E1439" s="5">
        <v>50.21</v>
      </c>
      <c r="F1439" s="5">
        <v>49.08</v>
      </c>
      <c r="G1439" s="18" t="s">
        <v>406</v>
      </c>
      <c r="H1439" s="2">
        <v>-3.5999999999999999E-3</v>
      </c>
      <c r="I1439" s="16">
        <f t="shared" si="113"/>
        <v>-3.6474164133738544E-3</v>
      </c>
      <c r="J1439" s="16">
        <f t="shared" si="114"/>
        <v>0.99635258358662615</v>
      </c>
      <c r="K1439" s="16">
        <f t="shared" si="115"/>
        <v>49.762631578947371</v>
      </c>
      <c r="L1439" s="16">
        <f t="shared" si="111"/>
        <v>49.715306122448972</v>
      </c>
      <c r="M1439" s="25" t="str">
        <f t="shared" si="112"/>
        <v>HOLD</v>
      </c>
    </row>
    <row r="1440" spans="2:13">
      <c r="B1440" s="3">
        <v>44140</v>
      </c>
      <c r="C1440" s="5">
        <v>49.44</v>
      </c>
      <c r="D1440" s="5">
        <v>49.76</v>
      </c>
      <c r="E1440" s="5">
        <v>50.21</v>
      </c>
      <c r="F1440" s="5">
        <v>49.34</v>
      </c>
      <c r="G1440" s="18" t="s">
        <v>632</v>
      </c>
      <c r="H1440" s="2">
        <v>5.4999999999999997E-3</v>
      </c>
      <c r="I1440" s="16">
        <f t="shared" si="113"/>
        <v>5.4911531421597722E-3</v>
      </c>
      <c r="J1440" s="16">
        <f t="shared" si="114"/>
        <v>1.0054911531421598</v>
      </c>
      <c r="K1440" s="16">
        <f t="shared" si="115"/>
        <v>49.694736842105257</v>
      </c>
      <c r="L1440" s="16">
        <f t="shared" si="111"/>
        <v>49.73591836734694</v>
      </c>
      <c r="M1440" s="25" t="str">
        <f t="shared" si="112"/>
        <v>SELL</v>
      </c>
    </row>
    <row r="1441" spans="2:13">
      <c r="B1441" s="3">
        <v>44141</v>
      </c>
      <c r="C1441" s="5">
        <v>49.45</v>
      </c>
      <c r="D1441" s="5">
        <v>49.65</v>
      </c>
      <c r="E1441" s="5">
        <v>49.99</v>
      </c>
      <c r="F1441" s="5">
        <v>49.25</v>
      </c>
      <c r="G1441" s="18" t="s">
        <v>788</v>
      </c>
      <c r="H1441" s="2">
        <v>2.0000000000000001E-4</v>
      </c>
      <c r="I1441" s="16">
        <f t="shared" si="113"/>
        <v>2.0226537216838829E-4</v>
      </c>
      <c r="J1441" s="16">
        <f t="shared" si="114"/>
        <v>1.0002022653721685</v>
      </c>
      <c r="K1441" s="16">
        <f t="shared" si="115"/>
        <v>49.622631578947363</v>
      </c>
      <c r="L1441" s="16">
        <f t="shared" si="111"/>
        <v>49.760612244897949</v>
      </c>
      <c r="M1441" s="25" t="str">
        <f t="shared" si="112"/>
        <v>HOLD</v>
      </c>
    </row>
    <row r="1442" spans="2:13">
      <c r="B1442" s="3">
        <v>44144</v>
      </c>
      <c r="C1442" s="5">
        <v>52.57</v>
      </c>
      <c r="D1442" s="5">
        <v>52.5</v>
      </c>
      <c r="E1442" s="5">
        <v>53.26</v>
      </c>
      <c r="F1442" s="5">
        <v>52.07</v>
      </c>
      <c r="G1442" s="18" t="s">
        <v>787</v>
      </c>
      <c r="H1442" s="2">
        <v>6.3100000000000003E-2</v>
      </c>
      <c r="I1442" s="16">
        <f t="shared" si="113"/>
        <v>6.3094034378159705E-2</v>
      </c>
      <c r="J1442" s="16">
        <f t="shared" si="114"/>
        <v>1.0630940343781596</v>
      </c>
      <c r="K1442" s="16">
        <f t="shared" si="115"/>
        <v>49.53631578947369</v>
      </c>
      <c r="L1442" s="16">
        <f t="shared" si="111"/>
        <v>49.752857142857131</v>
      </c>
      <c r="M1442" s="25" t="str">
        <f t="shared" si="112"/>
        <v>HOLD</v>
      </c>
    </row>
    <row r="1443" spans="2:13">
      <c r="B1443" s="3">
        <v>44145</v>
      </c>
      <c r="C1443" s="5">
        <v>53.98</v>
      </c>
      <c r="D1443" s="5">
        <v>52.57</v>
      </c>
      <c r="E1443" s="5">
        <v>54.28</v>
      </c>
      <c r="F1443" s="5">
        <v>52.45</v>
      </c>
      <c r="G1443" s="18" t="s">
        <v>786</v>
      </c>
      <c r="H1443" s="2">
        <v>2.6800000000000001E-2</v>
      </c>
      <c r="I1443" s="16">
        <f t="shared" si="113"/>
        <v>2.6821381015788407E-2</v>
      </c>
      <c r="J1443" s="16">
        <f t="shared" si="114"/>
        <v>1.0268213810157885</v>
      </c>
      <c r="K1443" s="16">
        <f t="shared" si="115"/>
        <v>49.660000000000004</v>
      </c>
      <c r="L1443" s="16">
        <f t="shared" si="111"/>
        <v>49.814897959183668</v>
      </c>
      <c r="M1443" s="25" t="str">
        <f t="shared" si="112"/>
        <v>HOLD</v>
      </c>
    </row>
    <row r="1444" spans="2:13">
      <c r="B1444" s="3">
        <v>44146</v>
      </c>
      <c r="C1444" s="5">
        <v>53.58</v>
      </c>
      <c r="D1444" s="5">
        <v>53.93</v>
      </c>
      <c r="E1444" s="5">
        <v>54.3</v>
      </c>
      <c r="F1444" s="5">
        <v>53.33</v>
      </c>
      <c r="G1444" s="18" t="s">
        <v>611</v>
      </c>
      <c r="H1444" s="2">
        <v>-7.4000000000000003E-3</v>
      </c>
      <c r="I1444" s="16">
        <f t="shared" si="113"/>
        <v>-7.4101519081140902E-3</v>
      </c>
      <c r="J1444" s="16">
        <f t="shared" si="114"/>
        <v>0.99258984809188588</v>
      </c>
      <c r="K1444" s="16">
        <f t="shared" si="115"/>
        <v>49.863157894736844</v>
      </c>
      <c r="L1444" s="16">
        <f t="shared" si="111"/>
        <v>49.914081632653058</v>
      </c>
      <c r="M1444" s="25" t="str">
        <f t="shared" si="112"/>
        <v>HOLD</v>
      </c>
    </row>
    <row r="1445" spans="2:13">
      <c r="B1445" s="3">
        <v>44147</v>
      </c>
      <c r="C1445" s="5">
        <v>53.01</v>
      </c>
      <c r="D1445" s="5">
        <v>53.05</v>
      </c>
      <c r="E1445" s="5">
        <v>53.21</v>
      </c>
      <c r="F1445" s="5">
        <v>52.6</v>
      </c>
      <c r="G1445" s="18" t="s">
        <v>224</v>
      </c>
      <c r="H1445" s="2">
        <v>-1.06E-2</v>
      </c>
      <c r="I1445" s="16">
        <f t="shared" si="113"/>
        <v>-1.063829787234043E-2</v>
      </c>
      <c r="J1445" s="16">
        <f t="shared" si="114"/>
        <v>0.98936170212765961</v>
      </c>
      <c r="K1445" s="16">
        <f t="shared" si="115"/>
        <v>50.052105263157898</v>
      </c>
      <c r="L1445" s="16">
        <f t="shared" si="111"/>
        <v>49.962857142857139</v>
      </c>
      <c r="M1445" s="25" t="str">
        <f t="shared" si="112"/>
        <v>BUY</v>
      </c>
    </row>
    <row r="1446" spans="2:13">
      <c r="B1446" s="3">
        <v>44148</v>
      </c>
      <c r="C1446" s="5">
        <v>53.45</v>
      </c>
      <c r="D1446" s="5">
        <v>53.25</v>
      </c>
      <c r="E1446" s="5">
        <v>53.5</v>
      </c>
      <c r="F1446" s="5">
        <v>52.89</v>
      </c>
      <c r="G1446" s="18" t="s">
        <v>632</v>
      </c>
      <c r="H1446" s="2">
        <v>8.3000000000000001E-3</v>
      </c>
      <c r="I1446" s="16">
        <f t="shared" si="113"/>
        <v>8.3003206942087321E-3</v>
      </c>
      <c r="J1446" s="16">
        <f t="shared" si="114"/>
        <v>1.0083003206942087</v>
      </c>
      <c r="K1446" s="16">
        <f t="shared" si="115"/>
        <v>50.208947368421057</v>
      </c>
      <c r="L1446" s="16">
        <f t="shared" si="111"/>
        <v>50.014489795918365</v>
      </c>
      <c r="M1446" s="25" t="str">
        <f t="shared" si="112"/>
        <v>HOLD</v>
      </c>
    </row>
    <row r="1447" spans="2:13">
      <c r="B1447" s="3">
        <v>44151</v>
      </c>
      <c r="C1447" s="5">
        <v>53.85</v>
      </c>
      <c r="D1447" s="5">
        <v>54.5</v>
      </c>
      <c r="E1447" s="5">
        <v>54.62</v>
      </c>
      <c r="F1447" s="5">
        <v>53.28</v>
      </c>
      <c r="G1447" s="18" t="s">
        <v>718</v>
      </c>
      <c r="H1447" s="2">
        <v>7.4999999999999997E-3</v>
      </c>
      <c r="I1447" s="16">
        <f t="shared" si="113"/>
        <v>7.4836295603367365E-3</v>
      </c>
      <c r="J1447" s="16">
        <f t="shared" si="114"/>
        <v>1.0074836295603367</v>
      </c>
      <c r="K1447" s="16">
        <f t="shared" si="115"/>
        <v>50.410526315789483</v>
      </c>
      <c r="L1447" s="16">
        <f t="shared" si="111"/>
        <v>50.063673469387744</v>
      </c>
      <c r="M1447" s="25" t="str">
        <f t="shared" si="112"/>
        <v>HOLD</v>
      </c>
    </row>
    <row r="1448" spans="2:13">
      <c r="B1448" s="3">
        <v>44152</v>
      </c>
      <c r="C1448" s="5">
        <v>53.68</v>
      </c>
      <c r="D1448" s="5">
        <v>53.66</v>
      </c>
      <c r="E1448" s="5">
        <v>53.75</v>
      </c>
      <c r="F1448" s="5">
        <v>53.02</v>
      </c>
      <c r="G1448" s="18" t="s">
        <v>393</v>
      </c>
      <c r="H1448" s="2">
        <v>-3.2000000000000002E-3</v>
      </c>
      <c r="I1448" s="16">
        <f t="shared" si="113"/>
        <v>-3.1569173630455285E-3</v>
      </c>
      <c r="J1448" s="16">
        <f t="shared" si="114"/>
        <v>0.99684308263695443</v>
      </c>
      <c r="K1448" s="16">
        <f t="shared" si="115"/>
        <v>50.600000000000009</v>
      </c>
      <c r="L1448" s="16">
        <f t="shared" si="111"/>
        <v>50.146122448979582</v>
      </c>
      <c r="M1448" s="25" t="str">
        <f t="shared" si="112"/>
        <v>HOLD</v>
      </c>
    </row>
    <row r="1449" spans="2:13">
      <c r="B1449" s="3">
        <v>44153</v>
      </c>
      <c r="C1449" s="5">
        <v>52.61</v>
      </c>
      <c r="D1449" s="5">
        <v>53.75</v>
      </c>
      <c r="E1449" s="5">
        <v>54.02</v>
      </c>
      <c r="F1449" s="5">
        <v>52.56</v>
      </c>
      <c r="G1449" s="18" t="s">
        <v>697</v>
      </c>
      <c r="H1449" s="2">
        <v>-1.9900000000000001E-2</v>
      </c>
      <c r="I1449" s="16">
        <f t="shared" si="113"/>
        <v>-1.993293591654248E-2</v>
      </c>
      <c r="J1449" s="16">
        <f t="shared" si="114"/>
        <v>0.98006706408345756</v>
      </c>
      <c r="K1449" s="16">
        <f t="shared" si="115"/>
        <v>50.794210526315794</v>
      </c>
      <c r="L1449" s="16">
        <f t="shared" si="111"/>
        <v>50.217346938775492</v>
      </c>
      <c r="M1449" s="25" t="str">
        <f t="shared" si="112"/>
        <v>HOLD</v>
      </c>
    </row>
    <row r="1450" spans="2:13">
      <c r="B1450" s="3">
        <v>44154</v>
      </c>
      <c r="C1450" s="5">
        <v>53.13</v>
      </c>
      <c r="D1450" s="5">
        <v>52.49</v>
      </c>
      <c r="E1450" s="5">
        <v>53.23</v>
      </c>
      <c r="F1450" s="5">
        <v>51.95</v>
      </c>
      <c r="G1450" s="18" t="s">
        <v>498</v>
      </c>
      <c r="H1450" s="2">
        <v>9.9000000000000008E-3</v>
      </c>
      <c r="I1450" s="16">
        <f t="shared" si="113"/>
        <v>9.8840524615092778E-3</v>
      </c>
      <c r="J1450" s="16">
        <f t="shared" si="114"/>
        <v>1.0098840524615094</v>
      </c>
      <c r="K1450" s="16">
        <f t="shared" si="115"/>
        <v>50.895789473684225</v>
      </c>
      <c r="L1450" s="16">
        <f t="shared" si="111"/>
        <v>50.270612244897947</v>
      </c>
      <c r="M1450" s="25" t="str">
        <f t="shared" si="112"/>
        <v>HOLD</v>
      </c>
    </row>
    <row r="1451" spans="2:13">
      <c r="B1451" s="3">
        <v>44155</v>
      </c>
      <c r="C1451" s="5">
        <v>52.67</v>
      </c>
      <c r="D1451" s="5">
        <v>53.19</v>
      </c>
      <c r="E1451" s="5">
        <v>53.25</v>
      </c>
      <c r="F1451" s="5">
        <v>52.59</v>
      </c>
      <c r="G1451" s="18" t="s">
        <v>785</v>
      </c>
      <c r="H1451" s="2">
        <v>-8.6999999999999994E-3</v>
      </c>
      <c r="I1451" s="16">
        <f t="shared" si="113"/>
        <v>-8.6580086580086736E-3</v>
      </c>
      <c r="J1451" s="16">
        <f t="shared" si="114"/>
        <v>0.9913419913419913</v>
      </c>
      <c r="K1451" s="16">
        <f t="shared" si="115"/>
        <v>51.033157894736846</v>
      </c>
      <c r="L1451" s="16">
        <f t="shared" si="111"/>
        <v>50.312857142857133</v>
      </c>
      <c r="M1451" s="25" t="str">
        <f t="shared" si="112"/>
        <v>HOLD</v>
      </c>
    </row>
    <row r="1452" spans="2:13">
      <c r="B1452" s="3">
        <v>44158</v>
      </c>
      <c r="C1452" s="5">
        <v>52.68</v>
      </c>
      <c r="D1452" s="5">
        <v>52.95</v>
      </c>
      <c r="E1452" s="5">
        <v>53.17</v>
      </c>
      <c r="F1452" s="5">
        <v>52.2</v>
      </c>
      <c r="G1452" s="18" t="s">
        <v>784</v>
      </c>
      <c r="H1452" s="2">
        <v>2.0000000000000001E-4</v>
      </c>
      <c r="I1452" s="16">
        <f t="shared" si="113"/>
        <v>1.8986140117710292E-4</v>
      </c>
      <c r="J1452" s="16">
        <f t="shared" si="114"/>
        <v>1.000189861401177</v>
      </c>
      <c r="K1452" s="16">
        <f t="shared" si="115"/>
        <v>51.184210526315788</v>
      </c>
      <c r="L1452" s="16">
        <f t="shared" si="111"/>
        <v>50.352857142857133</v>
      </c>
      <c r="M1452" s="25" t="str">
        <f t="shared" si="112"/>
        <v>HOLD</v>
      </c>
    </row>
    <row r="1453" spans="2:13">
      <c r="B1453" s="3">
        <v>44159</v>
      </c>
      <c r="C1453" s="5">
        <v>53.22</v>
      </c>
      <c r="D1453" s="5">
        <v>53.14</v>
      </c>
      <c r="E1453" s="5">
        <v>53.59</v>
      </c>
      <c r="F1453" s="5">
        <v>53.02</v>
      </c>
      <c r="G1453" s="18" t="s">
        <v>649</v>
      </c>
      <c r="H1453" s="2">
        <v>1.03E-2</v>
      </c>
      <c r="I1453" s="16">
        <f t="shared" si="113"/>
        <v>1.0250569476081989E-2</v>
      </c>
      <c r="J1453" s="16">
        <f t="shared" si="114"/>
        <v>1.0102505694760819</v>
      </c>
      <c r="K1453" s="16">
        <f t="shared" si="115"/>
        <v>51.33052631578947</v>
      </c>
      <c r="L1453" s="16">
        <f t="shared" si="111"/>
        <v>50.386122448979584</v>
      </c>
      <c r="M1453" s="25" t="str">
        <f t="shared" si="112"/>
        <v>HOLD</v>
      </c>
    </row>
    <row r="1454" spans="2:13">
      <c r="B1454" s="3">
        <v>44160</v>
      </c>
      <c r="C1454" s="5">
        <v>52.93</v>
      </c>
      <c r="D1454" s="5">
        <v>53.07</v>
      </c>
      <c r="E1454" s="5">
        <v>53.28</v>
      </c>
      <c r="F1454" s="5">
        <v>52.79</v>
      </c>
      <c r="G1454" s="18" t="s">
        <v>783</v>
      </c>
      <c r="H1454" s="2">
        <v>-5.4000000000000003E-3</v>
      </c>
      <c r="I1454" s="16">
        <f t="shared" si="113"/>
        <v>-5.4490792934986688E-3</v>
      </c>
      <c r="J1454" s="16">
        <f t="shared" si="114"/>
        <v>0.99455092070650131</v>
      </c>
      <c r="K1454" s="16">
        <f t="shared" si="115"/>
        <v>51.607368421052627</v>
      </c>
      <c r="L1454" s="16">
        <f t="shared" si="111"/>
        <v>50.435714285714276</v>
      </c>
      <c r="M1454" s="25" t="str">
        <f t="shared" si="112"/>
        <v>HOLD</v>
      </c>
    </row>
    <row r="1455" spans="2:13">
      <c r="B1455" s="3">
        <v>44162</v>
      </c>
      <c r="C1455" s="5">
        <v>52.7</v>
      </c>
      <c r="D1455" s="5">
        <v>53.11</v>
      </c>
      <c r="E1455" s="5">
        <v>53.19</v>
      </c>
      <c r="F1455" s="5">
        <v>52.61</v>
      </c>
      <c r="G1455" s="18" t="s">
        <v>782</v>
      </c>
      <c r="H1455" s="2">
        <v>-4.3E-3</v>
      </c>
      <c r="I1455" s="16">
        <f t="shared" si="113"/>
        <v>-4.3453617986018676E-3</v>
      </c>
      <c r="J1455" s="16">
        <f t="shared" si="114"/>
        <v>0.9956546382013981</v>
      </c>
      <c r="K1455" s="16">
        <f t="shared" si="115"/>
        <v>51.865789473684202</v>
      </c>
      <c r="L1455" s="16">
        <f t="shared" si="111"/>
        <v>50.484285714285697</v>
      </c>
      <c r="M1455" s="25" t="str">
        <f t="shared" si="112"/>
        <v>HOLD</v>
      </c>
    </row>
    <row r="1456" spans="2:13">
      <c r="B1456" s="3">
        <v>44165</v>
      </c>
      <c r="C1456" s="5">
        <v>51.6</v>
      </c>
      <c r="D1456" s="5">
        <v>52.09</v>
      </c>
      <c r="E1456" s="5">
        <v>52.19</v>
      </c>
      <c r="F1456" s="5">
        <v>51.08</v>
      </c>
      <c r="G1456" s="18" t="s">
        <v>781</v>
      </c>
      <c r="H1456" s="2">
        <v>-2.0899999999999998E-2</v>
      </c>
      <c r="I1456" s="16">
        <f t="shared" si="113"/>
        <v>-2.087286527514234E-2</v>
      </c>
      <c r="J1456" s="16">
        <f t="shared" si="114"/>
        <v>0.97912713472485768</v>
      </c>
      <c r="K1456" s="16">
        <f t="shared" si="115"/>
        <v>52.109999999999992</v>
      </c>
      <c r="L1456" s="16">
        <f t="shared" si="111"/>
        <v>50.530204081632647</v>
      </c>
      <c r="M1456" s="25" t="str">
        <f t="shared" si="112"/>
        <v>HOLD</v>
      </c>
    </row>
    <row r="1457" spans="2:13">
      <c r="B1457" s="3">
        <v>44166</v>
      </c>
      <c r="C1457" s="5">
        <v>52.04</v>
      </c>
      <c r="D1457" s="5">
        <v>52.14</v>
      </c>
      <c r="E1457" s="5">
        <v>52.33</v>
      </c>
      <c r="F1457" s="5">
        <v>51.78</v>
      </c>
      <c r="G1457" s="18" t="s">
        <v>478</v>
      </c>
      <c r="H1457" s="2">
        <v>8.5000000000000006E-3</v>
      </c>
      <c r="I1457" s="16">
        <f t="shared" si="113"/>
        <v>8.5271317829456929E-3</v>
      </c>
      <c r="J1457" s="16">
        <f t="shared" si="114"/>
        <v>1.0085271317829456</v>
      </c>
      <c r="K1457" s="16">
        <f t="shared" si="115"/>
        <v>52.266842105263152</v>
      </c>
      <c r="L1457" s="16">
        <f t="shared" si="111"/>
        <v>50.58142857142856</v>
      </c>
      <c r="M1457" s="25" t="str">
        <f t="shared" si="112"/>
        <v>HOLD</v>
      </c>
    </row>
    <row r="1458" spans="2:13">
      <c r="B1458" s="3">
        <v>44167</v>
      </c>
      <c r="C1458" s="5">
        <v>52.11</v>
      </c>
      <c r="D1458" s="5">
        <v>51.9</v>
      </c>
      <c r="E1458" s="5">
        <v>52.13</v>
      </c>
      <c r="F1458" s="5">
        <v>51.63</v>
      </c>
      <c r="G1458" s="18" t="s">
        <v>718</v>
      </c>
      <c r="H1458" s="2">
        <v>1.2999999999999999E-3</v>
      </c>
      <c r="I1458" s="16">
        <f t="shared" si="113"/>
        <v>1.3451191391237564E-3</v>
      </c>
      <c r="J1458" s="16">
        <f t="shared" si="114"/>
        <v>1.0013451191391238</v>
      </c>
      <c r="K1458" s="16">
        <f t="shared" si="115"/>
        <v>52.408421052631574</v>
      </c>
      <c r="L1458" s="16">
        <f t="shared" si="111"/>
        <v>50.629999999999988</v>
      </c>
      <c r="M1458" s="25" t="str">
        <f t="shared" si="112"/>
        <v>HOLD</v>
      </c>
    </row>
    <row r="1459" spans="2:13">
      <c r="B1459" s="3">
        <v>44168</v>
      </c>
      <c r="C1459" s="5">
        <v>52.78</v>
      </c>
      <c r="D1459" s="5">
        <v>51.9</v>
      </c>
      <c r="E1459" s="5">
        <v>52.94</v>
      </c>
      <c r="F1459" s="5">
        <v>51.9</v>
      </c>
      <c r="G1459" s="18" t="s">
        <v>597</v>
      </c>
      <c r="H1459" s="2">
        <v>1.29E-2</v>
      </c>
      <c r="I1459" s="16">
        <f t="shared" si="113"/>
        <v>1.2857417002494756E-2</v>
      </c>
      <c r="J1459" s="16">
        <f t="shared" si="114"/>
        <v>1.0128574170024947</v>
      </c>
      <c r="K1459" s="16">
        <f t="shared" si="115"/>
        <v>52.56315789473684</v>
      </c>
      <c r="L1459" s="16">
        <f t="shared" si="111"/>
        <v>50.709591836734674</v>
      </c>
      <c r="M1459" s="25" t="str">
        <f t="shared" si="112"/>
        <v>HOLD</v>
      </c>
    </row>
    <row r="1460" spans="2:13">
      <c r="B1460" s="3">
        <v>44169</v>
      </c>
      <c r="C1460" s="5">
        <v>53.85</v>
      </c>
      <c r="D1460" s="5">
        <v>52.78</v>
      </c>
      <c r="E1460" s="5">
        <v>53.87</v>
      </c>
      <c r="F1460" s="5">
        <v>52.76</v>
      </c>
      <c r="G1460" s="18" t="s">
        <v>780</v>
      </c>
      <c r="H1460" s="2">
        <v>2.0299999999999999E-2</v>
      </c>
      <c r="I1460" s="16">
        <f t="shared" si="113"/>
        <v>2.0272830617658208E-2</v>
      </c>
      <c r="J1460" s="16">
        <f t="shared" si="114"/>
        <v>1.0202728306176583</v>
      </c>
      <c r="K1460" s="16">
        <f t="shared" si="115"/>
        <v>52.738947368421051</v>
      </c>
      <c r="L1460" s="16">
        <f t="shared" si="111"/>
        <v>50.79285714285713</v>
      </c>
      <c r="M1460" s="25" t="str">
        <f t="shared" si="112"/>
        <v>HOLD</v>
      </c>
    </row>
    <row r="1461" spans="2:13">
      <c r="B1461" s="3">
        <v>44172</v>
      </c>
      <c r="C1461" s="5">
        <v>52.99</v>
      </c>
      <c r="D1461" s="5">
        <v>53.76</v>
      </c>
      <c r="E1461" s="5">
        <v>53.78</v>
      </c>
      <c r="F1461" s="5">
        <v>52.7</v>
      </c>
      <c r="G1461" s="18" t="s">
        <v>779</v>
      </c>
      <c r="H1461" s="2">
        <v>-1.6E-2</v>
      </c>
      <c r="I1461" s="16">
        <f t="shared" si="113"/>
        <v>-1.5970287836583091E-2</v>
      </c>
      <c r="J1461" s="16">
        <f t="shared" si="114"/>
        <v>0.98402971216341695</v>
      </c>
      <c r="K1461" s="16">
        <f t="shared" si="115"/>
        <v>52.970526315789471</v>
      </c>
      <c r="L1461" s="16">
        <f t="shared" si="111"/>
        <v>50.897551020408152</v>
      </c>
      <c r="M1461" s="25" t="str">
        <f t="shared" si="112"/>
        <v>HOLD</v>
      </c>
    </row>
    <row r="1462" spans="2:13">
      <c r="B1462" s="3">
        <v>44173</v>
      </c>
      <c r="C1462" s="5">
        <v>53.18</v>
      </c>
      <c r="D1462" s="5">
        <v>52.94</v>
      </c>
      <c r="E1462" s="5">
        <v>53.48</v>
      </c>
      <c r="F1462" s="5">
        <v>52.78</v>
      </c>
      <c r="G1462" s="18" t="s">
        <v>778</v>
      </c>
      <c r="H1462" s="2">
        <v>3.5999999999999999E-3</v>
      </c>
      <c r="I1462" s="16">
        <f t="shared" si="113"/>
        <v>3.5855821853179415E-3</v>
      </c>
      <c r="J1462" s="16">
        <f t="shared" si="114"/>
        <v>1.0035855821853179</v>
      </c>
      <c r="K1462" s="16">
        <f t="shared" si="115"/>
        <v>52.992631578947368</v>
      </c>
      <c r="L1462" s="16">
        <f t="shared" si="111"/>
        <v>50.973265306122428</v>
      </c>
      <c r="M1462" s="25" t="str">
        <f t="shared" si="112"/>
        <v>HOLD</v>
      </c>
    </row>
    <row r="1463" spans="2:13">
      <c r="B1463" s="3">
        <v>44174</v>
      </c>
      <c r="C1463" s="5">
        <v>53.33</v>
      </c>
      <c r="D1463" s="5">
        <v>53.37</v>
      </c>
      <c r="E1463" s="5">
        <v>53.6</v>
      </c>
      <c r="F1463" s="5">
        <v>53</v>
      </c>
      <c r="G1463" s="18" t="s">
        <v>583</v>
      </c>
      <c r="H1463" s="2">
        <v>2.8E-3</v>
      </c>
      <c r="I1463" s="16">
        <f t="shared" si="113"/>
        <v>2.8206092515983185E-3</v>
      </c>
      <c r="J1463" s="16">
        <f t="shared" si="114"/>
        <v>1.0028206092515983</v>
      </c>
      <c r="K1463" s="16">
        <f t="shared" si="115"/>
        <v>52.950526315789467</v>
      </c>
      <c r="L1463" s="16">
        <f t="shared" si="111"/>
        <v>51.060204081632641</v>
      </c>
      <c r="M1463" s="25" t="str">
        <f t="shared" si="112"/>
        <v>HOLD</v>
      </c>
    </row>
    <row r="1464" spans="2:13">
      <c r="B1464" s="3">
        <v>44175</v>
      </c>
      <c r="C1464" s="5">
        <v>53.05</v>
      </c>
      <c r="D1464" s="5">
        <v>53.4</v>
      </c>
      <c r="E1464" s="5">
        <v>53.51</v>
      </c>
      <c r="F1464" s="5">
        <v>52.98</v>
      </c>
      <c r="G1464" s="18" t="s">
        <v>26</v>
      </c>
      <c r="H1464" s="2">
        <v>-5.3E-3</v>
      </c>
      <c r="I1464" s="16">
        <f t="shared" si="113"/>
        <v>-5.2503281455091155E-3</v>
      </c>
      <c r="J1464" s="16">
        <f t="shared" si="114"/>
        <v>0.99474967185449092</v>
      </c>
      <c r="K1464" s="16">
        <f t="shared" si="115"/>
        <v>52.937368421052632</v>
      </c>
      <c r="L1464" s="16">
        <f t="shared" si="111"/>
        <v>51.14102040816325</v>
      </c>
      <c r="M1464" s="25" t="str">
        <f t="shared" si="112"/>
        <v>HOLD</v>
      </c>
    </row>
    <row r="1465" spans="2:13">
      <c r="B1465" s="3">
        <v>44176</v>
      </c>
      <c r="C1465" s="5">
        <v>53.35</v>
      </c>
      <c r="D1465" s="5">
        <v>52.8</v>
      </c>
      <c r="E1465" s="5">
        <v>53.54</v>
      </c>
      <c r="F1465" s="5">
        <v>52.78</v>
      </c>
      <c r="G1465" s="18" t="s">
        <v>715</v>
      </c>
      <c r="H1465" s="2">
        <v>5.7000000000000002E-3</v>
      </c>
      <c r="I1465" s="16">
        <f t="shared" si="113"/>
        <v>5.6550424128181771E-3</v>
      </c>
      <c r="J1465" s="16">
        <f t="shared" si="114"/>
        <v>1.0056550424128181</v>
      </c>
      <c r="K1465" s="16">
        <f t="shared" si="115"/>
        <v>52.939473684210526</v>
      </c>
      <c r="L1465" s="16">
        <f t="shared" ref="L1465:L1528" si="116">AVERAGE(C1416:C1464)</f>
        <v>51.220000000000006</v>
      </c>
      <c r="M1465" s="25" t="str">
        <f t="shared" ref="M1465:M1528" si="117">IF(AND(K1465&gt;L1465,K1464&lt;=L1464),"BUY",IF(AND(K1465&lt;L1465,K1464&gt;=L1464),"SELL","HOLD"))</f>
        <v>HOLD</v>
      </c>
    </row>
    <row r="1466" spans="2:13">
      <c r="B1466" s="3">
        <v>44179</v>
      </c>
      <c r="C1466" s="5">
        <v>53.27</v>
      </c>
      <c r="D1466" s="5">
        <v>53.65</v>
      </c>
      <c r="E1466" s="5">
        <v>53.84</v>
      </c>
      <c r="F1466" s="5">
        <v>53.18</v>
      </c>
      <c r="G1466" s="18" t="s">
        <v>777</v>
      </c>
      <c r="H1466" s="2">
        <v>-1.5E-3</v>
      </c>
      <c r="I1466" s="16">
        <f t="shared" si="113"/>
        <v>-1.4995313964385809E-3</v>
      </c>
      <c r="J1466" s="16">
        <f t="shared" si="114"/>
        <v>0.99850046860356145</v>
      </c>
      <c r="K1466" s="16">
        <f t="shared" si="115"/>
        <v>52.934210526315788</v>
      </c>
      <c r="L1466" s="16">
        <f t="shared" si="116"/>
        <v>51.301428571428573</v>
      </c>
      <c r="M1466" s="25" t="str">
        <f t="shared" si="117"/>
        <v>HOLD</v>
      </c>
    </row>
    <row r="1467" spans="2:13">
      <c r="B1467" s="3">
        <v>44180</v>
      </c>
      <c r="C1467" s="5">
        <v>53.84</v>
      </c>
      <c r="D1467" s="5">
        <v>53.79</v>
      </c>
      <c r="E1467" s="5">
        <v>54.22</v>
      </c>
      <c r="F1467" s="5">
        <v>53.59</v>
      </c>
      <c r="G1467" s="18" t="s">
        <v>37</v>
      </c>
      <c r="H1467" s="2">
        <v>1.0699999999999999E-2</v>
      </c>
      <c r="I1467" s="16">
        <f t="shared" si="113"/>
        <v>1.0700206495213071E-2</v>
      </c>
      <c r="J1467" s="16">
        <f t="shared" si="114"/>
        <v>1.0107002064952131</v>
      </c>
      <c r="K1467" s="16">
        <f t="shared" si="115"/>
        <v>52.903684210526315</v>
      </c>
      <c r="L1467" s="16">
        <f t="shared" si="116"/>
        <v>51.380816326530606</v>
      </c>
      <c r="M1467" s="25" t="str">
        <f t="shared" si="117"/>
        <v>HOLD</v>
      </c>
    </row>
    <row r="1468" spans="2:13">
      <c r="B1468" s="3">
        <v>44181</v>
      </c>
      <c r="C1468" s="5">
        <v>53.06</v>
      </c>
      <c r="D1468" s="5">
        <v>53.6</v>
      </c>
      <c r="E1468" s="5">
        <v>53.8</v>
      </c>
      <c r="F1468" s="5">
        <v>52.94</v>
      </c>
      <c r="G1468" s="18" t="s">
        <v>24</v>
      </c>
      <c r="H1468" s="2">
        <v>-1.4500000000000001E-2</v>
      </c>
      <c r="I1468" s="16">
        <f t="shared" si="113"/>
        <v>-1.4487369985141179E-2</v>
      </c>
      <c r="J1468" s="16">
        <f t="shared" si="114"/>
        <v>0.98551263001485878</v>
      </c>
      <c r="K1468" s="16">
        <f t="shared" si="115"/>
        <v>52.912105263157898</v>
      </c>
      <c r="L1468" s="16">
        <f t="shared" si="116"/>
        <v>51.480816326530608</v>
      </c>
      <c r="M1468" s="25" t="str">
        <f t="shared" si="117"/>
        <v>HOLD</v>
      </c>
    </row>
    <row r="1469" spans="2:13">
      <c r="B1469" s="3">
        <v>44182</v>
      </c>
      <c r="C1469" s="5">
        <v>53.27</v>
      </c>
      <c r="D1469" s="5">
        <v>53.3</v>
      </c>
      <c r="E1469" s="5">
        <v>53.71</v>
      </c>
      <c r="F1469" s="5">
        <v>53.15</v>
      </c>
      <c r="G1469" s="18" t="s">
        <v>229</v>
      </c>
      <c r="H1469" s="2">
        <v>4.0000000000000001E-3</v>
      </c>
      <c r="I1469" s="16">
        <f t="shared" si="113"/>
        <v>3.9577836411609658E-3</v>
      </c>
      <c r="J1469" s="16">
        <f t="shared" si="114"/>
        <v>1.0039577836411611</v>
      </c>
      <c r="K1469" s="16">
        <f t="shared" si="115"/>
        <v>52.93578947368421</v>
      </c>
      <c r="L1469" s="16">
        <f t="shared" si="116"/>
        <v>51.55224489795917</v>
      </c>
      <c r="M1469" s="25" t="str">
        <f t="shared" si="117"/>
        <v>HOLD</v>
      </c>
    </row>
    <row r="1470" spans="2:13">
      <c r="B1470" s="3">
        <v>44183</v>
      </c>
      <c r="C1470" s="5">
        <v>53.74</v>
      </c>
      <c r="D1470" s="5">
        <v>53.08</v>
      </c>
      <c r="E1470" s="5">
        <v>53.84</v>
      </c>
      <c r="F1470" s="5">
        <v>52.62</v>
      </c>
      <c r="G1470" s="18" t="s">
        <v>776</v>
      </c>
      <c r="H1470" s="2">
        <v>8.8000000000000005E-3</v>
      </c>
      <c r="I1470" s="16">
        <f t="shared" si="113"/>
        <v>8.8229772855265409E-3</v>
      </c>
      <c r="J1470" s="16">
        <f t="shared" si="114"/>
        <v>1.0088229772855266</v>
      </c>
      <c r="K1470" s="16">
        <f t="shared" si="115"/>
        <v>52.943157894736849</v>
      </c>
      <c r="L1470" s="16">
        <f t="shared" si="116"/>
        <v>51.60959183673468</v>
      </c>
      <c r="M1470" s="25" t="str">
        <f t="shared" si="117"/>
        <v>HOLD</v>
      </c>
    </row>
    <row r="1471" spans="2:13">
      <c r="B1471" s="3">
        <v>44186</v>
      </c>
      <c r="C1471" s="5">
        <v>52.81</v>
      </c>
      <c r="D1471" s="5">
        <v>52.68</v>
      </c>
      <c r="E1471" s="5">
        <v>53</v>
      </c>
      <c r="F1471" s="5">
        <v>51.98</v>
      </c>
      <c r="G1471" s="18" t="s">
        <v>775</v>
      </c>
      <c r="H1471" s="2">
        <v>-1.7299999999999999E-2</v>
      </c>
      <c r="I1471" s="16">
        <f t="shared" si="113"/>
        <v>-1.7305545217714918E-2</v>
      </c>
      <c r="J1471" s="16">
        <f t="shared" si="114"/>
        <v>0.98269445478228512</v>
      </c>
      <c r="K1471" s="16">
        <f t="shared" si="115"/>
        <v>52.999473684210528</v>
      </c>
      <c r="L1471" s="16">
        <f t="shared" si="116"/>
        <v>51.669387755102029</v>
      </c>
      <c r="M1471" s="25" t="str">
        <f t="shared" si="117"/>
        <v>HOLD</v>
      </c>
    </row>
    <row r="1472" spans="2:13">
      <c r="B1472" s="3">
        <v>44187</v>
      </c>
      <c r="C1472" s="5">
        <v>52.76</v>
      </c>
      <c r="D1472" s="5">
        <v>52.81</v>
      </c>
      <c r="E1472" s="5">
        <v>53.18</v>
      </c>
      <c r="F1472" s="5">
        <v>52.39</v>
      </c>
      <c r="G1472" s="18" t="s">
        <v>369</v>
      </c>
      <c r="H1472" s="2">
        <v>-8.9999999999999998E-4</v>
      </c>
      <c r="I1472" s="16">
        <f t="shared" si="113"/>
        <v>-9.4679038060981372E-4</v>
      </c>
      <c r="J1472" s="16">
        <f t="shared" si="114"/>
        <v>0.99905320961939015</v>
      </c>
      <c r="K1472" s="16">
        <f t="shared" si="115"/>
        <v>53.006315789473682</v>
      </c>
      <c r="L1472" s="16">
        <f t="shared" si="116"/>
        <v>51.704489795918356</v>
      </c>
      <c r="M1472" s="25" t="str">
        <f t="shared" si="117"/>
        <v>HOLD</v>
      </c>
    </row>
    <row r="1473" spans="2:13">
      <c r="B1473" s="3">
        <v>44188</v>
      </c>
      <c r="C1473" s="5">
        <v>53.08</v>
      </c>
      <c r="D1473" s="5">
        <v>52.95</v>
      </c>
      <c r="E1473" s="5">
        <v>53.39</v>
      </c>
      <c r="F1473" s="5">
        <v>52.94</v>
      </c>
      <c r="G1473" s="18" t="s">
        <v>774</v>
      </c>
      <c r="H1473" s="2">
        <v>6.1000000000000004E-3</v>
      </c>
      <c r="I1473" s="16">
        <f t="shared" si="113"/>
        <v>6.0652009097801425E-3</v>
      </c>
      <c r="J1473" s="16">
        <f t="shared" si="114"/>
        <v>1.0060652009097801</v>
      </c>
      <c r="K1473" s="16">
        <f t="shared" si="115"/>
        <v>52.982105263157884</v>
      </c>
      <c r="L1473" s="16">
        <f t="shared" si="116"/>
        <v>51.756326530612256</v>
      </c>
      <c r="M1473" s="25" t="str">
        <f t="shared" si="117"/>
        <v>HOLD</v>
      </c>
    </row>
    <row r="1474" spans="2:13">
      <c r="B1474" s="3">
        <v>44189</v>
      </c>
      <c r="C1474" s="5">
        <v>53.44</v>
      </c>
      <c r="D1474" s="5">
        <v>53.02</v>
      </c>
      <c r="E1474" s="5">
        <v>53.55</v>
      </c>
      <c r="F1474" s="5">
        <v>53.02</v>
      </c>
      <c r="G1474" s="18" t="s">
        <v>773</v>
      </c>
      <c r="H1474" s="2">
        <v>6.7999999999999996E-3</v>
      </c>
      <c r="I1474" s="16">
        <f t="shared" si="113"/>
        <v>6.7822155237377436E-3</v>
      </c>
      <c r="J1474" s="16">
        <f t="shared" si="114"/>
        <v>1.0067822155237378</v>
      </c>
      <c r="K1474" s="16">
        <f t="shared" si="115"/>
        <v>52.99</v>
      </c>
      <c r="L1474" s="16">
        <f t="shared" si="116"/>
        <v>51.816734693877549</v>
      </c>
      <c r="M1474" s="25" t="str">
        <f t="shared" si="117"/>
        <v>HOLD</v>
      </c>
    </row>
    <row r="1475" spans="2:13">
      <c r="B1475" s="3">
        <v>44193</v>
      </c>
      <c r="C1475" s="5">
        <v>54.16</v>
      </c>
      <c r="D1475" s="5">
        <v>53.85</v>
      </c>
      <c r="E1475" s="5">
        <v>54.44</v>
      </c>
      <c r="F1475" s="5">
        <v>53.73</v>
      </c>
      <c r="G1475" s="18" t="s">
        <v>722</v>
      </c>
      <c r="H1475" s="2">
        <v>1.35E-2</v>
      </c>
      <c r="I1475" s="16">
        <f t="shared" si="113"/>
        <v>1.3473053892215548E-2</v>
      </c>
      <c r="J1475" s="16">
        <f t="shared" si="114"/>
        <v>1.0134730538922156</v>
      </c>
      <c r="K1475" s="16">
        <f t="shared" si="115"/>
        <v>53.028947368421051</v>
      </c>
      <c r="L1475" s="16">
        <f t="shared" si="116"/>
        <v>51.887142857142855</v>
      </c>
      <c r="M1475" s="25" t="str">
        <f t="shared" si="117"/>
        <v>HOLD</v>
      </c>
    </row>
    <row r="1476" spans="2:13">
      <c r="B1476" s="3">
        <v>44194</v>
      </c>
      <c r="C1476" s="5">
        <v>54.13</v>
      </c>
      <c r="D1476" s="5">
        <v>54.45</v>
      </c>
      <c r="E1476" s="5">
        <v>54.49</v>
      </c>
      <c r="F1476" s="5">
        <v>54.02</v>
      </c>
      <c r="G1476" s="18" t="s">
        <v>772</v>
      </c>
      <c r="H1476" s="2">
        <v>-5.9999999999999995E-4</v>
      </c>
      <c r="I1476" s="16">
        <f t="shared" si="113"/>
        <v>-5.5391432791717201E-4</v>
      </c>
      <c r="J1476" s="16">
        <f t="shared" si="114"/>
        <v>0.99944608567208282</v>
      </c>
      <c r="K1476" s="16">
        <f t="shared" si="115"/>
        <v>53.16368421052632</v>
      </c>
      <c r="L1476" s="16">
        <f t="shared" si="116"/>
        <v>51.971428571428568</v>
      </c>
      <c r="M1476" s="25" t="str">
        <f t="shared" si="117"/>
        <v>HOLD</v>
      </c>
    </row>
    <row r="1477" spans="2:13">
      <c r="B1477" s="3">
        <v>44195</v>
      </c>
      <c r="C1477" s="5">
        <v>54.44</v>
      </c>
      <c r="D1477" s="5">
        <v>54.05</v>
      </c>
      <c r="E1477" s="5">
        <v>54.63</v>
      </c>
      <c r="F1477" s="5">
        <v>54.03</v>
      </c>
      <c r="G1477" s="18" t="s">
        <v>519</v>
      </c>
      <c r="H1477" s="2">
        <v>5.7000000000000002E-3</v>
      </c>
      <c r="I1477" s="16">
        <f t="shared" si="113"/>
        <v>5.7269536301495505E-3</v>
      </c>
      <c r="J1477" s="16">
        <f t="shared" si="114"/>
        <v>1.0057269536301496</v>
      </c>
      <c r="K1477" s="16">
        <f t="shared" si="115"/>
        <v>53.273684210526305</v>
      </c>
      <c r="L1477" s="16">
        <f t="shared" si="116"/>
        <v>52.063469387755099</v>
      </c>
      <c r="M1477" s="25" t="str">
        <f t="shared" si="117"/>
        <v>HOLD</v>
      </c>
    </row>
    <row r="1478" spans="2:13">
      <c r="B1478" s="3">
        <v>44196</v>
      </c>
      <c r="C1478" s="5">
        <v>54.84</v>
      </c>
      <c r="D1478" s="5">
        <v>54.45</v>
      </c>
      <c r="E1478" s="5">
        <v>54.93</v>
      </c>
      <c r="F1478" s="5">
        <v>54.27</v>
      </c>
      <c r="G1478" s="18" t="s">
        <v>166</v>
      </c>
      <c r="H1478" s="2">
        <v>7.3000000000000001E-3</v>
      </c>
      <c r="I1478" s="16">
        <f t="shared" si="113"/>
        <v>7.3475385745776214E-3</v>
      </c>
      <c r="J1478" s="16">
        <f t="shared" si="114"/>
        <v>1.0073475385745776</v>
      </c>
      <c r="K1478" s="16">
        <f t="shared" si="115"/>
        <v>53.396315789473682</v>
      </c>
      <c r="L1478" s="16">
        <f t="shared" si="116"/>
        <v>52.148979591836728</v>
      </c>
      <c r="M1478" s="25" t="str">
        <f t="shared" si="117"/>
        <v>HOLD</v>
      </c>
    </row>
    <row r="1479" spans="2:13">
      <c r="B1479" s="3">
        <v>44200</v>
      </c>
      <c r="C1479" s="5">
        <v>52.76</v>
      </c>
      <c r="D1479" s="5">
        <v>54.27</v>
      </c>
      <c r="E1479" s="5">
        <v>54.63</v>
      </c>
      <c r="F1479" s="5">
        <v>52.03</v>
      </c>
      <c r="G1479" s="18" t="s">
        <v>771</v>
      </c>
      <c r="H1479" s="2">
        <v>-3.7900000000000003E-2</v>
      </c>
      <c r="I1479" s="16">
        <f t="shared" si="113"/>
        <v>-3.7928519328957064E-2</v>
      </c>
      <c r="J1479" s="16">
        <f t="shared" si="114"/>
        <v>0.96207148067104298</v>
      </c>
      <c r="K1479" s="16">
        <f t="shared" si="115"/>
        <v>53.504736842105267</v>
      </c>
      <c r="L1479" s="16">
        <f t="shared" si="116"/>
        <v>52.247959183673473</v>
      </c>
      <c r="M1479" s="25" t="str">
        <f t="shared" si="117"/>
        <v>HOLD</v>
      </c>
    </row>
    <row r="1480" spans="2:13">
      <c r="B1480" s="3">
        <v>44201</v>
      </c>
      <c r="C1480" s="5">
        <v>52.18</v>
      </c>
      <c r="D1480" s="5">
        <v>52.33</v>
      </c>
      <c r="E1480" s="5">
        <v>52.62</v>
      </c>
      <c r="F1480" s="5">
        <v>52.03</v>
      </c>
      <c r="G1480" s="18" t="s">
        <v>770</v>
      </c>
      <c r="H1480" s="2">
        <v>-1.0999999999999999E-2</v>
      </c>
      <c r="I1480" s="16">
        <f t="shared" si="113"/>
        <v>-1.0993176648976465E-2</v>
      </c>
      <c r="J1480" s="16">
        <f t="shared" si="114"/>
        <v>0.98900682335102352</v>
      </c>
      <c r="K1480" s="16">
        <f t="shared" si="115"/>
        <v>53.447368421052623</v>
      </c>
      <c r="L1480" s="16">
        <f t="shared" si="116"/>
        <v>52.290408163265305</v>
      </c>
      <c r="M1480" s="25" t="str">
        <f t="shared" si="117"/>
        <v>HOLD</v>
      </c>
    </row>
    <row r="1481" spans="2:13">
      <c r="B1481" s="3">
        <v>44202</v>
      </c>
      <c r="C1481" s="5">
        <v>50.52</v>
      </c>
      <c r="D1481" s="5">
        <v>51.97</v>
      </c>
      <c r="E1481" s="5">
        <v>52.02</v>
      </c>
      <c r="F1481" s="5">
        <v>50.19</v>
      </c>
      <c r="G1481" s="18" t="s">
        <v>769</v>
      </c>
      <c r="H1481" s="2">
        <v>-3.1800000000000002E-2</v>
      </c>
      <c r="I1481" s="16">
        <f t="shared" ref="I1481:I1544" si="118">(C1481-C1480)/C1480</f>
        <v>-3.1812955155231824E-2</v>
      </c>
      <c r="J1481" s="16">
        <f t="shared" ref="J1481:J1544" si="119">C1481/C1480</f>
        <v>0.96818704484476814</v>
      </c>
      <c r="K1481" s="16">
        <f t="shared" si="115"/>
        <v>53.404736842105265</v>
      </c>
      <c r="L1481" s="16">
        <f t="shared" si="116"/>
        <v>52.324285714285715</v>
      </c>
      <c r="M1481" s="25" t="str">
        <f t="shared" si="117"/>
        <v>HOLD</v>
      </c>
    </row>
    <row r="1482" spans="2:13">
      <c r="B1482" s="3">
        <v>44203</v>
      </c>
      <c r="C1482" s="5">
        <v>49.96</v>
      </c>
      <c r="D1482" s="5">
        <v>50.09</v>
      </c>
      <c r="E1482" s="5">
        <v>50.26</v>
      </c>
      <c r="F1482" s="5">
        <v>49.52</v>
      </c>
      <c r="G1482" s="18" t="s">
        <v>768</v>
      </c>
      <c r="H1482" s="2">
        <v>-1.11E-2</v>
      </c>
      <c r="I1482" s="16">
        <f t="shared" si="118"/>
        <v>-1.1084718923198778E-2</v>
      </c>
      <c r="J1482" s="16">
        <f t="shared" si="119"/>
        <v>0.98891528107680127</v>
      </c>
      <c r="K1482" s="16">
        <f t="shared" si="115"/>
        <v>53.264736842105265</v>
      </c>
      <c r="L1482" s="16">
        <f t="shared" si="116"/>
        <v>52.338979591836726</v>
      </c>
      <c r="M1482" s="25" t="str">
        <f t="shared" si="117"/>
        <v>HOLD</v>
      </c>
    </row>
    <row r="1483" spans="2:13">
      <c r="B1483" s="3">
        <v>44204</v>
      </c>
      <c r="C1483" s="5">
        <v>51.08</v>
      </c>
      <c r="D1483" s="5">
        <v>50.03</v>
      </c>
      <c r="E1483" s="5">
        <v>51.12</v>
      </c>
      <c r="F1483" s="5">
        <v>49.84</v>
      </c>
      <c r="G1483" s="18" t="s">
        <v>767</v>
      </c>
      <c r="H1483" s="2">
        <v>2.24E-2</v>
      </c>
      <c r="I1483" s="16">
        <f t="shared" si="118"/>
        <v>2.2417934347477932E-2</v>
      </c>
      <c r="J1483" s="16">
        <f t="shared" si="119"/>
        <v>1.022417934347478</v>
      </c>
      <c r="K1483" s="16">
        <f t="shared" si="115"/>
        <v>53.087368421052638</v>
      </c>
      <c r="L1483" s="16">
        <f t="shared" si="116"/>
        <v>52.340204081632642</v>
      </c>
      <c r="M1483" s="25" t="str">
        <f t="shared" si="117"/>
        <v>HOLD</v>
      </c>
    </row>
    <row r="1484" spans="2:13">
      <c r="B1484" s="3">
        <v>44207</v>
      </c>
      <c r="C1484" s="5">
        <v>50.2</v>
      </c>
      <c r="D1484" s="5">
        <v>50.62</v>
      </c>
      <c r="E1484" s="5">
        <v>50.86</v>
      </c>
      <c r="F1484" s="5">
        <v>49.95</v>
      </c>
      <c r="G1484" s="18" t="s">
        <v>766</v>
      </c>
      <c r="H1484" s="2">
        <v>-1.72E-2</v>
      </c>
      <c r="I1484" s="16">
        <f t="shared" si="118"/>
        <v>-1.7227877838684329E-2</v>
      </c>
      <c r="J1484" s="16">
        <f t="shared" si="119"/>
        <v>0.98277212216131571</v>
      </c>
      <c r="K1484" s="16">
        <f t="shared" si="115"/>
        <v>52.983684210526313</v>
      </c>
      <c r="L1484" s="16">
        <f t="shared" si="116"/>
        <v>52.4038775510204</v>
      </c>
      <c r="M1484" s="25" t="str">
        <f t="shared" si="117"/>
        <v>HOLD</v>
      </c>
    </row>
    <row r="1485" spans="2:13">
      <c r="B1485" s="3">
        <v>44208</v>
      </c>
      <c r="C1485" s="5">
        <v>50.11</v>
      </c>
      <c r="D1485" s="5">
        <v>50.04</v>
      </c>
      <c r="E1485" s="5">
        <v>50.37</v>
      </c>
      <c r="F1485" s="5">
        <v>49.76</v>
      </c>
      <c r="G1485" s="18" t="s">
        <v>765</v>
      </c>
      <c r="H1485" s="2">
        <v>-1.8E-3</v>
      </c>
      <c r="I1485" s="16">
        <f t="shared" si="118"/>
        <v>-1.792828685259032E-3</v>
      </c>
      <c r="J1485" s="16">
        <f t="shared" si="119"/>
        <v>0.99820717131474102</v>
      </c>
      <c r="K1485" s="16">
        <f t="shared" si="115"/>
        <v>52.817894736842106</v>
      </c>
      <c r="L1485" s="16">
        <f t="shared" si="116"/>
        <v>52.44836734693876</v>
      </c>
      <c r="M1485" s="25" t="str">
        <f t="shared" si="117"/>
        <v>HOLD</v>
      </c>
    </row>
    <row r="1486" spans="2:13">
      <c r="B1486" s="3">
        <v>44209</v>
      </c>
      <c r="C1486" s="5">
        <v>50.16</v>
      </c>
      <c r="D1486" s="5">
        <v>49.98</v>
      </c>
      <c r="E1486" s="5">
        <v>50.36</v>
      </c>
      <c r="F1486" s="5">
        <v>49.95</v>
      </c>
      <c r="G1486" s="18" t="s">
        <v>499</v>
      </c>
      <c r="H1486" s="2">
        <v>1E-3</v>
      </c>
      <c r="I1486" s="16">
        <f t="shared" si="118"/>
        <v>9.9780482937531748E-4</v>
      </c>
      <c r="J1486" s="16">
        <f t="shared" si="119"/>
        <v>1.0009978048293753</v>
      </c>
      <c r="K1486" s="16">
        <f t="shared" si="115"/>
        <v>52.651578947368428</v>
      </c>
      <c r="L1486" s="16">
        <f t="shared" si="116"/>
        <v>52.490204081632641</v>
      </c>
      <c r="M1486" s="25" t="str">
        <f t="shared" si="117"/>
        <v>HOLD</v>
      </c>
    </row>
    <row r="1487" spans="2:13">
      <c r="B1487" s="3">
        <v>44210</v>
      </c>
      <c r="C1487" s="5">
        <v>49.23</v>
      </c>
      <c r="D1487" s="5">
        <v>50.16</v>
      </c>
      <c r="E1487" s="5">
        <v>50.18</v>
      </c>
      <c r="F1487" s="5">
        <v>49.22</v>
      </c>
      <c r="G1487" s="18" t="s">
        <v>764</v>
      </c>
      <c r="H1487" s="2">
        <v>-1.8499999999999999E-2</v>
      </c>
      <c r="I1487" s="16">
        <f t="shared" si="118"/>
        <v>-1.8540669856459326E-2</v>
      </c>
      <c r="J1487" s="16">
        <f t="shared" si="119"/>
        <v>0.9814593301435407</v>
      </c>
      <c r="K1487" s="16">
        <f t="shared" si="115"/>
        <v>52.457894736842114</v>
      </c>
      <c r="L1487" s="16">
        <f t="shared" si="116"/>
        <v>52.521632653061211</v>
      </c>
      <c r="M1487" s="25" t="str">
        <f t="shared" si="117"/>
        <v>SELL</v>
      </c>
    </row>
    <row r="1488" spans="2:13">
      <c r="B1488" s="3">
        <v>44211</v>
      </c>
      <c r="C1488" s="5">
        <v>48.7</v>
      </c>
      <c r="D1488" s="5">
        <v>49.16</v>
      </c>
      <c r="E1488" s="5">
        <v>49.18</v>
      </c>
      <c r="F1488" s="5">
        <v>48.53</v>
      </c>
      <c r="G1488" s="18" t="s">
        <v>763</v>
      </c>
      <c r="H1488" s="2">
        <v>-1.0800000000000001E-2</v>
      </c>
      <c r="I1488" s="16">
        <f t="shared" si="118"/>
        <v>-1.0765793215518873E-2</v>
      </c>
      <c r="J1488" s="16">
        <f t="shared" si="119"/>
        <v>0.98923420678448115</v>
      </c>
      <c r="K1488" s="16">
        <f t="shared" si="115"/>
        <v>52.256315789473682</v>
      </c>
      <c r="L1488" s="16">
        <f t="shared" si="116"/>
        <v>52.519183673469378</v>
      </c>
      <c r="M1488" s="25" t="str">
        <f t="shared" si="117"/>
        <v>HOLD</v>
      </c>
    </row>
    <row r="1489" spans="2:13">
      <c r="B1489" s="3">
        <v>44215</v>
      </c>
      <c r="C1489" s="5">
        <v>48.51</v>
      </c>
      <c r="D1489" s="5">
        <v>48.74</v>
      </c>
      <c r="E1489" s="5">
        <v>49.04</v>
      </c>
      <c r="F1489" s="5">
        <v>48.24</v>
      </c>
      <c r="G1489" s="18" t="s">
        <v>762</v>
      </c>
      <c r="H1489" s="2">
        <v>-3.8999999999999998E-3</v>
      </c>
      <c r="I1489" s="16">
        <f t="shared" si="118"/>
        <v>-3.9014373716633436E-3</v>
      </c>
      <c r="J1489" s="16">
        <f t="shared" si="119"/>
        <v>0.99609856262833663</v>
      </c>
      <c r="K1489" s="16">
        <f t="shared" si="115"/>
        <v>52.015789473684215</v>
      </c>
      <c r="L1489" s="16">
        <f t="shared" si="116"/>
        <v>52.509591836734678</v>
      </c>
      <c r="M1489" s="25" t="str">
        <f t="shared" si="117"/>
        <v>HOLD</v>
      </c>
    </row>
    <row r="1490" spans="2:13">
      <c r="B1490" s="3">
        <v>44216</v>
      </c>
      <c r="C1490" s="5">
        <v>48.68</v>
      </c>
      <c r="D1490" s="5">
        <v>48.54</v>
      </c>
      <c r="E1490" s="5">
        <v>48.82</v>
      </c>
      <c r="F1490" s="5">
        <v>48.31</v>
      </c>
      <c r="G1490" s="18" t="s">
        <v>761</v>
      </c>
      <c r="H1490" s="2">
        <v>3.5000000000000001E-3</v>
      </c>
      <c r="I1490" s="16">
        <f t="shared" si="118"/>
        <v>3.5044320758606828E-3</v>
      </c>
      <c r="J1490" s="16">
        <f t="shared" si="119"/>
        <v>1.0035044320758606</v>
      </c>
      <c r="K1490" s="16">
        <f t="shared" si="115"/>
        <v>51.740526315789474</v>
      </c>
      <c r="L1490" s="16">
        <f t="shared" si="116"/>
        <v>52.490612244897946</v>
      </c>
      <c r="M1490" s="25" t="str">
        <f t="shared" si="117"/>
        <v>HOLD</v>
      </c>
    </row>
    <row r="1491" spans="2:13">
      <c r="B1491" s="3">
        <v>44217</v>
      </c>
      <c r="C1491" s="5">
        <v>48.95</v>
      </c>
      <c r="D1491" s="5">
        <v>48.78</v>
      </c>
      <c r="E1491" s="5">
        <v>49.09</v>
      </c>
      <c r="F1491" s="5">
        <v>48.46</v>
      </c>
      <c r="G1491" s="18" t="s">
        <v>760</v>
      </c>
      <c r="H1491" s="2">
        <v>5.4999999999999997E-3</v>
      </c>
      <c r="I1491" s="16">
        <f t="shared" si="118"/>
        <v>5.5464256368118964E-3</v>
      </c>
      <c r="J1491" s="16">
        <f t="shared" si="119"/>
        <v>1.0055464256368118</v>
      </c>
      <c r="K1491" s="16">
        <f t="shared" si="115"/>
        <v>51.523157894736848</v>
      </c>
      <c r="L1491" s="16">
        <f t="shared" si="116"/>
        <v>52.474897959183657</v>
      </c>
      <c r="M1491" s="25" t="str">
        <f t="shared" si="117"/>
        <v>HOLD</v>
      </c>
    </row>
    <row r="1492" spans="2:13">
      <c r="B1492" s="3">
        <v>44218</v>
      </c>
      <c r="C1492" s="5">
        <v>48.49</v>
      </c>
      <c r="D1492" s="5">
        <v>48.81</v>
      </c>
      <c r="E1492" s="5">
        <v>48.94</v>
      </c>
      <c r="F1492" s="5">
        <v>48.49</v>
      </c>
      <c r="G1492" s="18" t="s">
        <v>439</v>
      </c>
      <c r="H1492" s="2">
        <v>-9.4000000000000004E-3</v>
      </c>
      <c r="I1492" s="16">
        <f t="shared" si="118"/>
        <v>-9.3973442288049196E-3</v>
      </c>
      <c r="J1492" s="16">
        <f t="shared" si="119"/>
        <v>0.99060265577119511</v>
      </c>
      <c r="K1492" s="16">
        <f t="shared" si="115"/>
        <v>51.322631578947373</v>
      </c>
      <c r="L1492" s="16">
        <f t="shared" si="116"/>
        <v>52.401020408163248</v>
      </c>
      <c r="M1492" s="25" t="str">
        <f t="shared" si="117"/>
        <v>HOLD</v>
      </c>
    </row>
    <row r="1493" spans="2:13">
      <c r="B1493" s="3">
        <v>44221</v>
      </c>
      <c r="C1493" s="5">
        <v>48.78</v>
      </c>
      <c r="D1493" s="5">
        <v>48.42</v>
      </c>
      <c r="E1493" s="5">
        <v>48.84</v>
      </c>
      <c r="F1493" s="5">
        <v>48.24</v>
      </c>
      <c r="G1493" s="18" t="s">
        <v>759</v>
      </c>
      <c r="H1493" s="2">
        <v>6.0000000000000001E-3</v>
      </c>
      <c r="I1493" s="16">
        <f t="shared" si="118"/>
        <v>5.9806145597030135E-3</v>
      </c>
      <c r="J1493" s="16">
        <f t="shared" si="119"/>
        <v>1.005980614559703</v>
      </c>
      <c r="K1493" s="16">
        <f t="shared" si="115"/>
        <v>51.081052631578949</v>
      </c>
      <c r="L1493" s="16">
        <f t="shared" si="116"/>
        <v>52.288979591836714</v>
      </c>
      <c r="M1493" s="25" t="str">
        <f t="shared" si="117"/>
        <v>HOLD</v>
      </c>
    </row>
    <row r="1494" spans="2:13">
      <c r="B1494" s="3">
        <v>44222</v>
      </c>
      <c r="C1494" s="5">
        <v>49.29</v>
      </c>
      <c r="D1494" s="5">
        <v>48.91</v>
      </c>
      <c r="E1494" s="5">
        <v>49.4</v>
      </c>
      <c r="F1494" s="5">
        <v>48.61</v>
      </c>
      <c r="G1494" s="18" t="s">
        <v>758</v>
      </c>
      <c r="H1494" s="2">
        <v>1.0500000000000001E-2</v>
      </c>
      <c r="I1494" s="16">
        <f t="shared" si="118"/>
        <v>1.0455104551045469E-2</v>
      </c>
      <c r="J1494" s="16">
        <f t="shared" si="119"/>
        <v>1.0104551045510455</v>
      </c>
      <c r="K1494" s="16">
        <f t="shared" si="115"/>
        <v>50.835789473684208</v>
      </c>
      <c r="L1494" s="16">
        <f t="shared" si="116"/>
        <v>52.191020408163261</v>
      </c>
      <c r="M1494" s="25" t="str">
        <f t="shared" si="117"/>
        <v>HOLD</v>
      </c>
    </row>
    <row r="1495" spans="2:13">
      <c r="B1495" s="3">
        <v>44223</v>
      </c>
      <c r="C1495" s="5">
        <v>48.53</v>
      </c>
      <c r="D1495" s="5">
        <v>48.89</v>
      </c>
      <c r="E1495" s="5">
        <v>49.32</v>
      </c>
      <c r="F1495" s="5">
        <v>48.23</v>
      </c>
      <c r="G1495" s="18" t="s">
        <v>757</v>
      </c>
      <c r="H1495" s="2">
        <v>-1.54E-2</v>
      </c>
      <c r="I1495" s="16">
        <f t="shared" si="118"/>
        <v>-1.5418949076891824E-2</v>
      </c>
      <c r="J1495" s="16">
        <f t="shared" si="119"/>
        <v>0.98458105092310821</v>
      </c>
      <c r="K1495" s="16">
        <f t="shared" si="115"/>
        <v>50.579473684210519</v>
      </c>
      <c r="L1495" s="16">
        <f t="shared" si="116"/>
        <v>52.115102040816318</v>
      </c>
      <c r="M1495" s="25" t="str">
        <f t="shared" si="117"/>
        <v>HOLD</v>
      </c>
    </row>
    <row r="1496" spans="2:13">
      <c r="B1496" s="3">
        <v>44224</v>
      </c>
      <c r="C1496" s="5">
        <v>49.15</v>
      </c>
      <c r="D1496" s="5">
        <v>48.69</v>
      </c>
      <c r="E1496" s="5">
        <v>49.5</v>
      </c>
      <c r="F1496" s="5">
        <v>48.61</v>
      </c>
      <c r="G1496" s="18" t="s">
        <v>741</v>
      </c>
      <c r="H1496" s="2">
        <v>1.2800000000000001E-2</v>
      </c>
      <c r="I1496" s="16">
        <f t="shared" si="118"/>
        <v>1.2775602719966977E-2</v>
      </c>
      <c r="J1496" s="16">
        <f t="shared" si="119"/>
        <v>1.012775602719967</v>
      </c>
      <c r="K1496" s="16">
        <f t="shared" si="115"/>
        <v>50.284736842105261</v>
      </c>
      <c r="L1496" s="16">
        <f t="shared" si="116"/>
        <v>52.014693877551018</v>
      </c>
      <c r="M1496" s="25" t="str">
        <f t="shared" si="117"/>
        <v>HOLD</v>
      </c>
    </row>
    <row r="1497" spans="2:13">
      <c r="B1497" s="3">
        <v>44225</v>
      </c>
      <c r="C1497" s="5">
        <v>48.15</v>
      </c>
      <c r="D1497" s="5">
        <v>49.03</v>
      </c>
      <c r="E1497" s="5">
        <v>49.12</v>
      </c>
      <c r="F1497" s="5">
        <v>48.11</v>
      </c>
      <c r="G1497" s="18" t="s">
        <v>503</v>
      </c>
      <c r="H1497" s="2">
        <v>-2.0299999999999999E-2</v>
      </c>
      <c r="I1497" s="16">
        <f t="shared" si="118"/>
        <v>-2.0345879959308241E-2</v>
      </c>
      <c r="J1497" s="16">
        <f t="shared" si="119"/>
        <v>0.97965412004069174</v>
      </c>
      <c r="K1497" s="16">
        <f t="shared" si="115"/>
        <v>50.006315789473682</v>
      </c>
      <c r="L1497" s="16">
        <f t="shared" si="116"/>
        <v>51.918775510204078</v>
      </c>
      <c r="M1497" s="25" t="str">
        <f t="shared" si="117"/>
        <v>HOLD</v>
      </c>
    </row>
    <row r="1498" spans="2:13">
      <c r="B1498" s="3">
        <v>44228</v>
      </c>
      <c r="C1498" s="5">
        <v>48.48</v>
      </c>
      <c r="D1498" s="5">
        <v>48.27</v>
      </c>
      <c r="E1498" s="5">
        <v>48.69</v>
      </c>
      <c r="F1498" s="5">
        <v>48.18</v>
      </c>
      <c r="G1498" s="18" t="s">
        <v>453</v>
      </c>
      <c r="H1498" s="2">
        <v>6.8999999999999999E-3</v>
      </c>
      <c r="I1498" s="16">
        <f t="shared" si="118"/>
        <v>6.8535825545170985E-3</v>
      </c>
      <c r="J1498" s="16">
        <f t="shared" si="119"/>
        <v>1.0068535825545171</v>
      </c>
      <c r="K1498" s="16">
        <f t="shared" si="115"/>
        <v>49.654210526315786</v>
      </c>
      <c r="L1498" s="16">
        <f t="shared" si="116"/>
        <v>51.805918367346941</v>
      </c>
      <c r="M1498" s="25" t="str">
        <f t="shared" si="117"/>
        <v>HOLD</v>
      </c>
    </row>
    <row r="1499" spans="2:13">
      <c r="B1499" s="3">
        <v>44229</v>
      </c>
      <c r="C1499" s="5">
        <v>48.96</v>
      </c>
      <c r="D1499" s="5">
        <v>48.8</v>
      </c>
      <c r="E1499" s="5">
        <v>49.35</v>
      </c>
      <c r="F1499" s="5">
        <v>48.63</v>
      </c>
      <c r="G1499" s="18" t="s">
        <v>756</v>
      </c>
      <c r="H1499" s="2">
        <v>9.9000000000000008E-3</v>
      </c>
      <c r="I1499" s="16">
        <f t="shared" si="118"/>
        <v>9.9009900990099844E-3</v>
      </c>
      <c r="J1499" s="16">
        <f t="shared" si="119"/>
        <v>1.0099009900990099</v>
      </c>
      <c r="K1499" s="16">
        <f t="shared" ref="K1499:K1562" si="120">AVERAGE(C1480:C1498)</f>
        <v>49.428947368421049</v>
      </c>
      <c r="L1499" s="16">
        <f t="shared" si="116"/>
        <v>51.721632653061228</v>
      </c>
      <c r="M1499" s="25" t="str">
        <f t="shared" si="117"/>
        <v>HOLD</v>
      </c>
    </row>
    <row r="1500" spans="2:13">
      <c r="B1500" s="3">
        <v>44230</v>
      </c>
      <c r="C1500" s="5">
        <v>48.77</v>
      </c>
      <c r="D1500" s="5">
        <v>48.95</v>
      </c>
      <c r="E1500" s="5">
        <v>49.09</v>
      </c>
      <c r="F1500" s="5">
        <v>48.67</v>
      </c>
      <c r="G1500" s="18" t="s">
        <v>319</v>
      </c>
      <c r="H1500" s="2">
        <v>-3.8999999999999998E-3</v>
      </c>
      <c r="I1500" s="16">
        <f t="shared" si="118"/>
        <v>-3.8807189542483197E-3</v>
      </c>
      <c r="J1500" s="16">
        <f t="shared" si="119"/>
        <v>0.99611928104575165</v>
      </c>
      <c r="K1500" s="16">
        <f t="shared" si="120"/>
        <v>49.259473684210526</v>
      </c>
      <c r="L1500" s="16">
        <f t="shared" si="116"/>
        <v>51.636530612244911</v>
      </c>
      <c r="M1500" s="25" t="str">
        <f t="shared" si="117"/>
        <v>HOLD</v>
      </c>
    </row>
    <row r="1501" spans="2:13">
      <c r="B1501" s="3">
        <v>44231</v>
      </c>
      <c r="C1501" s="5">
        <v>49.01</v>
      </c>
      <c r="D1501" s="5">
        <v>48.96</v>
      </c>
      <c r="E1501" s="5">
        <v>49.07</v>
      </c>
      <c r="F1501" s="5">
        <v>48.65</v>
      </c>
      <c r="G1501" s="18" t="s">
        <v>755</v>
      </c>
      <c r="H1501" s="2">
        <v>4.8999999999999998E-3</v>
      </c>
      <c r="I1501" s="16">
        <f t="shared" si="118"/>
        <v>4.9210580274758019E-3</v>
      </c>
      <c r="J1501" s="16">
        <f t="shared" si="119"/>
        <v>1.0049210580274759</v>
      </c>
      <c r="K1501" s="16">
        <f t="shared" si="120"/>
        <v>49.167368421052622</v>
      </c>
      <c r="L1501" s="16">
        <f t="shared" si="116"/>
        <v>51.556938775510211</v>
      </c>
      <c r="M1501" s="25" t="str">
        <f t="shared" si="117"/>
        <v>HOLD</v>
      </c>
    </row>
    <row r="1502" spans="2:13">
      <c r="B1502" s="3">
        <v>44232</v>
      </c>
      <c r="C1502" s="5">
        <v>49.65</v>
      </c>
      <c r="D1502" s="5">
        <v>49.5</v>
      </c>
      <c r="E1502" s="5">
        <v>49.78</v>
      </c>
      <c r="F1502" s="5">
        <v>49.27</v>
      </c>
      <c r="G1502" s="18" t="s">
        <v>754</v>
      </c>
      <c r="H1502" s="2">
        <v>1.3100000000000001E-2</v>
      </c>
      <c r="I1502" s="16">
        <f t="shared" si="118"/>
        <v>1.3058559477657633E-2</v>
      </c>
      <c r="J1502" s="16">
        <f t="shared" si="119"/>
        <v>1.0130585594776575</v>
      </c>
      <c r="K1502" s="16">
        <f t="shared" si="120"/>
        <v>49.117368421052625</v>
      </c>
      <c r="L1502" s="16">
        <f t="shared" si="116"/>
        <v>51.482040816326545</v>
      </c>
      <c r="M1502" s="25" t="str">
        <f t="shared" si="117"/>
        <v>HOLD</v>
      </c>
    </row>
    <row r="1503" spans="2:13">
      <c r="B1503" s="3">
        <v>44235</v>
      </c>
      <c r="C1503" s="5">
        <v>49.92</v>
      </c>
      <c r="D1503" s="5">
        <v>49.96</v>
      </c>
      <c r="E1503" s="5">
        <v>50.17</v>
      </c>
      <c r="F1503" s="5">
        <v>49.49</v>
      </c>
      <c r="G1503" s="18" t="s">
        <v>753</v>
      </c>
      <c r="H1503" s="2">
        <v>5.4000000000000003E-3</v>
      </c>
      <c r="I1503" s="16">
        <f t="shared" si="118"/>
        <v>5.4380664652568609E-3</v>
      </c>
      <c r="J1503" s="16">
        <f t="shared" si="119"/>
        <v>1.0054380664652569</v>
      </c>
      <c r="K1503" s="16">
        <f t="shared" si="120"/>
        <v>49.042105263157886</v>
      </c>
      <c r="L1503" s="16">
        <f t="shared" si="116"/>
        <v>51.409183673469407</v>
      </c>
      <c r="M1503" s="25" t="str">
        <f t="shared" si="117"/>
        <v>HOLD</v>
      </c>
    </row>
    <row r="1504" spans="2:13">
      <c r="B1504" s="3">
        <v>44236</v>
      </c>
      <c r="C1504" s="5">
        <v>49.7</v>
      </c>
      <c r="D1504" s="5">
        <v>49.85</v>
      </c>
      <c r="E1504" s="5">
        <v>50.02</v>
      </c>
      <c r="F1504" s="5">
        <v>49.63</v>
      </c>
      <c r="G1504" s="18" t="s">
        <v>552</v>
      </c>
      <c r="H1504" s="2">
        <v>-4.4000000000000003E-3</v>
      </c>
      <c r="I1504" s="16">
        <f t="shared" si="118"/>
        <v>-4.4070512820512595E-3</v>
      </c>
      <c r="J1504" s="16">
        <f t="shared" si="119"/>
        <v>0.99559294871794879</v>
      </c>
      <c r="K1504" s="16">
        <f t="shared" si="120"/>
        <v>49.027368421052628</v>
      </c>
      <c r="L1504" s="16">
        <f t="shared" si="116"/>
        <v>51.347755102040843</v>
      </c>
      <c r="M1504" s="25" t="str">
        <f t="shared" si="117"/>
        <v>HOLD</v>
      </c>
    </row>
    <row r="1505" spans="2:13">
      <c r="B1505" s="3">
        <v>44237</v>
      </c>
      <c r="C1505" s="5">
        <v>49.6</v>
      </c>
      <c r="D1505" s="5">
        <v>50.41</v>
      </c>
      <c r="E1505" s="5">
        <v>50.58</v>
      </c>
      <c r="F1505" s="5">
        <v>49.53</v>
      </c>
      <c r="G1505" s="18" t="s">
        <v>752</v>
      </c>
      <c r="H1505" s="2">
        <v>-2E-3</v>
      </c>
      <c r="I1505" s="16">
        <f t="shared" si="118"/>
        <v>-2.0120724346076742E-3</v>
      </c>
      <c r="J1505" s="16">
        <f t="shared" si="119"/>
        <v>0.99798792756539234</v>
      </c>
      <c r="K1505" s="16">
        <f t="shared" si="120"/>
        <v>49.00578947368421</v>
      </c>
      <c r="L1505" s="16">
        <f t="shared" si="116"/>
        <v>51.286530612244917</v>
      </c>
      <c r="M1505" s="25" t="str">
        <f t="shared" si="117"/>
        <v>HOLD</v>
      </c>
    </row>
    <row r="1506" spans="2:13">
      <c r="B1506" s="3">
        <v>44238</v>
      </c>
      <c r="C1506" s="5">
        <v>50.3</v>
      </c>
      <c r="D1506" s="5">
        <v>49.81</v>
      </c>
      <c r="E1506" s="5">
        <v>50.59</v>
      </c>
      <c r="F1506" s="5">
        <v>49.8</v>
      </c>
      <c r="G1506" s="18" t="s">
        <v>751</v>
      </c>
      <c r="H1506" s="2">
        <v>1.41E-2</v>
      </c>
      <c r="I1506" s="16">
        <f t="shared" si="118"/>
        <v>1.4112903225806364E-2</v>
      </c>
      <c r="J1506" s="16">
        <f t="shared" si="119"/>
        <v>1.0141129032258063</v>
      </c>
      <c r="K1506" s="16">
        <f t="shared" si="120"/>
        <v>48.976315789473688</v>
      </c>
      <c r="L1506" s="16">
        <f t="shared" si="116"/>
        <v>51.245714285714293</v>
      </c>
      <c r="M1506" s="25" t="str">
        <f t="shared" si="117"/>
        <v>HOLD</v>
      </c>
    </row>
    <row r="1507" spans="2:13">
      <c r="B1507" s="3">
        <v>44239</v>
      </c>
      <c r="C1507" s="5">
        <v>50.69</v>
      </c>
      <c r="D1507" s="5">
        <v>50.57</v>
      </c>
      <c r="E1507" s="5">
        <v>50.85</v>
      </c>
      <c r="F1507" s="5">
        <v>50.39</v>
      </c>
      <c r="G1507" s="18" t="s">
        <v>220</v>
      </c>
      <c r="H1507" s="2">
        <v>7.7999999999999996E-3</v>
      </c>
      <c r="I1507" s="16">
        <f t="shared" si="118"/>
        <v>7.7534791252485205E-3</v>
      </c>
      <c r="J1507" s="16">
        <f t="shared" si="119"/>
        <v>1.0077534791252485</v>
      </c>
      <c r="K1507" s="16">
        <f t="shared" si="120"/>
        <v>49.032631578947367</v>
      </c>
      <c r="L1507" s="16">
        <f t="shared" si="116"/>
        <v>51.210204081632654</v>
      </c>
      <c r="M1507" s="25" t="str">
        <f t="shared" si="117"/>
        <v>HOLD</v>
      </c>
    </row>
    <row r="1508" spans="2:13">
      <c r="B1508" s="3">
        <v>44243</v>
      </c>
      <c r="C1508" s="5">
        <v>50.27</v>
      </c>
      <c r="D1508" s="5">
        <v>50.62</v>
      </c>
      <c r="E1508" s="5">
        <v>50.72</v>
      </c>
      <c r="F1508" s="5">
        <v>50.16</v>
      </c>
      <c r="G1508" s="18" t="s">
        <v>94</v>
      </c>
      <c r="H1508" s="2">
        <v>-8.3000000000000001E-3</v>
      </c>
      <c r="I1508" s="16">
        <f t="shared" si="118"/>
        <v>-8.2856579206943108E-3</v>
      </c>
      <c r="J1508" s="16">
        <f t="shared" si="119"/>
        <v>0.99171434207930564</v>
      </c>
      <c r="K1508" s="16">
        <f t="shared" si="120"/>
        <v>49.137368421052628</v>
      </c>
      <c r="L1508" s="16">
        <f t="shared" si="116"/>
        <v>51.18122448979593</v>
      </c>
      <c r="M1508" s="25" t="str">
        <f t="shared" si="117"/>
        <v>HOLD</v>
      </c>
    </row>
    <row r="1509" spans="2:13">
      <c r="B1509" s="3">
        <v>44244</v>
      </c>
      <c r="C1509" s="5">
        <v>50.13</v>
      </c>
      <c r="D1509" s="5">
        <v>50</v>
      </c>
      <c r="E1509" s="5">
        <v>50.48</v>
      </c>
      <c r="F1509" s="5">
        <v>49.88</v>
      </c>
      <c r="G1509" s="18" t="s">
        <v>309</v>
      </c>
      <c r="H1509" s="2">
        <v>-2.8E-3</v>
      </c>
      <c r="I1509" s="16">
        <f t="shared" si="118"/>
        <v>-2.7849612094688792E-3</v>
      </c>
      <c r="J1509" s="16">
        <f t="shared" si="119"/>
        <v>0.99721503879053108</v>
      </c>
      <c r="K1509" s="16">
        <f t="shared" si="120"/>
        <v>49.23</v>
      </c>
      <c r="L1509" s="16">
        <f t="shared" si="116"/>
        <v>51.130000000000017</v>
      </c>
      <c r="M1509" s="25" t="str">
        <f t="shared" si="117"/>
        <v>HOLD</v>
      </c>
    </row>
    <row r="1510" spans="2:13">
      <c r="B1510" s="3">
        <v>44245</v>
      </c>
      <c r="C1510" s="5">
        <v>50.77</v>
      </c>
      <c r="D1510" s="5">
        <v>50.16</v>
      </c>
      <c r="E1510" s="5">
        <v>50.84</v>
      </c>
      <c r="F1510" s="5">
        <v>50.03</v>
      </c>
      <c r="G1510" s="18" t="s">
        <v>750</v>
      </c>
      <c r="H1510" s="2">
        <v>1.2800000000000001E-2</v>
      </c>
      <c r="I1510" s="16">
        <f t="shared" si="118"/>
        <v>1.2766806303610623E-2</v>
      </c>
      <c r="J1510" s="16">
        <f t="shared" si="119"/>
        <v>1.0127668063036106</v>
      </c>
      <c r="K1510" s="16">
        <f t="shared" si="120"/>
        <v>49.306315789473672</v>
      </c>
      <c r="L1510" s="16">
        <f t="shared" si="116"/>
        <v>51.054081632653073</v>
      </c>
      <c r="M1510" s="25" t="str">
        <f t="shared" si="117"/>
        <v>HOLD</v>
      </c>
    </row>
    <row r="1511" spans="2:13">
      <c r="B1511" s="3">
        <v>44246</v>
      </c>
      <c r="C1511" s="5">
        <v>50.11</v>
      </c>
      <c r="D1511" s="5">
        <v>50.79</v>
      </c>
      <c r="E1511" s="5">
        <v>50.83</v>
      </c>
      <c r="F1511" s="5">
        <v>49.97</v>
      </c>
      <c r="G1511" s="18" t="s">
        <v>365</v>
      </c>
      <c r="H1511" s="2">
        <v>-1.2999999999999999E-2</v>
      </c>
      <c r="I1511" s="16">
        <f t="shared" si="118"/>
        <v>-1.2999803033287446E-2</v>
      </c>
      <c r="J1511" s="16">
        <f t="shared" si="119"/>
        <v>0.9870001969667126</v>
      </c>
      <c r="K1511" s="16">
        <f t="shared" si="120"/>
        <v>49.402105263157893</v>
      </c>
      <c r="L1511" s="16">
        <f t="shared" si="116"/>
        <v>51.008775510204096</v>
      </c>
      <c r="M1511" s="25" t="str">
        <f t="shared" si="117"/>
        <v>HOLD</v>
      </c>
    </row>
    <row r="1512" spans="2:13">
      <c r="B1512" s="3">
        <v>44249</v>
      </c>
      <c r="C1512" s="5">
        <v>50.63</v>
      </c>
      <c r="D1512" s="5">
        <v>49.85</v>
      </c>
      <c r="E1512" s="5">
        <v>50.88</v>
      </c>
      <c r="F1512" s="5">
        <v>49.67</v>
      </c>
      <c r="G1512" s="18" t="s">
        <v>749</v>
      </c>
      <c r="H1512" s="2">
        <v>1.04E-2</v>
      </c>
      <c r="I1512" s="16">
        <f t="shared" si="118"/>
        <v>1.0377170225503954E-2</v>
      </c>
      <c r="J1512" s="16">
        <f t="shared" si="119"/>
        <v>1.010377170225504</v>
      </c>
      <c r="K1512" s="16">
        <f t="shared" si="120"/>
        <v>49.487368421052629</v>
      </c>
      <c r="L1512" s="16">
        <f t="shared" si="116"/>
        <v>50.946122448979601</v>
      </c>
      <c r="M1512" s="25" t="str">
        <f t="shared" si="117"/>
        <v>HOLD</v>
      </c>
    </row>
    <row r="1513" spans="2:13">
      <c r="B1513" s="3">
        <v>44250</v>
      </c>
      <c r="C1513" s="5">
        <v>50.54</v>
      </c>
      <c r="D1513" s="5">
        <v>51</v>
      </c>
      <c r="E1513" s="5">
        <v>51.51</v>
      </c>
      <c r="F1513" s="5">
        <v>50.42</v>
      </c>
      <c r="G1513" s="18" t="s">
        <v>493</v>
      </c>
      <c r="H1513" s="2">
        <v>-1.8E-3</v>
      </c>
      <c r="I1513" s="16">
        <f t="shared" si="118"/>
        <v>-1.7776022121272646E-3</v>
      </c>
      <c r="J1513" s="16">
        <f t="shared" si="119"/>
        <v>0.9982223977878727</v>
      </c>
      <c r="K1513" s="16">
        <f t="shared" si="120"/>
        <v>49.584736842105265</v>
      </c>
      <c r="L1513" s="16">
        <f t="shared" si="116"/>
        <v>50.891020408163278</v>
      </c>
      <c r="M1513" s="25" t="str">
        <f t="shared" si="117"/>
        <v>HOLD</v>
      </c>
    </row>
    <row r="1514" spans="2:13">
      <c r="B1514" s="3">
        <v>44251</v>
      </c>
      <c r="C1514" s="5">
        <v>50.71</v>
      </c>
      <c r="D1514" s="5">
        <v>50.39</v>
      </c>
      <c r="E1514" s="5">
        <v>50.9</v>
      </c>
      <c r="F1514" s="5">
        <v>50.13</v>
      </c>
      <c r="G1514" s="18" t="s">
        <v>416</v>
      </c>
      <c r="H1514" s="2">
        <v>3.3999999999999998E-3</v>
      </c>
      <c r="I1514" s="16">
        <f t="shared" si="118"/>
        <v>3.3636723387416244E-3</v>
      </c>
      <c r="J1514" s="16">
        <f t="shared" si="119"/>
        <v>1.0033636723387416</v>
      </c>
      <c r="K1514" s="16">
        <f t="shared" si="120"/>
        <v>49.650526315789463</v>
      </c>
      <c r="L1514" s="16">
        <f t="shared" si="116"/>
        <v>50.839795918367365</v>
      </c>
      <c r="M1514" s="25" t="str">
        <f t="shared" si="117"/>
        <v>HOLD</v>
      </c>
    </row>
    <row r="1515" spans="2:13">
      <c r="B1515" s="3">
        <v>44252</v>
      </c>
      <c r="C1515" s="5">
        <v>50.17</v>
      </c>
      <c r="D1515" s="5">
        <v>50.47</v>
      </c>
      <c r="E1515" s="5">
        <v>50.74</v>
      </c>
      <c r="F1515" s="5">
        <v>49.98</v>
      </c>
      <c r="G1515" s="18" t="s">
        <v>742</v>
      </c>
      <c r="H1515" s="2">
        <v>-1.06E-2</v>
      </c>
      <c r="I1515" s="16">
        <f t="shared" si="118"/>
        <v>-1.0648787221455317E-2</v>
      </c>
      <c r="J1515" s="16">
        <f t="shared" si="119"/>
        <v>0.98935121277854465</v>
      </c>
      <c r="K1515" s="16">
        <f t="shared" si="120"/>
        <v>49.765263157894744</v>
      </c>
      <c r="L1515" s="16">
        <f t="shared" si="116"/>
        <v>50.785918367346959</v>
      </c>
      <c r="M1515" s="25" t="str">
        <f t="shared" si="117"/>
        <v>HOLD</v>
      </c>
    </row>
    <row r="1516" spans="2:13">
      <c r="B1516" s="3">
        <v>44253</v>
      </c>
      <c r="C1516" s="5">
        <v>48.99</v>
      </c>
      <c r="D1516" s="5">
        <v>50.2</v>
      </c>
      <c r="E1516" s="5">
        <v>50.21</v>
      </c>
      <c r="F1516" s="5">
        <v>48.97</v>
      </c>
      <c r="G1516" s="18" t="s">
        <v>605</v>
      </c>
      <c r="H1516" s="2">
        <v>-2.35E-2</v>
      </c>
      <c r="I1516" s="16">
        <f t="shared" si="118"/>
        <v>-2.3520031891568659E-2</v>
      </c>
      <c r="J1516" s="16">
        <f t="shared" si="119"/>
        <v>0.9764799681084313</v>
      </c>
      <c r="K1516" s="16">
        <f t="shared" si="120"/>
        <v>49.81894736842105</v>
      </c>
      <c r="L1516" s="16">
        <f t="shared" si="116"/>
        <v>50.722653061224506</v>
      </c>
      <c r="M1516" s="25" t="str">
        <f t="shared" si="117"/>
        <v>HOLD</v>
      </c>
    </row>
    <row r="1517" spans="2:13">
      <c r="B1517" s="3">
        <v>44256</v>
      </c>
      <c r="C1517" s="5">
        <v>49.9</v>
      </c>
      <c r="D1517" s="5">
        <v>49.44</v>
      </c>
      <c r="E1517" s="5">
        <v>50.44</v>
      </c>
      <c r="F1517" s="5">
        <v>49.4</v>
      </c>
      <c r="G1517" s="18" t="s">
        <v>423</v>
      </c>
      <c r="H1517" s="2">
        <v>1.8599999999999998E-2</v>
      </c>
      <c r="I1517" s="16">
        <f t="shared" si="118"/>
        <v>1.8575219432537184E-2</v>
      </c>
      <c r="J1517" s="16">
        <f t="shared" si="119"/>
        <v>1.0185752194325373</v>
      </c>
      <c r="K1517" s="16">
        <f t="shared" si="120"/>
        <v>49.863157894736844</v>
      </c>
      <c r="L1517" s="16">
        <f t="shared" si="116"/>
        <v>50.623673469387775</v>
      </c>
      <c r="M1517" s="25" t="str">
        <f t="shared" si="117"/>
        <v>HOLD</v>
      </c>
    </row>
    <row r="1518" spans="2:13">
      <c r="B1518" s="3">
        <v>44257</v>
      </c>
      <c r="C1518" s="5">
        <v>50.1</v>
      </c>
      <c r="D1518" s="5">
        <v>49.84</v>
      </c>
      <c r="E1518" s="5">
        <v>50.56</v>
      </c>
      <c r="F1518" s="5">
        <v>49.7</v>
      </c>
      <c r="G1518" s="18" t="s">
        <v>748</v>
      </c>
      <c r="H1518" s="2">
        <v>4.0000000000000001E-3</v>
      </c>
      <c r="I1518" s="16">
        <f t="shared" si="118"/>
        <v>4.0080160320641852E-3</v>
      </c>
      <c r="J1518" s="16">
        <f t="shared" si="119"/>
        <v>1.0040080160320641</v>
      </c>
      <c r="K1518" s="16">
        <f t="shared" si="120"/>
        <v>49.937894736842104</v>
      </c>
      <c r="L1518" s="16">
        <f t="shared" si="116"/>
        <v>50.559183673469398</v>
      </c>
      <c r="M1518" s="25" t="str">
        <f t="shared" si="117"/>
        <v>HOLD</v>
      </c>
    </row>
    <row r="1519" spans="2:13">
      <c r="B1519" s="3">
        <v>44258</v>
      </c>
      <c r="C1519" s="5">
        <v>49.98</v>
      </c>
      <c r="D1519" s="5">
        <v>49.72</v>
      </c>
      <c r="E1519" s="5">
        <v>50.56</v>
      </c>
      <c r="F1519" s="5">
        <v>49.71</v>
      </c>
      <c r="G1519" s="18" t="s">
        <v>553</v>
      </c>
      <c r="H1519" s="2">
        <v>-2.3999999999999998E-3</v>
      </c>
      <c r="I1519" s="16">
        <f t="shared" si="118"/>
        <v>-2.395209580838414E-3</v>
      </c>
      <c r="J1519" s="16">
        <f t="shared" si="119"/>
        <v>0.99760479041916161</v>
      </c>
      <c r="K1519" s="16">
        <f t="shared" si="120"/>
        <v>49.997894736842106</v>
      </c>
      <c r="L1519" s="16">
        <f t="shared" si="116"/>
        <v>50.494489795918383</v>
      </c>
      <c r="M1519" s="25" t="str">
        <f t="shared" si="117"/>
        <v>HOLD</v>
      </c>
    </row>
    <row r="1520" spans="2:13">
      <c r="B1520" s="3">
        <v>44259</v>
      </c>
      <c r="C1520" s="5">
        <v>49.94</v>
      </c>
      <c r="D1520" s="5">
        <v>50.31</v>
      </c>
      <c r="E1520" s="5">
        <v>51.09</v>
      </c>
      <c r="F1520" s="5">
        <v>49.62</v>
      </c>
      <c r="G1520" s="18" t="s">
        <v>747</v>
      </c>
      <c r="H1520" s="2">
        <v>-8.0000000000000004E-4</v>
      </c>
      <c r="I1520" s="16">
        <f t="shared" si="118"/>
        <v>-8.0032012805120352E-4</v>
      </c>
      <c r="J1520" s="16">
        <f t="shared" si="119"/>
        <v>0.9991996798719488</v>
      </c>
      <c r="K1520" s="16">
        <f t="shared" si="120"/>
        <v>50.06157894736841</v>
      </c>
      <c r="L1520" s="16">
        <f t="shared" si="116"/>
        <v>50.417755102040822</v>
      </c>
      <c r="M1520" s="25" t="str">
        <f t="shared" si="117"/>
        <v>HOLD</v>
      </c>
    </row>
    <row r="1521" spans="2:13">
      <c r="B1521" s="3">
        <v>44260</v>
      </c>
      <c r="C1521" s="5">
        <v>50.79</v>
      </c>
      <c r="D1521" s="5">
        <v>50.05</v>
      </c>
      <c r="E1521" s="5">
        <v>50.95</v>
      </c>
      <c r="F1521" s="5">
        <v>49.9</v>
      </c>
      <c r="G1521" s="18" t="s">
        <v>746</v>
      </c>
      <c r="H1521" s="2">
        <v>1.7000000000000001E-2</v>
      </c>
      <c r="I1521" s="16">
        <f t="shared" si="118"/>
        <v>1.7020424509411321E-2</v>
      </c>
      <c r="J1521" s="16">
        <f t="shared" si="119"/>
        <v>1.0170204245094112</v>
      </c>
      <c r="K1521" s="16">
        <f t="shared" si="120"/>
        <v>50.110526315789471</v>
      </c>
      <c r="L1521" s="16">
        <f t="shared" si="116"/>
        <v>50.359183673469396</v>
      </c>
      <c r="M1521" s="25" t="str">
        <f t="shared" si="117"/>
        <v>HOLD</v>
      </c>
    </row>
    <row r="1522" spans="2:13">
      <c r="B1522" s="3">
        <v>44263</v>
      </c>
      <c r="C1522" s="5">
        <v>51.64</v>
      </c>
      <c r="D1522" s="5">
        <v>51.47</v>
      </c>
      <c r="E1522" s="5">
        <v>52.49</v>
      </c>
      <c r="F1522" s="5">
        <v>51.16</v>
      </c>
      <c r="G1522" s="18" t="s">
        <v>575</v>
      </c>
      <c r="H1522" s="2">
        <v>1.67E-2</v>
      </c>
      <c r="I1522" s="16">
        <f t="shared" si="118"/>
        <v>1.6735577869659408E-2</v>
      </c>
      <c r="J1522" s="16">
        <f t="shared" si="119"/>
        <v>1.0167355778696594</v>
      </c>
      <c r="K1522" s="16">
        <f t="shared" si="120"/>
        <v>50.170526315789473</v>
      </c>
      <c r="L1522" s="16">
        <f t="shared" si="116"/>
        <v>50.318979591836744</v>
      </c>
      <c r="M1522" s="25" t="str">
        <f t="shared" si="117"/>
        <v>HOLD</v>
      </c>
    </row>
    <row r="1523" spans="2:13">
      <c r="B1523" s="3">
        <v>44264</v>
      </c>
      <c r="C1523" s="5">
        <v>50.86</v>
      </c>
      <c r="D1523" s="5">
        <v>51.72</v>
      </c>
      <c r="E1523" s="5">
        <v>51.88</v>
      </c>
      <c r="F1523" s="5">
        <v>50.82</v>
      </c>
      <c r="G1523" s="18" t="s">
        <v>745</v>
      </c>
      <c r="H1523" s="2">
        <v>-1.5100000000000001E-2</v>
      </c>
      <c r="I1523" s="16">
        <f t="shared" si="118"/>
        <v>-1.5104570100697157E-2</v>
      </c>
      <c r="J1523" s="16">
        <f t="shared" si="119"/>
        <v>0.9848954298993029</v>
      </c>
      <c r="K1523" s="16">
        <f t="shared" si="120"/>
        <v>50.261052631578941</v>
      </c>
      <c r="L1523" s="16">
        <f t="shared" si="116"/>
        <v>50.289591836734694</v>
      </c>
      <c r="M1523" s="25" t="str">
        <f t="shared" si="117"/>
        <v>HOLD</v>
      </c>
    </row>
    <row r="1524" spans="2:13">
      <c r="B1524" s="3">
        <v>44265</v>
      </c>
      <c r="C1524" s="5">
        <v>51.44</v>
      </c>
      <c r="D1524" s="5">
        <v>51.18</v>
      </c>
      <c r="E1524" s="5">
        <v>51.63</v>
      </c>
      <c r="F1524" s="5">
        <v>50.72</v>
      </c>
      <c r="G1524" s="18" t="s">
        <v>744</v>
      </c>
      <c r="H1524" s="2">
        <v>1.14E-2</v>
      </c>
      <c r="I1524" s="16">
        <f t="shared" si="118"/>
        <v>1.1403853716083334E-2</v>
      </c>
      <c r="J1524" s="16">
        <f t="shared" si="119"/>
        <v>1.0114038537160834</v>
      </c>
      <c r="K1524" s="16">
        <f t="shared" si="120"/>
        <v>50.322105263157887</v>
      </c>
      <c r="L1524" s="16">
        <f t="shared" si="116"/>
        <v>50.236938775510204</v>
      </c>
      <c r="M1524" s="25" t="str">
        <f t="shared" si="117"/>
        <v>BUY</v>
      </c>
    </row>
    <row r="1525" spans="2:13">
      <c r="B1525" s="3">
        <v>44266</v>
      </c>
      <c r="C1525" s="5">
        <v>50.88</v>
      </c>
      <c r="D1525" s="5">
        <v>51.41</v>
      </c>
      <c r="E1525" s="5">
        <v>51.43</v>
      </c>
      <c r="F1525" s="5">
        <v>50.81</v>
      </c>
      <c r="G1525" s="18" t="s">
        <v>488</v>
      </c>
      <c r="H1525" s="2">
        <v>-1.09E-2</v>
      </c>
      <c r="I1525" s="16">
        <f t="shared" si="118"/>
        <v>-1.0886469673405817E-2</v>
      </c>
      <c r="J1525" s="16">
        <f t="shared" si="119"/>
        <v>0.98911353032659421</v>
      </c>
      <c r="K1525" s="16">
        <f t="shared" si="120"/>
        <v>50.418947368421051</v>
      </c>
      <c r="L1525" s="16">
        <f t="shared" si="116"/>
        <v>50.181428571428576</v>
      </c>
      <c r="M1525" s="25" t="str">
        <f t="shared" si="117"/>
        <v>HOLD</v>
      </c>
    </row>
    <row r="1526" spans="2:13">
      <c r="B1526" s="3">
        <v>44267</v>
      </c>
      <c r="C1526" s="5">
        <v>50.36</v>
      </c>
      <c r="D1526" s="5">
        <v>50.59</v>
      </c>
      <c r="E1526" s="5">
        <v>50.68</v>
      </c>
      <c r="F1526" s="5">
        <v>50.2</v>
      </c>
      <c r="G1526" s="18" t="s">
        <v>743</v>
      </c>
      <c r="H1526" s="2">
        <v>-1.0200000000000001E-2</v>
      </c>
      <c r="I1526" s="16">
        <f t="shared" si="118"/>
        <v>-1.0220125786163582E-2</v>
      </c>
      <c r="J1526" s="16">
        <f t="shared" si="119"/>
        <v>0.9897798742138364</v>
      </c>
      <c r="K1526" s="16">
        <f t="shared" si="120"/>
        <v>50.449473684210531</v>
      </c>
      <c r="L1526" s="16">
        <f t="shared" si="116"/>
        <v>50.115102040816332</v>
      </c>
      <c r="M1526" s="25" t="str">
        <f t="shared" si="117"/>
        <v>HOLD</v>
      </c>
    </row>
    <row r="1527" spans="2:13">
      <c r="B1527" s="3">
        <v>44270</v>
      </c>
      <c r="C1527" s="5">
        <v>51.03</v>
      </c>
      <c r="D1527" s="5">
        <v>50.5</v>
      </c>
      <c r="E1527" s="5">
        <v>51.12</v>
      </c>
      <c r="F1527" s="5">
        <v>50.47</v>
      </c>
      <c r="G1527" s="18" t="s">
        <v>604</v>
      </c>
      <c r="H1527" s="2">
        <v>1.3299999999999999E-2</v>
      </c>
      <c r="I1527" s="16">
        <f t="shared" si="118"/>
        <v>1.3304209690230375E-2</v>
      </c>
      <c r="J1527" s="16">
        <f t="shared" si="119"/>
        <v>1.0133042096902303</v>
      </c>
      <c r="K1527" s="16">
        <f t="shared" si="120"/>
        <v>50.432105263157894</v>
      </c>
      <c r="L1527" s="16">
        <f t="shared" si="116"/>
        <v>50.031836734693883</v>
      </c>
      <c r="M1527" s="25" t="str">
        <f t="shared" si="117"/>
        <v>HOLD</v>
      </c>
    </row>
    <row r="1528" spans="2:13">
      <c r="B1528" s="3">
        <v>44271</v>
      </c>
      <c r="C1528" s="5">
        <v>51.22</v>
      </c>
      <c r="D1528" s="5">
        <v>51.2</v>
      </c>
      <c r="E1528" s="5">
        <v>51.52</v>
      </c>
      <c r="F1528" s="5">
        <v>51.04</v>
      </c>
      <c r="G1528" s="18" t="s">
        <v>742</v>
      </c>
      <c r="H1528" s="2">
        <v>3.7000000000000002E-3</v>
      </c>
      <c r="I1528" s="16">
        <f t="shared" si="118"/>
        <v>3.7233000195962714E-3</v>
      </c>
      <c r="J1528" s="16">
        <f t="shared" si="119"/>
        <v>1.0037233000195962</v>
      </c>
      <c r="K1528" s="16">
        <f t="shared" si="120"/>
        <v>50.472105263157893</v>
      </c>
      <c r="L1528" s="16">
        <f t="shared" si="116"/>
        <v>49.954081632653072</v>
      </c>
      <c r="M1528" s="25" t="str">
        <f t="shared" si="117"/>
        <v>HOLD</v>
      </c>
    </row>
    <row r="1529" spans="2:13">
      <c r="B1529" s="3">
        <v>44272</v>
      </c>
      <c r="C1529" s="5">
        <v>51.24</v>
      </c>
      <c r="D1529" s="5">
        <v>51.25</v>
      </c>
      <c r="E1529" s="5">
        <v>51.62</v>
      </c>
      <c r="F1529" s="5">
        <v>51.15</v>
      </c>
      <c r="G1529" s="18" t="s">
        <v>741</v>
      </c>
      <c r="H1529" s="2">
        <v>4.0000000000000002E-4</v>
      </c>
      <c r="I1529" s="16">
        <f t="shared" si="118"/>
        <v>3.9047247169080685E-4</v>
      </c>
      <c r="J1529" s="16">
        <f t="shared" si="119"/>
        <v>1.0003904724716908</v>
      </c>
      <c r="K1529" s="16">
        <f t="shared" si="120"/>
        <v>50.529473684210522</v>
      </c>
      <c r="L1529" s="16">
        <f t="shared" ref="L1529:L1592" si="121">AVERAGE(C1480:C1528)</f>
        <v>49.922653061224509</v>
      </c>
      <c r="M1529" s="25" t="str">
        <f t="shared" ref="M1529:M1592" si="122">IF(AND(K1529&gt;L1529,K1528&lt;=L1528),"BUY",IF(AND(K1529&lt;L1529,K1528&gt;=L1528),"SELL","HOLD"))</f>
        <v>HOLD</v>
      </c>
    </row>
    <row r="1530" spans="2:13">
      <c r="B1530" s="3">
        <v>44273</v>
      </c>
      <c r="C1530" s="5">
        <v>50.57</v>
      </c>
      <c r="D1530" s="5">
        <v>51.06</v>
      </c>
      <c r="E1530" s="5">
        <v>51.19</v>
      </c>
      <c r="F1530" s="5">
        <v>50.48</v>
      </c>
      <c r="G1530" s="18" t="s">
        <v>740</v>
      </c>
      <c r="H1530" s="2">
        <v>-1.3100000000000001E-2</v>
      </c>
      <c r="I1530" s="16">
        <f t="shared" si="118"/>
        <v>-1.3075722092115568E-2</v>
      </c>
      <c r="J1530" s="16">
        <f t="shared" si="119"/>
        <v>0.9869242779078844</v>
      </c>
      <c r="K1530" s="16">
        <f t="shared" si="120"/>
        <v>50.554210526315785</v>
      </c>
      <c r="L1530" s="16">
        <f t="shared" si="121"/>
        <v>49.903469387755109</v>
      </c>
      <c r="M1530" s="25" t="str">
        <f t="shared" si="122"/>
        <v>HOLD</v>
      </c>
    </row>
    <row r="1531" spans="2:13">
      <c r="B1531" s="3">
        <v>44274</v>
      </c>
      <c r="C1531" s="5">
        <v>50.81</v>
      </c>
      <c r="D1531" s="5">
        <v>50.46</v>
      </c>
      <c r="E1531" s="5">
        <v>51.08</v>
      </c>
      <c r="F1531" s="5">
        <v>50.17</v>
      </c>
      <c r="G1531" s="18" t="s">
        <v>739</v>
      </c>
      <c r="H1531" s="2">
        <v>4.7000000000000002E-3</v>
      </c>
      <c r="I1531" s="16">
        <f t="shared" si="118"/>
        <v>4.7458967767451451E-3</v>
      </c>
      <c r="J1531" s="16">
        <f t="shared" si="119"/>
        <v>1.0047458967767451</v>
      </c>
      <c r="K1531" s="16">
        <f t="shared" si="120"/>
        <v>50.578421052631583</v>
      </c>
      <c r="L1531" s="16">
        <f t="shared" si="121"/>
        <v>49.90448979591838</v>
      </c>
      <c r="M1531" s="25" t="str">
        <f t="shared" si="122"/>
        <v>HOLD</v>
      </c>
    </row>
    <row r="1532" spans="2:13">
      <c r="B1532" s="3">
        <v>44277</v>
      </c>
      <c r="C1532" s="5">
        <v>51</v>
      </c>
      <c r="D1532" s="5">
        <v>50.32</v>
      </c>
      <c r="E1532" s="5">
        <v>51.08</v>
      </c>
      <c r="F1532" s="5">
        <v>50.32</v>
      </c>
      <c r="G1532" s="18" t="s">
        <v>738</v>
      </c>
      <c r="H1532" s="2">
        <v>3.7000000000000002E-3</v>
      </c>
      <c r="I1532" s="16">
        <f t="shared" si="118"/>
        <v>3.739421373745281E-3</v>
      </c>
      <c r="J1532" s="16">
        <f t="shared" si="119"/>
        <v>1.0037394213737454</v>
      </c>
      <c r="K1532" s="16">
        <f t="shared" si="120"/>
        <v>50.587894736842109</v>
      </c>
      <c r="L1532" s="16">
        <f t="shared" si="121"/>
        <v>49.921836734693876</v>
      </c>
      <c r="M1532" s="25" t="str">
        <f t="shared" si="122"/>
        <v>HOLD</v>
      </c>
    </row>
    <row r="1533" spans="2:13">
      <c r="B1533" s="3">
        <v>44278</v>
      </c>
      <c r="C1533" s="5">
        <v>51.39</v>
      </c>
      <c r="D1533" s="5">
        <v>50.99</v>
      </c>
      <c r="E1533" s="5">
        <v>51.65</v>
      </c>
      <c r="F1533" s="5">
        <v>50.83</v>
      </c>
      <c r="G1533" s="18" t="s">
        <v>737</v>
      </c>
      <c r="H1533" s="2">
        <v>7.6E-3</v>
      </c>
      <c r="I1533" s="16">
        <f t="shared" si="118"/>
        <v>7.6470588235294226E-3</v>
      </c>
      <c r="J1533" s="16">
        <f t="shared" si="119"/>
        <v>1.0076470588235293</v>
      </c>
      <c r="K1533" s="16">
        <f t="shared" si="120"/>
        <v>50.6121052631579</v>
      </c>
      <c r="L1533" s="16">
        <f t="shared" si="121"/>
        <v>49.920204081632654</v>
      </c>
      <c r="M1533" s="25" t="str">
        <f t="shared" si="122"/>
        <v>HOLD</v>
      </c>
    </row>
    <row r="1534" spans="2:13">
      <c r="B1534" s="3">
        <v>44279</v>
      </c>
      <c r="C1534" s="5">
        <v>51.52</v>
      </c>
      <c r="D1534" s="5">
        <v>51.17</v>
      </c>
      <c r="E1534" s="5">
        <v>51.89</v>
      </c>
      <c r="F1534" s="5">
        <v>51.15</v>
      </c>
      <c r="G1534" s="18" t="s">
        <v>736</v>
      </c>
      <c r="H1534" s="2">
        <v>2.5000000000000001E-3</v>
      </c>
      <c r="I1534" s="16">
        <f t="shared" si="118"/>
        <v>2.5296750340533677E-3</v>
      </c>
      <c r="J1534" s="16">
        <f t="shared" si="119"/>
        <v>1.0025296750340533</v>
      </c>
      <c r="K1534" s="16">
        <f t="shared" si="120"/>
        <v>50.647894736842112</v>
      </c>
      <c r="L1534" s="16">
        <f t="shared" si="121"/>
        <v>49.944489795918372</v>
      </c>
      <c r="M1534" s="25" t="str">
        <f t="shared" si="122"/>
        <v>HOLD</v>
      </c>
    </row>
    <row r="1535" spans="2:13">
      <c r="B1535" s="3">
        <v>44280</v>
      </c>
      <c r="C1535" s="5">
        <v>52.02</v>
      </c>
      <c r="D1535" s="5">
        <v>51.7</v>
      </c>
      <c r="E1535" s="5">
        <v>52.06</v>
      </c>
      <c r="F1535" s="5">
        <v>51.17</v>
      </c>
      <c r="G1535" s="18" t="s">
        <v>735</v>
      </c>
      <c r="H1535" s="2">
        <v>9.7000000000000003E-3</v>
      </c>
      <c r="I1535" s="16">
        <f t="shared" si="118"/>
        <v>9.7049689440993781E-3</v>
      </c>
      <c r="J1535" s="16">
        <f t="shared" si="119"/>
        <v>1.0097049689440993</v>
      </c>
      <c r="K1535" s="16">
        <f t="shared" si="120"/>
        <v>50.718947368421048</v>
      </c>
      <c r="L1535" s="16">
        <f t="shared" si="121"/>
        <v>49.97326530612245</v>
      </c>
      <c r="M1535" s="25" t="str">
        <f t="shared" si="122"/>
        <v>HOLD</v>
      </c>
    </row>
    <row r="1536" spans="2:13">
      <c r="B1536" s="3">
        <v>44281</v>
      </c>
      <c r="C1536" s="5">
        <v>53.04</v>
      </c>
      <c r="D1536" s="5">
        <v>52.14</v>
      </c>
      <c r="E1536" s="5">
        <v>53.11</v>
      </c>
      <c r="F1536" s="5">
        <v>51.76</v>
      </c>
      <c r="G1536" s="18" t="s">
        <v>734</v>
      </c>
      <c r="H1536" s="2">
        <v>1.9599999999999999E-2</v>
      </c>
      <c r="I1536" s="16">
        <f t="shared" si="118"/>
        <v>1.9607843137254825E-2</v>
      </c>
      <c r="J1536" s="16">
        <f t="shared" si="119"/>
        <v>1.0196078431372548</v>
      </c>
      <c r="K1536" s="16">
        <f t="shared" si="120"/>
        <v>50.878421052631573</v>
      </c>
      <c r="L1536" s="16">
        <f t="shared" si="121"/>
        <v>50.011224489795914</v>
      </c>
      <c r="M1536" s="25" t="str">
        <f t="shared" si="122"/>
        <v>HOLD</v>
      </c>
    </row>
    <row r="1537" spans="2:13">
      <c r="B1537" s="3">
        <v>44284</v>
      </c>
      <c r="C1537" s="5">
        <v>53.85</v>
      </c>
      <c r="D1537" s="5">
        <v>52.73</v>
      </c>
      <c r="E1537" s="5">
        <v>53.94</v>
      </c>
      <c r="F1537" s="5">
        <v>52.71</v>
      </c>
      <c r="G1537" s="18" t="s">
        <v>733</v>
      </c>
      <c r="H1537" s="2">
        <v>1.5299999999999999E-2</v>
      </c>
      <c r="I1537" s="16">
        <f t="shared" si="118"/>
        <v>1.5271493212669726E-2</v>
      </c>
      <c r="J1537" s="16">
        <f t="shared" si="119"/>
        <v>1.0152714932126696</v>
      </c>
      <c r="K1537" s="16">
        <f t="shared" si="120"/>
        <v>51.043684210526315</v>
      </c>
      <c r="L1537" s="16">
        <f t="shared" si="121"/>
        <v>50.08897959183674</v>
      </c>
      <c r="M1537" s="25" t="str">
        <f t="shared" si="122"/>
        <v>HOLD</v>
      </c>
    </row>
    <row r="1538" spans="2:13">
      <c r="B1538" s="3">
        <v>44285</v>
      </c>
      <c r="C1538" s="5">
        <v>53.15</v>
      </c>
      <c r="D1538" s="5">
        <v>53.75</v>
      </c>
      <c r="E1538" s="5">
        <v>53.79</v>
      </c>
      <c r="F1538" s="5">
        <v>52.92</v>
      </c>
      <c r="G1538" s="18" t="s">
        <v>283</v>
      </c>
      <c r="H1538" s="2">
        <v>-1.2999999999999999E-2</v>
      </c>
      <c r="I1538" s="16">
        <f t="shared" si="118"/>
        <v>-1.2999071494893275E-2</v>
      </c>
      <c r="J1538" s="16">
        <f t="shared" si="119"/>
        <v>0.98700092850510668</v>
      </c>
      <c r="K1538" s="16">
        <f t="shared" si="120"/>
        <v>51.241052631578945</v>
      </c>
      <c r="L1538" s="16">
        <f t="shared" si="121"/>
        <v>50.194081632653059</v>
      </c>
      <c r="M1538" s="25" t="str">
        <f t="shared" si="122"/>
        <v>HOLD</v>
      </c>
    </row>
    <row r="1539" spans="2:13">
      <c r="B1539" s="3">
        <v>44286</v>
      </c>
      <c r="C1539" s="5">
        <v>52.71</v>
      </c>
      <c r="D1539" s="5">
        <v>53.03</v>
      </c>
      <c r="E1539" s="5">
        <v>53.17</v>
      </c>
      <c r="F1539" s="5">
        <v>52.5</v>
      </c>
      <c r="G1539" s="18" t="s">
        <v>732</v>
      </c>
      <c r="H1539" s="2">
        <v>-8.3000000000000001E-3</v>
      </c>
      <c r="I1539" s="16">
        <f t="shared" si="118"/>
        <v>-8.2784571966133154E-3</v>
      </c>
      <c r="J1539" s="16">
        <f t="shared" si="119"/>
        <v>0.99172154280338665</v>
      </c>
      <c r="K1539" s="16">
        <f t="shared" si="120"/>
        <v>51.40789473684211</v>
      </c>
      <c r="L1539" s="16">
        <f t="shared" si="121"/>
        <v>50.288775510204083</v>
      </c>
      <c r="M1539" s="25" t="str">
        <f t="shared" si="122"/>
        <v>HOLD</v>
      </c>
    </row>
    <row r="1540" spans="2:13">
      <c r="B1540" s="3">
        <v>44287</v>
      </c>
      <c r="C1540" s="5">
        <v>52.51</v>
      </c>
      <c r="D1540" s="5">
        <v>52.96</v>
      </c>
      <c r="E1540" s="5">
        <v>53.15</v>
      </c>
      <c r="F1540" s="5">
        <v>52.45</v>
      </c>
      <c r="G1540" s="18" t="s">
        <v>732</v>
      </c>
      <c r="H1540" s="2">
        <v>-3.8E-3</v>
      </c>
      <c r="I1540" s="16">
        <f t="shared" si="118"/>
        <v>-3.7943464238285496E-3</v>
      </c>
      <c r="J1540" s="16">
        <f t="shared" si="119"/>
        <v>0.99620565357617141</v>
      </c>
      <c r="K1540" s="16">
        <f t="shared" si="120"/>
        <v>51.553684210526313</v>
      </c>
      <c r="L1540" s="16">
        <f t="shared" si="121"/>
        <v>50.371020408163261</v>
      </c>
      <c r="M1540" s="25" t="str">
        <f t="shared" si="122"/>
        <v>HOLD</v>
      </c>
    </row>
    <row r="1541" spans="2:13">
      <c r="B1541" s="3">
        <v>44291</v>
      </c>
      <c r="C1541" s="5">
        <v>52.81</v>
      </c>
      <c r="D1541" s="5">
        <v>52.35</v>
      </c>
      <c r="E1541" s="5">
        <v>53.22</v>
      </c>
      <c r="F1541" s="5">
        <v>52.29</v>
      </c>
      <c r="G1541" s="18" t="s">
        <v>257</v>
      </c>
      <c r="H1541" s="2">
        <v>5.7000000000000002E-3</v>
      </c>
      <c r="I1541" s="16">
        <f t="shared" si="118"/>
        <v>5.7131974861931879E-3</v>
      </c>
      <c r="J1541" s="16">
        <f t="shared" si="119"/>
        <v>1.0057131974861933</v>
      </c>
      <c r="K1541" s="16">
        <f t="shared" si="120"/>
        <v>51.644210526315788</v>
      </c>
      <c r="L1541" s="16">
        <f t="shared" si="121"/>
        <v>50.443673469387761</v>
      </c>
      <c r="M1541" s="25" t="str">
        <f t="shared" si="122"/>
        <v>HOLD</v>
      </c>
    </row>
    <row r="1542" spans="2:13">
      <c r="B1542" s="3">
        <v>44292</v>
      </c>
      <c r="C1542" s="5">
        <v>53.19</v>
      </c>
      <c r="D1542" s="5">
        <v>53.04</v>
      </c>
      <c r="E1542" s="5">
        <v>53.65</v>
      </c>
      <c r="F1542" s="5">
        <v>52.9</v>
      </c>
      <c r="G1542" s="18" t="s">
        <v>731</v>
      </c>
      <c r="H1542" s="2">
        <v>7.1999999999999998E-3</v>
      </c>
      <c r="I1542" s="16">
        <f t="shared" si="118"/>
        <v>7.1956068926338846E-3</v>
      </c>
      <c r="J1542" s="16">
        <f t="shared" si="119"/>
        <v>1.007195606892634</v>
      </c>
      <c r="K1542" s="16">
        <f t="shared" si="120"/>
        <v>51.705789473684213</v>
      </c>
      <c r="L1542" s="16">
        <f t="shared" si="121"/>
        <v>50.531836734693883</v>
      </c>
      <c r="M1542" s="25" t="str">
        <f t="shared" si="122"/>
        <v>HOLD</v>
      </c>
    </row>
    <row r="1543" spans="2:13">
      <c r="B1543" s="3">
        <v>44293</v>
      </c>
      <c r="C1543" s="5">
        <v>53.28</v>
      </c>
      <c r="D1543" s="5">
        <v>53.28</v>
      </c>
      <c r="E1543" s="5">
        <v>53.5</v>
      </c>
      <c r="F1543" s="5">
        <v>53.12</v>
      </c>
      <c r="G1543" s="18" t="s">
        <v>730</v>
      </c>
      <c r="H1543" s="2">
        <v>1.6999999999999999E-3</v>
      </c>
      <c r="I1543" s="16">
        <f t="shared" si="118"/>
        <v>1.6920473773266293E-3</v>
      </c>
      <c r="J1543" s="16">
        <f t="shared" si="119"/>
        <v>1.0016920473773265</v>
      </c>
      <c r="K1543" s="16">
        <f t="shared" si="120"/>
        <v>51.828421052631576</v>
      </c>
      <c r="L1543" s="16">
        <f t="shared" si="121"/>
        <v>50.621836734693886</v>
      </c>
      <c r="M1543" s="25" t="str">
        <f t="shared" si="122"/>
        <v>HOLD</v>
      </c>
    </row>
    <row r="1544" spans="2:13">
      <c r="B1544" s="3">
        <v>44294</v>
      </c>
      <c r="C1544" s="5">
        <v>53.12</v>
      </c>
      <c r="D1544" s="5">
        <v>53.17</v>
      </c>
      <c r="E1544" s="5">
        <v>53.38</v>
      </c>
      <c r="F1544" s="5">
        <v>52.97</v>
      </c>
      <c r="G1544" s="18" t="s">
        <v>729</v>
      </c>
      <c r="H1544" s="2">
        <v>-3.0000000000000001E-3</v>
      </c>
      <c r="I1544" s="16">
        <f t="shared" si="118"/>
        <v>-3.0030030030030724E-3</v>
      </c>
      <c r="J1544" s="16">
        <f t="shared" si="119"/>
        <v>0.99699699699699695</v>
      </c>
      <c r="K1544" s="16">
        <f t="shared" si="120"/>
        <v>51.925263157894733</v>
      </c>
      <c r="L1544" s="16">
        <f t="shared" si="121"/>
        <v>50.703265306122461</v>
      </c>
      <c r="M1544" s="25" t="str">
        <f t="shared" si="122"/>
        <v>HOLD</v>
      </c>
    </row>
    <row r="1545" spans="2:13">
      <c r="B1545" s="3">
        <v>44295</v>
      </c>
      <c r="C1545" s="5">
        <v>53.18</v>
      </c>
      <c r="D1545" s="5">
        <v>53.17</v>
      </c>
      <c r="E1545" s="5">
        <v>53.28</v>
      </c>
      <c r="F1545" s="5">
        <v>52.81</v>
      </c>
      <c r="G1545" s="18" t="s">
        <v>728</v>
      </c>
      <c r="H1545" s="2">
        <v>1.1000000000000001E-3</v>
      </c>
      <c r="I1545" s="16">
        <f t="shared" ref="I1545:I1608" si="123">(C1545-C1544)/C1544</f>
        <v>1.1295180722891995E-3</v>
      </c>
      <c r="J1545" s="16">
        <f t="shared" ref="J1545:J1608" si="124">C1545/C1544</f>
        <v>1.0011295180722892</v>
      </c>
      <c r="K1545" s="16">
        <f t="shared" si="120"/>
        <v>52.043157894736844</v>
      </c>
      <c r="L1545" s="16">
        <f t="shared" si="121"/>
        <v>50.79693877551022</v>
      </c>
      <c r="M1545" s="25" t="str">
        <f t="shared" si="122"/>
        <v>HOLD</v>
      </c>
    </row>
    <row r="1546" spans="2:13">
      <c r="B1546" s="3">
        <v>44298</v>
      </c>
      <c r="C1546" s="5">
        <v>53.35</v>
      </c>
      <c r="D1546" s="5">
        <v>53.33</v>
      </c>
      <c r="E1546" s="5">
        <v>53.55</v>
      </c>
      <c r="F1546" s="5">
        <v>53.09</v>
      </c>
      <c r="G1546" s="18" t="s">
        <v>727</v>
      </c>
      <c r="H1546" s="2">
        <v>3.2000000000000002E-3</v>
      </c>
      <c r="I1546" s="16">
        <f t="shared" si="123"/>
        <v>3.1966904851448235E-3</v>
      </c>
      <c r="J1546" s="16">
        <f t="shared" si="124"/>
        <v>1.0031966904851448</v>
      </c>
      <c r="K1546" s="16">
        <f t="shared" si="120"/>
        <v>52.191578947368413</v>
      </c>
      <c r="L1546" s="16">
        <f t="shared" si="121"/>
        <v>50.879183673469399</v>
      </c>
      <c r="M1546" s="25" t="str">
        <f t="shared" si="122"/>
        <v>HOLD</v>
      </c>
    </row>
    <row r="1547" spans="2:13">
      <c r="B1547" s="3">
        <v>44299</v>
      </c>
      <c r="C1547" s="5">
        <v>53.09</v>
      </c>
      <c r="D1547" s="5">
        <v>53.04</v>
      </c>
      <c r="E1547" s="5">
        <v>53.28</v>
      </c>
      <c r="F1547" s="5">
        <v>52.81</v>
      </c>
      <c r="G1547" s="18" t="s">
        <v>118</v>
      </c>
      <c r="H1547" s="2">
        <v>-4.8999999999999998E-3</v>
      </c>
      <c r="I1547" s="16">
        <f t="shared" si="123"/>
        <v>-4.8734770384254548E-3</v>
      </c>
      <c r="J1547" s="16">
        <f t="shared" si="124"/>
        <v>0.99512652296157456</v>
      </c>
      <c r="K1547" s="16">
        <f t="shared" si="120"/>
        <v>52.313684210526311</v>
      </c>
      <c r="L1547" s="16">
        <f t="shared" si="121"/>
        <v>50.985306122448975</v>
      </c>
      <c r="M1547" s="25" t="str">
        <f t="shared" si="122"/>
        <v>HOLD</v>
      </c>
    </row>
    <row r="1548" spans="2:13">
      <c r="B1548" s="3">
        <v>44300</v>
      </c>
      <c r="C1548" s="5">
        <v>53.08</v>
      </c>
      <c r="D1548" s="5">
        <v>52.98</v>
      </c>
      <c r="E1548" s="5">
        <v>53.19</v>
      </c>
      <c r="F1548" s="5">
        <v>52.65</v>
      </c>
      <c r="G1548" s="18" t="s">
        <v>726</v>
      </c>
      <c r="H1548" s="2">
        <v>-2.0000000000000001E-4</v>
      </c>
      <c r="I1548" s="16">
        <f t="shared" si="123"/>
        <v>-1.8835938971567366E-4</v>
      </c>
      <c r="J1548" s="16">
        <f t="shared" si="124"/>
        <v>0.99981164061028438</v>
      </c>
      <c r="K1548" s="16">
        <f t="shared" si="120"/>
        <v>52.412105263157905</v>
      </c>
      <c r="L1548" s="16">
        <f t="shared" si="121"/>
        <v>51.07938775510204</v>
      </c>
      <c r="M1548" s="25" t="str">
        <f t="shared" si="122"/>
        <v>HOLD</v>
      </c>
    </row>
    <row r="1549" spans="2:13">
      <c r="B1549" s="3">
        <v>44301</v>
      </c>
      <c r="C1549" s="5">
        <v>53.33</v>
      </c>
      <c r="D1549" s="5">
        <v>53.13</v>
      </c>
      <c r="E1549" s="5">
        <v>53.66</v>
      </c>
      <c r="F1549" s="5">
        <v>53.12</v>
      </c>
      <c r="G1549" s="18" t="s">
        <v>725</v>
      </c>
      <c r="H1549" s="2">
        <v>4.7000000000000002E-3</v>
      </c>
      <c r="I1549" s="16">
        <f t="shared" si="123"/>
        <v>4.709871891484552E-3</v>
      </c>
      <c r="J1549" s="16">
        <f t="shared" si="124"/>
        <v>1.0047098718914846</v>
      </c>
      <c r="K1549" s="16">
        <f t="shared" si="120"/>
        <v>52.508947368421062</v>
      </c>
      <c r="L1549" s="16">
        <f t="shared" si="121"/>
        <v>51.163469387755107</v>
      </c>
      <c r="M1549" s="25" t="str">
        <f t="shared" si="122"/>
        <v>HOLD</v>
      </c>
    </row>
    <row r="1550" spans="2:13">
      <c r="B1550" s="3">
        <v>44302</v>
      </c>
      <c r="C1550" s="5">
        <v>53.68</v>
      </c>
      <c r="D1550" s="5">
        <v>53.74</v>
      </c>
      <c r="E1550" s="5">
        <v>53.8</v>
      </c>
      <c r="F1550" s="5">
        <v>53.38</v>
      </c>
      <c r="G1550" s="18" t="s">
        <v>724</v>
      </c>
      <c r="H1550" s="2">
        <v>6.6E-3</v>
      </c>
      <c r="I1550" s="16">
        <f t="shared" si="123"/>
        <v>6.5629101818863948E-3</v>
      </c>
      <c r="J1550" s="16">
        <f t="shared" si="124"/>
        <v>1.0065629101818865</v>
      </c>
      <c r="K1550" s="16">
        <f t="shared" si="120"/>
        <v>52.654210526315794</v>
      </c>
      <c r="L1550" s="16">
        <f t="shared" si="121"/>
        <v>51.256530612244894</v>
      </c>
      <c r="M1550" s="25" t="str">
        <f t="shared" si="122"/>
        <v>HOLD</v>
      </c>
    </row>
    <row r="1551" spans="2:13">
      <c r="B1551" s="3">
        <v>44305</v>
      </c>
      <c r="C1551" s="5">
        <v>54</v>
      </c>
      <c r="D1551" s="5">
        <v>54</v>
      </c>
      <c r="E1551" s="5">
        <v>54.36</v>
      </c>
      <c r="F1551" s="5">
        <v>53.3</v>
      </c>
      <c r="G1551" s="18" t="s">
        <v>202</v>
      </c>
      <c r="H1551" s="2">
        <v>6.0000000000000001E-3</v>
      </c>
      <c r="I1551" s="16">
        <f t="shared" si="123"/>
        <v>5.9612518628912124E-3</v>
      </c>
      <c r="J1551" s="16">
        <f t="shared" si="124"/>
        <v>1.0059612518628913</v>
      </c>
      <c r="K1551" s="16">
        <f t="shared" si="120"/>
        <v>52.805263157894743</v>
      </c>
      <c r="L1551" s="16">
        <f t="shared" si="121"/>
        <v>51.351836734693862</v>
      </c>
      <c r="M1551" s="25" t="str">
        <f t="shared" si="122"/>
        <v>HOLD</v>
      </c>
    </row>
    <row r="1552" spans="2:13">
      <c r="B1552" s="3">
        <v>44306</v>
      </c>
      <c r="C1552" s="5">
        <v>54.17</v>
      </c>
      <c r="D1552" s="5">
        <v>53.84</v>
      </c>
      <c r="E1552" s="5">
        <v>54.59</v>
      </c>
      <c r="F1552" s="5">
        <v>53.81</v>
      </c>
      <c r="G1552" s="18" t="s">
        <v>436</v>
      </c>
      <c r="H1552" s="2">
        <v>3.0999999999999999E-3</v>
      </c>
      <c r="I1552" s="16">
        <f t="shared" si="123"/>
        <v>3.1481481481481798E-3</v>
      </c>
      <c r="J1552" s="16">
        <f t="shared" si="124"/>
        <v>1.0031481481481481</v>
      </c>
      <c r="K1552" s="16">
        <f t="shared" si="120"/>
        <v>52.963157894736838</v>
      </c>
      <c r="L1552" s="16">
        <f t="shared" si="121"/>
        <v>51.440612244897956</v>
      </c>
      <c r="M1552" s="25" t="str">
        <f t="shared" si="122"/>
        <v>HOLD</v>
      </c>
    </row>
    <row r="1553" spans="2:13">
      <c r="B1553" s="3">
        <v>44307</v>
      </c>
      <c r="C1553" s="5">
        <v>54.61</v>
      </c>
      <c r="D1553" s="5">
        <v>54.24</v>
      </c>
      <c r="E1553" s="5">
        <v>54.74</v>
      </c>
      <c r="F1553" s="5">
        <v>54.24</v>
      </c>
      <c r="G1553" s="18" t="s">
        <v>681</v>
      </c>
      <c r="H1553" s="2">
        <v>8.0999999999999996E-3</v>
      </c>
      <c r="I1553" s="16">
        <f t="shared" si="123"/>
        <v>8.1225770721801305E-3</v>
      </c>
      <c r="J1553" s="16">
        <f t="shared" si="124"/>
        <v>1.0081225770721802</v>
      </c>
      <c r="K1553" s="16">
        <f t="shared" si="120"/>
        <v>53.109473684210521</v>
      </c>
      <c r="L1553" s="16">
        <f t="shared" si="121"/>
        <v>51.527346938775501</v>
      </c>
      <c r="M1553" s="25" t="str">
        <f t="shared" si="122"/>
        <v>HOLD</v>
      </c>
    </row>
    <row r="1554" spans="2:13">
      <c r="B1554" s="3">
        <v>44308</v>
      </c>
      <c r="C1554" s="5">
        <v>54.44</v>
      </c>
      <c r="D1554" s="5">
        <v>54.47</v>
      </c>
      <c r="E1554" s="5">
        <v>54.87</v>
      </c>
      <c r="F1554" s="5">
        <v>54.31</v>
      </c>
      <c r="G1554" s="18" t="s">
        <v>723</v>
      </c>
      <c r="H1554" s="2">
        <v>-3.0999999999999999E-3</v>
      </c>
      <c r="I1554" s="16">
        <f t="shared" si="123"/>
        <v>-3.112982970152018E-3</v>
      </c>
      <c r="J1554" s="16">
        <f t="shared" si="124"/>
        <v>0.99688701702984794</v>
      </c>
      <c r="K1554" s="16">
        <f t="shared" si="120"/>
        <v>53.27210526315789</v>
      </c>
      <c r="L1554" s="16">
        <f t="shared" si="121"/>
        <v>51.627551020408156</v>
      </c>
      <c r="M1554" s="25" t="str">
        <f t="shared" si="122"/>
        <v>HOLD</v>
      </c>
    </row>
    <row r="1555" spans="2:13">
      <c r="B1555" s="3">
        <v>44309</v>
      </c>
      <c r="C1555" s="5">
        <v>54.47</v>
      </c>
      <c r="D1555" s="5">
        <v>54.4</v>
      </c>
      <c r="E1555" s="5">
        <v>54.59</v>
      </c>
      <c r="F1555" s="5">
        <v>54.17</v>
      </c>
      <c r="G1555" s="18" t="s">
        <v>722</v>
      </c>
      <c r="H1555" s="2">
        <v>5.9999999999999995E-4</v>
      </c>
      <c r="I1555" s="16">
        <f t="shared" si="123"/>
        <v>5.5106539309333468E-4</v>
      </c>
      <c r="J1555" s="16">
        <f t="shared" si="124"/>
        <v>1.0005510653930934</v>
      </c>
      <c r="K1555" s="16">
        <f t="shared" si="120"/>
        <v>53.39947368421052</v>
      </c>
      <c r="L1555" s="16">
        <f t="shared" si="121"/>
        <v>51.726326530612241</v>
      </c>
      <c r="M1555" s="25" t="str">
        <f t="shared" si="122"/>
        <v>HOLD</v>
      </c>
    </row>
    <row r="1556" spans="2:13">
      <c r="B1556" s="3">
        <v>44312</v>
      </c>
      <c r="C1556" s="5">
        <v>53.66</v>
      </c>
      <c r="D1556" s="5">
        <v>54.47</v>
      </c>
      <c r="E1556" s="5">
        <v>54.51</v>
      </c>
      <c r="F1556" s="5">
        <v>53.58</v>
      </c>
      <c r="G1556" s="18" t="s">
        <v>297</v>
      </c>
      <c r="H1556" s="2">
        <v>-1.49E-2</v>
      </c>
      <c r="I1556" s="16">
        <f t="shared" si="123"/>
        <v>-1.4870570956489852E-2</v>
      </c>
      <c r="J1556" s="16">
        <f t="shared" si="124"/>
        <v>0.9851294290435102</v>
      </c>
      <c r="K1556" s="16">
        <f t="shared" si="120"/>
        <v>53.474736842105266</v>
      </c>
      <c r="L1556" s="16">
        <f t="shared" si="121"/>
        <v>51.811428571428564</v>
      </c>
      <c r="M1556" s="25" t="str">
        <f t="shared" si="122"/>
        <v>HOLD</v>
      </c>
    </row>
    <row r="1557" spans="2:13">
      <c r="B1557" s="3">
        <v>44313</v>
      </c>
      <c r="C1557" s="5">
        <v>53.58</v>
      </c>
      <c r="D1557" s="5">
        <v>53.56</v>
      </c>
      <c r="E1557" s="5">
        <v>53.7</v>
      </c>
      <c r="F1557" s="5">
        <v>53.32</v>
      </c>
      <c r="G1557" s="18" t="s">
        <v>721</v>
      </c>
      <c r="H1557" s="2">
        <v>-1.5E-3</v>
      </c>
      <c r="I1557" s="16">
        <f t="shared" si="123"/>
        <v>-1.4908684308609448E-3</v>
      </c>
      <c r="J1557" s="16">
        <f t="shared" si="124"/>
        <v>0.99850913156913901</v>
      </c>
      <c r="K1557" s="16">
        <f t="shared" si="120"/>
        <v>53.464736842105268</v>
      </c>
      <c r="L1557" s="16">
        <f t="shared" si="121"/>
        <v>51.872040816326525</v>
      </c>
      <c r="M1557" s="25" t="str">
        <f t="shared" si="122"/>
        <v>HOLD</v>
      </c>
    </row>
    <row r="1558" spans="2:13">
      <c r="B1558" s="3">
        <v>44314</v>
      </c>
      <c r="C1558" s="5">
        <v>53.59</v>
      </c>
      <c r="D1558" s="5">
        <v>53.98</v>
      </c>
      <c r="E1558" s="5">
        <v>54.05</v>
      </c>
      <c r="F1558" s="5">
        <v>53.44</v>
      </c>
      <c r="G1558" s="18" t="s">
        <v>720</v>
      </c>
      <c r="H1558" s="2">
        <v>2.0000000000000001E-4</v>
      </c>
      <c r="I1558" s="16">
        <f t="shared" si="123"/>
        <v>1.8663680477799769E-4</v>
      </c>
      <c r="J1558" s="16">
        <f t="shared" si="124"/>
        <v>1.000186636804778</v>
      </c>
      <c r="K1558" s="16">
        <f t="shared" si="120"/>
        <v>53.487368421052629</v>
      </c>
      <c r="L1558" s="16">
        <f t="shared" si="121"/>
        <v>51.939591836734685</v>
      </c>
      <c r="M1558" s="25" t="str">
        <f t="shared" si="122"/>
        <v>HOLD</v>
      </c>
    </row>
    <row r="1559" spans="2:13">
      <c r="B1559" s="3">
        <v>44315</v>
      </c>
      <c r="C1559" s="5">
        <v>54.26</v>
      </c>
      <c r="D1559" s="5">
        <v>53.54</v>
      </c>
      <c r="E1559" s="5">
        <v>54.36</v>
      </c>
      <c r="F1559" s="5">
        <v>53.43</v>
      </c>
      <c r="G1559" s="18" t="s">
        <v>719</v>
      </c>
      <c r="H1559" s="2">
        <v>1.2500000000000001E-2</v>
      </c>
      <c r="I1559" s="16">
        <f t="shared" si="123"/>
        <v>1.2502332524724661E-2</v>
      </c>
      <c r="J1559" s="16">
        <f t="shared" si="124"/>
        <v>1.0125023325247247</v>
      </c>
      <c r="K1559" s="16">
        <f t="shared" si="120"/>
        <v>53.533684210526317</v>
      </c>
      <c r="L1559" s="16">
        <f t="shared" si="121"/>
        <v>52.010204081632644</v>
      </c>
      <c r="M1559" s="25" t="str">
        <f t="shared" si="122"/>
        <v>HOLD</v>
      </c>
    </row>
    <row r="1560" spans="2:13">
      <c r="B1560" s="3">
        <v>44316</v>
      </c>
      <c r="C1560" s="5">
        <v>53.98</v>
      </c>
      <c r="D1560" s="5">
        <v>54.25</v>
      </c>
      <c r="E1560" s="5">
        <v>54.27</v>
      </c>
      <c r="F1560" s="5">
        <v>53.69</v>
      </c>
      <c r="G1560" s="18" t="s">
        <v>718</v>
      </c>
      <c r="H1560" s="2">
        <v>-5.1999999999999998E-3</v>
      </c>
      <c r="I1560" s="16">
        <f t="shared" si="123"/>
        <v>-5.1603391079985466E-3</v>
      </c>
      <c r="J1560" s="16">
        <f t="shared" si="124"/>
        <v>0.99483966089200149</v>
      </c>
      <c r="K1560" s="16">
        <f t="shared" si="120"/>
        <v>53.625789473684208</v>
      </c>
      <c r="L1560" s="16">
        <f t="shared" si="121"/>
        <v>52.081428571428567</v>
      </c>
      <c r="M1560" s="25" t="str">
        <f t="shared" si="122"/>
        <v>HOLD</v>
      </c>
    </row>
    <row r="1561" spans="2:13">
      <c r="B1561" s="3">
        <v>44319</v>
      </c>
      <c r="C1561" s="5">
        <v>54.48</v>
      </c>
      <c r="D1561" s="5">
        <v>54.27</v>
      </c>
      <c r="E1561" s="5">
        <v>54.8</v>
      </c>
      <c r="F1561" s="5">
        <v>54.16</v>
      </c>
      <c r="G1561" s="18" t="s">
        <v>473</v>
      </c>
      <c r="H1561" s="2">
        <v>9.2999999999999992E-3</v>
      </c>
      <c r="I1561" s="16">
        <f t="shared" si="123"/>
        <v>9.262689885142646E-3</v>
      </c>
      <c r="J1561" s="16">
        <f t="shared" si="124"/>
        <v>1.0092626898851427</v>
      </c>
      <c r="K1561" s="16">
        <f t="shared" si="120"/>
        <v>53.687368421052632</v>
      </c>
      <c r="L1561" s="16">
        <f t="shared" si="121"/>
        <v>52.160408163265309</v>
      </c>
      <c r="M1561" s="25" t="str">
        <f t="shared" si="122"/>
        <v>HOLD</v>
      </c>
    </row>
    <row r="1562" spans="2:13">
      <c r="B1562" s="3">
        <v>44320</v>
      </c>
      <c r="C1562" s="5">
        <v>54.14</v>
      </c>
      <c r="D1562" s="5">
        <v>54.57</v>
      </c>
      <c r="E1562" s="5">
        <v>54.62</v>
      </c>
      <c r="F1562" s="5">
        <v>53.94</v>
      </c>
      <c r="G1562" s="18" t="s">
        <v>717</v>
      </c>
      <c r="H1562" s="2">
        <v>-6.1999999999999998E-3</v>
      </c>
      <c r="I1562" s="16">
        <f t="shared" si="123"/>
        <v>-6.2408223201174066E-3</v>
      </c>
      <c r="J1562" s="16">
        <f t="shared" si="124"/>
        <v>0.99375917767988264</v>
      </c>
      <c r="K1562" s="16">
        <f t="shared" si="120"/>
        <v>53.755263157894738</v>
      </c>
      <c r="L1562" s="16">
        <f t="shared" si="121"/>
        <v>52.238979591836738</v>
      </c>
      <c r="M1562" s="25" t="str">
        <f t="shared" si="122"/>
        <v>HOLD</v>
      </c>
    </row>
    <row r="1563" spans="2:13">
      <c r="B1563" s="3">
        <v>44321</v>
      </c>
      <c r="C1563" s="5">
        <v>54</v>
      </c>
      <c r="D1563" s="5">
        <v>54.14</v>
      </c>
      <c r="E1563" s="5">
        <v>54.24</v>
      </c>
      <c r="F1563" s="5">
        <v>53.71</v>
      </c>
      <c r="G1563" s="18" t="s">
        <v>174</v>
      </c>
      <c r="H1563" s="2">
        <v>-2.5999999999999999E-3</v>
      </c>
      <c r="I1563" s="16">
        <f t="shared" si="123"/>
        <v>-2.5858884373845688E-3</v>
      </c>
      <c r="J1563" s="16">
        <f t="shared" si="124"/>
        <v>0.99741411156261539</v>
      </c>
      <c r="K1563" s="16">
        <f t="shared" ref="K1563:K1626" si="125">AVERAGE(C1544:C1562)</f>
        <v>53.800526315789476</v>
      </c>
      <c r="L1563" s="16">
        <f t="shared" si="121"/>
        <v>52.312448979591835</v>
      </c>
      <c r="M1563" s="25" t="str">
        <f t="shared" si="122"/>
        <v>HOLD</v>
      </c>
    </row>
    <row r="1564" spans="2:13">
      <c r="B1564" s="3">
        <v>44322</v>
      </c>
      <c r="C1564" s="5">
        <v>54.54</v>
      </c>
      <c r="D1564" s="5">
        <v>54.12</v>
      </c>
      <c r="E1564" s="5">
        <v>54.6</v>
      </c>
      <c r="F1564" s="5">
        <v>54.05</v>
      </c>
      <c r="G1564" s="18" t="s">
        <v>716</v>
      </c>
      <c r="H1564" s="2">
        <v>0.01</v>
      </c>
      <c r="I1564" s="16">
        <f t="shared" si="123"/>
        <v>9.9999999999999846E-3</v>
      </c>
      <c r="J1564" s="16">
        <f t="shared" si="124"/>
        <v>1.01</v>
      </c>
      <c r="K1564" s="16">
        <f t="shared" si="125"/>
        <v>53.846842105263164</v>
      </c>
      <c r="L1564" s="16">
        <f t="shared" si="121"/>
        <v>52.379591836734683</v>
      </c>
      <c r="M1564" s="25" t="str">
        <f t="shared" si="122"/>
        <v>HOLD</v>
      </c>
    </row>
    <row r="1565" spans="2:13">
      <c r="B1565" s="3">
        <v>44323</v>
      </c>
      <c r="C1565" s="5">
        <v>54.51</v>
      </c>
      <c r="D1565" s="5">
        <v>54.44</v>
      </c>
      <c r="E1565" s="5">
        <v>54.77</v>
      </c>
      <c r="F1565" s="5">
        <v>54.16</v>
      </c>
      <c r="G1565" s="18" t="s">
        <v>715</v>
      </c>
      <c r="H1565" s="2">
        <v>-5.9999999999999995E-4</v>
      </c>
      <c r="I1565" s="16">
        <f t="shared" si="123"/>
        <v>-5.5005500550057095E-4</v>
      </c>
      <c r="J1565" s="16">
        <f t="shared" si="124"/>
        <v>0.99944994499449946</v>
      </c>
      <c r="K1565" s="16">
        <f t="shared" si="125"/>
        <v>53.918421052631579</v>
      </c>
      <c r="L1565" s="16">
        <f t="shared" si="121"/>
        <v>52.468775510204075</v>
      </c>
      <c r="M1565" s="25" t="str">
        <f t="shared" si="122"/>
        <v>HOLD</v>
      </c>
    </row>
    <row r="1566" spans="2:13">
      <c r="B1566" s="3">
        <v>44326</v>
      </c>
      <c r="C1566" s="5">
        <v>54.91</v>
      </c>
      <c r="D1566" s="5">
        <v>54.88</v>
      </c>
      <c r="E1566" s="5">
        <v>55.49</v>
      </c>
      <c r="F1566" s="5">
        <v>54.83</v>
      </c>
      <c r="G1566" s="18" t="s">
        <v>714</v>
      </c>
      <c r="H1566" s="2">
        <v>7.3000000000000001E-3</v>
      </c>
      <c r="I1566" s="16">
        <f t="shared" si="123"/>
        <v>7.3381031003485345E-3</v>
      </c>
      <c r="J1566" s="16">
        <f t="shared" si="124"/>
        <v>1.0073381031003485</v>
      </c>
      <c r="K1566" s="16">
        <f t="shared" si="125"/>
        <v>53.979473684210532</v>
      </c>
      <c r="L1566" s="16">
        <f t="shared" si="121"/>
        <v>52.581428571428575</v>
      </c>
      <c r="M1566" s="25" t="str">
        <f t="shared" si="122"/>
        <v>HOLD</v>
      </c>
    </row>
    <row r="1567" spans="2:13">
      <c r="B1567" s="3">
        <v>44327</v>
      </c>
      <c r="C1567" s="5">
        <v>54.32</v>
      </c>
      <c r="D1567" s="5">
        <v>55.03</v>
      </c>
      <c r="E1567" s="5">
        <v>55.14</v>
      </c>
      <c r="F1567" s="5">
        <v>54.05</v>
      </c>
      <c r="G1567" s="18" t="s">
        <v>45</v>
      </c>
      <c r="H1567" s="2">
        <v>-1.0699999999999999E-2</v>
      </c>
      <c r="I1567" s="16">
        <f t="shared" si="123"/>
        <v>-1.0744855217628781E-2</v>
      </c>
      <c r="J1567" s="16">
        <f t="shared" si="124"/>
        <v>0.9892551447823712</v>
      </c>
      <c r="K1567" s="16">
        <f t="shared" si="125"/>
        <v>54.075263157894739</v>
      </c>
      <c r="L1567" s="16">
        <f t="shared" si="121"/>
        <v>52.683673469387763</v>
      </c>
      <c r="M1567" s="25" t="str">
        <f t="shared" si="122"/>
        <v>HOLD</v>
      </c>
    </row>
    <row r="1568" spans="2:13">
      <c r="B1568" s="3">
        <v>44328</v>
      </c>
      <c r="C1568" s="5">
        <v>54.04</v>
      </c>
      <c r="D1568" s="5">
        <v>54.36</v>
      </c>
      <c r="E1568" s="5">
        <v>54.55</v>
      </c>
      <c r="F1568" s="5">
        <v>53.88</v>
      </c>
      <c r="G1568" s="18" t="s">
        <v>486</v>
      </c>
      <c r="H1568" s="2">
        <v>-5.1999999999999998E-3</v>
      </c>
      <c r="I1568" s="16">
        <f t="shared" si="123"/>
        <v>-5.1546391752577527E-3</v>
      </c>
      <c r="J1568" s="16">
        <f t="shared" si="124"/>
        <v>0.99484536082474229</v>
      </c>
      <c r="K1568" s="16">
        <f t="shared" si="125"/>
        <v>54.140526315789465</v>
      </c>
      <c r="L1568" s="16">
        <f t="shared" si="121"/>
        <v>52.76979591836735</v>
      </c>
      <c r="M1568" s="25" t="str">
        <f t="shared" si="122"/>
        <v>HOLD</v>
      </c>
    </row>
    <row r="1569" spans="2:13">
      <c r="B1569" s="3">
        <v>44329</v>
      </c>
      <c r="C1569" s="5">
        <v>54.51</v>
      </c>
      <c r="D1569" s="5">
        <v>53.97</v>
      </c>
      <c r="E1569" s="5">
        <v>54.77</v>
      </c>
      <c r="F1569" s="5">
        <v>53.83</v>
      </c>
      <c r="G1569" s="18" t="s">
        <v>366</v>
      </c>
      <c r="H1569" s="2">
        <v>8.6999999999999994E-3</v>
      </c>
      <c r="I1569" s="16">
        <f t="shared" si="123"/>
        <v>8.6972612879348422E-3</v>
      </c>
      <c r="J1569" s="16">
        <f t="shared" si="124"/>
        <v>1.0086972612879348</v>
      </c>
      <c r="K1569" s="16">
        <f t="shared" si="125"/>
        <v>54.177894736842099</v>
      </c>
      <c r="L1569" s="16">
        <f t="shared" si="121"/>
        <v>52.852653061224487</v>
      </c>
      <c r="M1569" s="25" t="str">
        <f t="shared" si="122"/>
        <v>HOLD</v>
      </c>
    </row>
    <row r="1570" spans="2:13">
      <c r="B1570" s="3">
        <v>44330</v>
      </c>
      <c r="C1570" s="5">
        <v>54.73</v>
      </c>
      <c r="D1570" s="5">
        <v>54.9</v>
      </c>
      <c r="E1570" s="5">
        <v>55.1</v>
      </c>
      <c r="F1570" s="5">
        <v>54.69</v>
      </c>
      <c r="G1570" s="18" t="s">
        <v>273</v>
      </c>
      <c r="H1570" s="2">
        <v>4.0000000000000001E-3</v>
      </c>
      <c r="I1570" s="16">
        <f t="shared" si="123"/>
        <v>4.0359567051916874E-3</v>
      </c>
      <c r="J1570" s="16">
        <f t="shared" si="124"/>
        <v>1.0040359567051917</v>
      </c>
      <c r="K1570" s="16">
        <f t="shared" si="125"/>
        <v>54.221578947368421</v>
      </c>
      <c r="L1570" s="16">
        <f t="shared" si="121"/>
        <v>52.945918367346934</v>
      </c>
      <c r="M1570" s="25" t="str">
        <f t="shared" si="122"/>
        <v>HOLD</v>
      </c>
    </row>
    <row r="1571" spans="2:13">
      <c r="B1571" s="3">
        <v>44333</v>
      </c>
      <c r="C1571" s="5">
        <v>54.64</v>
      </c>
      <c r="D1571" s="5">
        <v>54.84</v>
      </c>
      <c r="E1571" s="5">
        <v>55.02</v>
      </c>
      <c r="F1571" s="5">
        <v>54.5</v>
      </c>
      <c r="G1571" s="18" t="s">
        <v>713</v>
      </c>
      <c r="H1571" s="2">
        <v>-1.6000000000000001E-3</v>
      </c>
      <c r="I1571" s="16">
        <f t="shared" si="123"/>
        <v>-1.6444363237711733E-3</v>
      </c>
      <c r="J1571" s="16">
        <f t="shared" si="124"/>
        <v>0.9983555636762288</v>
      </c>
      <c r="K1571" s="16">
        <f t="shared" si="125"/>
        <v>54.259999999999991</v>
      </c>
      <c r="L1571" s="16">
        <f t="shared" si="121"/>
        <v>53.026326530612245</v>
      </c>
      <c r="M1571" s="25" t="str">
        <f t="shared" si="122"/>
        <v>HOLD</v>
      </c>
    </row>
    <row r="1572" spans="2:13">
      <c r="B1572" s="3">
        <v>44334</v>
      </c>
      <c r="C1572" s="5">
        <v>54.34</v>
      </c>
      <c r="D1572" s="5">
        <v>54.39</v>
      </c>
      <c r="E1572" s="5">
        <v>54.56</v>
      </c>
      <c r="F1572" s="5">
        <v>54.1</v>
      </c>
      <c r="G1572" s="18" t="s">
        <v>712</v>
      </c>
      <c r="H1572" s="2">
        <v>-5.4999999999999997E-3</v>
      </c>
      <c r="I1572" s="16">
        <f t="shared" si="123"/>
        <v>-5.4904831625182497E-3</v>
      </c>
      <c r="J1572" s="16">
        <f t="shared" si="124"/>
        <v>0.99450951683748179</v>
      </c>
      <c r="K1572" s="16">
        <f t="shared" si="125"/>
        <v>54.284736842105268</v>
      </c>
      <c r="L1572" s="16">
        <f t="shared" si="121"/>
        <v>53.087551020408164</v>
      </c>
      <c r="M1572" s="25" t="str">
        <f t="shared" si="122"/>
        <v>HOLD</v>
      </c>
    </row>
    <row r="1573" spans="2:13">
      <c r="B1573" s="3">
        <v>44335</v>
      </c>
      <c r="C1573" s="5">
        <v>54.17</v>
      </c>
      <c r="D1573" s="5">
        <v>54.12</v>
      </c>
      <c r="E1573" s="5">
        <v>54.18</v>
      </c>
      <c r="F1573" s="5">
        <v>53.61</v>
      </c>
      <c r="G1573" s="18" t="s">
        <v>711</v>
      </c>
      <c r="H1573" s="2">
        <v>-3.0999999999999999E-3</v>
      </c>
      <c r="I1573" s="16">
        <f t="shared" si="123"/>
        <v>-3.1284504968715808E-3</v>
      </c>
      <c r="J1573" s="16">
        <f t="shared" si="124"/>
        <v>0.9968715495031284</v>
      </c>
      <c r="K1573" s="16">
        <f t="shared" si="125"/>
        <v>54.270526315789468</v>
      </c>
      <c r="L1573" s="16">
        <f t="shared" si="121"/>
        <v>53.158571428571427</v>
      </c>
      <c r="M1573" s="25" t="str">
        <f t="shared" si="122"/>
        <v>HOLD</v>
      </c>
    </row>
    <row r="1574" spans="2:13">
      <c r="B1574" s="3">
        <v>44336</v>
      </c>
      <c r="C1574" s="5">
        <v>54.65</v>
      </c>
      <c r="D1574" s="5">
        <v>54.12</v>
      </c>
      <c r="E1574" s="5">
        <v>54.8</v>
      </c>
      <c r="F1574" s="5">
        <v>54.12</v>
      </c>
      <c r="G1574" s="18" t="s">
        <v>402</v>
      </c>
      <c r="H1574" s="2">
        <v>8.8999999999999999E-3</v>
      </c>
      <c r="I1574" s="16">
        <f t="shared" si="123"/>
        <v>8.8609931696510408E-3</v>
      </c>
      <c r="J1574" s="16">
        <f t="shared" si="124"/>
        <v>1.0088609931696511</v>
      </c>
      <c r="K1574" s="16">
        <f t="shared" si="125"/>
        <v>54.256315789473689</v>
      </c>
      <c r="L1574" s="16">
        <f t="shared" si="121"/>
        <v>53.214285714285722</v>
      </c>
      <c r="M1574" s="25" t="str">
        <f t="shared" si="122"/>
        <v>HOLD</v>
      </c>
    </row>
    <row r="1575" spans="2:13">
      <c r="B1575" s="3">
        <v>44337</v>
      </c>
      <c r="C1575" s="5">
        <v>54.62</v>
      </c>
      <c r="D1575" s="5">
        <v>54.8</v>
      </c>
      <c r="E1575" s="5">
        <v>55.12</v>
      </c>
      <c r="F1575" s="5">
        <v>54.22</v>
      </c>
      <c r="G1575" s="18" t="s">
        <v>14</v>
      </c>
      <c r="H1575" s="2">
        <v>-5.0000000000000001E-4</v>
      </c>
      <c r="I1575" s="16">
        <f t="shared" si="123"/>
        <v>-5.4894784995427519E-4</v>
      </c>
      <c r="J1575" s="16">
        <f t="shared" si="124"/>
        <v>0.9994510521500457</v>
      </c>
      <c r="K1575" s="16">
        <f t="shared" si="125"/>
        <v>54.265789473684208</v>
      </c>
      <c r="L1575" s="16">
        <f t="shared" si="121"/>
        <v>53.29122448979593</v>
      </c>
      <c r="M1575" s="25" t="str">
        <f t="shared" si="122"/>
        <v>HOLD</v>
      </c>
    </row>
    <row r="1576" spans="2:13">
      <c r="B1576" s="3">
        <v>44340</v>
      </c>
      <c r="C1576" s="5">
        <v>54.8</v>
      </c>
      <c r="D1576" s="5">
        <v>54.63</v>
      </c>
      <c r="E1576" s="5">
        <v>54.93</v>
      </c>
      <c r="F1576" s="5">
        <v>54.49</v>
      </c>
      <c r="G1576" s="18" t="s">
        <v>677</v>
      </c>
      <c r="H1576" s="2">
        <v>3.3E-3</v>
      </c>
      <c r="I1576" s="16">
        <f t="shared" si="123"/>
        <v>3.2954961552544805E-3</v>
      </c>
      <c r="J1576" s="16">
        <f t="shared" si="124"/>
        <v>1.0032954961552545</v>
      </c>
      <c r="K1576" s="16">
        <f t="shared" si="125"/>
        <v>54.316315789473684</v>
      </c>
      <c r="L1576" s="16">
        <f t="shared" si="121"/>
        <v>53.378163265306128</v>
      </c>
      <c r="M1576" s="25" t="str">
        <f t="shared" si="122"/>
        <v>HOLD</v>
      </c>
    </row>
    <row r="1577" spans="2:13">
      <c r="B1577" s="3">
        <v>44341</v>
      </c>
      <c r="C1577" s="5">
        <v>54.79</v>
      </c>
      <c r="D1577" s="5">
        <v>54.82</v>
      </c>
      <c r="E1577" s="5">
        <v>54.82</v>
      </c>
      <c r="F1577" s="5">
        <v>54.34</v>
      </c>
      <c r="G1577" s="18" t="s">
        <v>710</v>
      </c>
      <c r="H1577" s="2">
        <v>-2.0000000000000001E-4</v>
      </c>
      <c r="I1577" s="16">
        <f t="shared" si="123"/>
        <v>-1.8248175182478121E-4</v>
      </c>
      <c r="J1577" s="16">
        <f t="shared" si="124"/>
        <v>0.99981751824817522</v>
      </c>
      <c r="K1577" s="16">
        <f t="shared" si="125"/>
        <v>54.380526315789474</v>
      </c>
      <c r="L1577" s="16">
        <f t="shared" si="121"/>
        <v>53.455102040816342</v>
      </c>
      <c r="M1577" s="25" t="str">
        <f t="shared" si="122"/>
        <v>HOLD</v>
      </c>
    </row>
    <row r="1578" spans="2:13">
      <c r="B1578" s="3">
        <v>44342</v>
      </c>
      <c r="C1578" s="5">
        <v>55.03</v>
      </c>
      <c r="D1578" s="5">
        <v>54.98</v>
      </c>
      <c r="E1578" s="5">
        <v>55.05</v>
      </c>
      <c r="F1578" s="5">
        <v>54.59</v>
      </c>
      <c r="G1578" s="18" t="s">
        <v>709</v>
      </c>
      <c r="H1578" s="2">
        <v>4.4000000000000003E-3</v>
      </c>
      <c r="I1578" s="16">
        <f t="shared" si="123"/>
        <v>4.3803613798138706E-3</v>
      </c>
      <c r="J1578" s="16">
        <f t="shared" si="124"/>
        <v>1.0043803613798139</v>
      </c>
      <c r="K1578" s="16">
        <f t="shared" si="125"/>
        <v>54.443684210526321</v>
      </c>
      <c r="L1578" s="16">
        <f t="shared" si="121"/>
        <v>53.527959183673488</v>
      </c>
      <c r="M1578" s="25" t="str">
        <f t="shared" si="122"/>
        <v>HOLD</v>
      </c>
    </row>
    <row r="1579" spans="2:13">
      <c r="B1579" s="3">
        <v>44343</v>
      </c>
      <c r="C1579" s="5">
        <v>55.49</v>
      </c>
      <c r="D1579" s="5">
        <v>55.21</v>
      </c>
      <c r="E1579" s="5">
        <v>55.57</v>
      </c>
      <c r="F1579" s="5">
        <v>54.77</v>
      </c>
      <c r="G1579" s="18" t="s">
        <v>708</v>
      </c>
      <c r="H1579" s="2">
        <v>8.3999999999999995E-3</v>
      </c>
      <c r="I1579" s="16">
        <f t="shared" si="123"/>
        <v>8.359076867163381E-3</v>
      </c>
      <c r="J1579" s="16">
        <f t="shared" si="124"/>
        <v>1.0083590768671633</v>
      </c>
      <c r="K1579" s="16">
        <f t="shared" si="125"/>
        <v>54.484210526315778</v>
      </c>
      <c r="L1579" s="16">
        <f t="shared" si="121"/>
        <v>53.605306122449008</v>
      </c>
      <c r="M1579" s="25" t="str">
        <f t="shared" si="122"/>
        <v>HOLD</v>
      </c>
    </row>
    <row r="1580" spans="2:13">
      <c r="B1580" s="3">
        <v>44344</v>
      </c>
      <c r="C1580" s="5">
        <v>55.29</v>
      </c>
      <c r="D1580" s="5">
        <v>55.35</v>
      </c>
      <c r="E1580" s="5">
        <v>55.71</v>
      </c>
      <c r="F1580" s="5">
        <v>55.2</v>
      </c>
      <c r="G1580" s="18" t="s">
        <v>707</v>
      </c>
      <c r="H1580" s="2">
        <v>-3.5999999999999999E-3</v>
      </c>
      <c r="I1580" s="16">
        <f t="shared" si="123"/>
        <v>-3.604253018561954E-3</v>
      </c>
      <c r="J1580" s="16">
        <f t="shared" si="124"/>
        <v>0.99639574698143807</v>
      </c>
      <c r="K1580" s="16">
        <f t="shared" si="125"/>
        <v>54.563684210526304</v>
      </c>
      <c r="L1580" s="16">
        <f t="shared" si="121"/>
        <v>53.705714285714294</v>
      </c>
      <c r="M1580" s="25" t="str">
        <f t="shared" si="122"/>
        <v>HOLD</v>
      </c>
    </row>
    <row r="1581" spans="2:13">
      <c r="B1581" s="3">
        <v>44348</v>
      </c>
      <c r="C1581" s="5">
        <v>55.28</v>
      </c>
      <c r="D1581" s="5">
        <v>55.34</v>
      </c>
      <c r="E1581" s="5">
        <v>55.65</v>
      </c>
      <c r="F1581" s="5">
        <v>55.09</v>
      </c>
      <c r="G1581" s="18" t="s">
        <v>476</v>
      </c>
      <c r="H1581" s="2">
        <v>-2.0000000000000001E-4</v>
      </c>
      <c r="I1581" s="16">
        <f t="shared" si="123"/>
        <v>-1.8086453246514758E-4</v>
      </c>
      <c r="J1581" s="16">
        <f t="shared" si="124"/>
        <v>0.99981913546753487</v>
      </c>
      <c r="K1581" s="16">
        <f t="shared" si="125"/>
        <v>54.606315789473683</v>
      </c>
      <c r="L1581" s="16">
        <f t="shared" si="121"/>
        <v>53.797142857142866</v>
      </c>
      <c r="M1581" s="25" t="str">
        <f t="shared" si="122"/>
        <v>HOLD</v>
      </c>
    </row>
    <row r="1582" spans="2:13">
      <c r="B1582" s="3">
        <v>44349</v>
      </c>
      <c r="C1582" s="5">
        <v>55.5</v>
      </c>
      <c r="D1582" s="5">
        <v>55.5</v>
      </c>
      <c r="E1582" s="5">
        <v>55.56</v>
      </c>
      <c r="F1582" s="5">
        <v>55.26</v>
      </c>
      <c r="G1582" s="18" t="s">
        <v>28</v>
      </c>
      <c r="H1582" s="2">
        <v>4.0000000000000001E-3</v>
      </c>
      <c r="I1582" s="16">
        <f t="shared" si="123"/>
        <v>3.9797395079594587E-3</v>
      </c>
      <c r="J1582" s="16">
        <f t="shared" si="124"/>
        <v>1.0039797395079595</v>
      </c>
      <c r="K1582" s="16">
        <f t="shared" si="125"/>
        <v>54.666315789473678</v>
      </c>
      <c r="L1582" s="16">
        <f t="shared" si="121"/>
        <v>53.884489795918377</v>
      </c>
      <c r="M1582" s="25" t="str">
        <f t="shared" si="122"/>
        <v>HOLD</v>
      </c>
    </row>
    <row r="1583" spans="2:13">
      <c r="B1583" s="3">
        <v>44350</v>
      </c>
      <c r="C1583" s="5">
        <v>55.64</v>
      </c>
      <c r="D1583" s="5">
        <v>55.18</v>
      </c>
      <c r="E1583" s="5">
        <v>55.74</v>
      </c>
      <c r="F1583" s="5">
        <v>55.1</v>
      </c>
      <c r="G1583" s="18" t="s">
        <v>165</v>
      </c>
      <c r="H1583" s="2">
        <v>2.5000000000000001E-3</v>
      </c>
      <c r="I1583" s="16">
        <f t="shared" si="123"/>
        <v>2.5225225225225328E-3</v>
      </c>
      <c r="J1583" s="16">
        <f t="shared" si="124"/>
        <v>1.0025225225225225</v>
      </c>
      <c r="K1583" s="16">
        <f t="shared" si="125"/>
        <v>54.745263157894726</v>
      </c>
      <c r="L1583" s="16">
        <f t="shared" si="121"/>
        <v>53.968367346938784</v>
      </c>
      <c r="M1583" s="25" t="str">
        <f t="shared" si="122"/>
        <v>HOLD</v>
      </c>
    </row>
    <row r="1584" spans="2:13">
      <c r="B1584" s="3">
        <v>44351</v>
      </c>
      <c r="C1584" s="5">
        <v>56.24</v>
      </c>
      <c r="D1584" s="5">
        <v>55.9</v>
      </c>
      <c r="E1584" s="5">
        <v>56.48</v>
      </c>
      <c r="F1584" s="5">
        <v>55.78</v>
      </c>
      <c r="G1584" s="18" t="s">
        <v>706</v>
      </c>
      <c r="H1584" s="2">
        <v>1.0800000000000001E-2</v>
      </c>
      <c r="I1584" s="16">
        <f t="shared" si="123"/>
        <v>1.0783608914450061E-2</v>
      </c>
      <c r="J1584" s="16">
        <f t="shared" si="124"/>
        <v>1.01078360891445</v>
      </c>
      <c r="K1584" s="16">
        <f t="shared" si="125"/>
        <v>54.803157894736842</v>
      </c>
      <c r="L1584" s="16">
        <f t="shared" si="121"/>
        <v>54.052448979591837</v>
      </c>
      <c r="M1584" s="25" t="str">
        <f t="shared" si="122"/>
        <v>HOLD</v>
      </c>
    </row>
    <row r="1585" spans="2:13">
      <c r="B1585" s="3">
        <v>44354</v>
      </c>
      <c r="C1585" s="5">
        <v>56.04</v>
      </c>
      <c r="D1585" s="5">
        <v>56.31</v>
      </c>
      <c r="E1585" s="5">
        <v>56.34</v>
      </c>
      <c r="F1585" s="5">
        <v>55.81</v>
      </c>
      <c r="G1585" s="18" t="s">
        <v>705</v>
      </c>
      <c r="H1585" s="2">
        <v>-3.5999999999999999E-3</v>
      </c>
      <c r="I1585" s="16">
        <f t="shared" si="123"/>
        <v>-3.5561877667141329E-3</v>
      </c>
      <c r="J1585" s="16">
        <f t="shared" si="124"/>
        <v>0.99644381223328582</v>
      </c>
      <c r="K1585" s="16">
        <f t="shared" si="125"/>
        <v>54.894210526315781</v>
      </c>
      <c r="L1585" s="16">
        <f t="shared" si="121"/>
        <v>54.138571428571424</v>
      </c>
      <c r="M1585" s="25" t="str">
        <f t="shared" si="122"/>
        <v>HOLD</v>
      </c>
    </row>
    <row r="1586" spans="2:13">
      <c r="B1586" s="3">
        <v>44355</v>
      </c>
      <c r="C1586" s="5">
        <v>55.65</v>
      </c>
      <c r="D1586" s="5">
        <v>56.25</v>
      </c>
      <c r="E1586" s="5">
        <v>56.25</v>
      </c>
      <c r="F1586" s="5">
        <v>55.55</v>
      </c>
      <c r="G1586" s="18" t="s">
        <v>469</v>
      </c>
      <c r="H1586" s="2">
        <v>-7.0000000000000001E-3</v>
      </c>
      <c r="I1586" s="16">
        <f t="shared" si="123"/>
        <v>-6.9593147751606096E-3</v>
      </c>
      <c r="J1586" s="16">
        <f t="shared" si="124"/>
        <v>0.99304068522483935</v>
      </c>
      <c r="K1586" s="16">
        <f t="shared" si="125"/>
        <v>54.953684210526312</v>
      </c>
      <c r="L1586" s="16">
        <f t="shared" si="121"/>
        <v>54.199795918367343</v>
      </c>
      <c r="M1586" s="25" t="str">
        <f t="shared" si="122"/>
        <v>HOLD</v>
      </c>
    </row>
    <row r="1587" spans="2:13">
      <c r="B1587" s="3">
        <v>44356</v>
      </c>
      <c r="C1587" s="5">
        <v>55.48</v>
      </c>
      <c r="D1587" s="5">
        <v>55.75</v>
      </c>
      <c r="E1587" s="5">
        <v>55.92</v>
      </c>
      <c r="F1587" s="5">
        <v>55.48</v>
      </c>
      <c r="G1587" s="18" t="s">
        <v>135</v>
      </c>
      <c r="H1587" s="2">
        <v>-3.0999999999999999E-3</v>
      </c>
      <c r="I1587" s="16">
        <f t="shared" si="123"/>
        <v>-3.0548068283917647E-3</v>
      </c>
      <c r="J1587" s="16">
        <f t="shared" si="124"/>
        <v>0.99694519317160823</v>
      </c>
      <c r="K1587" s="16">
        <f t="shared" si="125"/>
        <v>55.023684210526305</v>
      </c>
      <c r="L1587" s="16">
        <f t="shared" si="121"/>
        <v>54.236530612244898</v>
      </c>
      <c r="M1587" s="25" t="str">
        <f t="shared" si="122"/>
        <v>HOLD</v>
      </c>
    </row>
    <row r="1588" spans="2:13">
      <c r="B1588" s="3">
        <v>44357</v>
      </c>
      <c r="C1588" s="5">
        <v>55.91</v>
      </c>
      <c r="D1588" s="5">
        <v>55.91</v>
      </c>
      <c r="E1588" s="5">
        <v>56.12</v>
      </c>
      <c r="F1588" s="5">
        <v>55.76</v>
      </c>
      <c r="G1588" s="18" t="s">
        <v>704</v>
      </c>
      <c r="H1588" s="2">
        <v>7.7999999999999996E-3</v>
      </c>
      <c r="I1588" s="16">
        <f t="shared" si="123"/>
        <v>7.7505407354001394E-3</v>
      </c>
      <c r="J1588" s="16">
        <f t="shared" si="124"/>
        <v>1.0077505407354002</v>
      </c>
      <c r="K1588" s="16">
        <f t="shared" si="125"/>
        <v>55.099473684210523</v>
      </c>
      <c r="L1588" s="16">
        <f t="shared" si="121"/>
        <v>54.284081632653063</v>
      </c>
      <c r="M1588" s="25" t="str">
        <f t="shared" si="122"/>
        <v>HOLD</v>
      </c>
    </row>
    <row r="1589" spans="2:13">
      <c r="B1589" s="3">
        <v>44358</v>
      </c>
      <c r="C1589" s="5">
        <v>56.16</v>
      </c>
      <c r="D1589" s="5">
        <v>55.99</v>
      </c>
      <c r="E1589" s="5">
        <v>56.21</v>
      </c>
      <c r="F1589" s="5">
        <v>55.66</v>
      </c>
      <c r="G1589" s="18" t="s">
        <v>132</v>
      </c>
      <c r="H1589" s="2">
        <v>4.4999999999999997E-3</v>
      </c>
      <c r="I1589" s="16">
        <f t="shared" si="123"/>
        <v>4.4714720085852269E-3</v>
      </c>
      <c r="J1589" s="16">
        <f t="shared" si="124"/>
        <v>1.0044714720085852</v>
      </c>
      <c r="K1589" s="16">
        <f t="shared" si="125"/>
        <v>55.173157894736839</v>
      </c>
      <c r="L1589" s="16">
        <f t="shared" si="121"/>
        <v>54.349387755102036</v>
      </c>
      <c r="M1589" s="25" t="str">
        <f t="shared" si="122"/>
        <v>HOLD</v>
      </c>
    </row>
    <row r="1590" spans="2:13">
      <c r="B1590" s="3">
        <v>44361</v>
      </c>
      <c r="C1590" s="5">
        <v>55.55</v>
      </c>
      <c r="D1590" s="5">
        <v>55.69</v>
      </c>
      <c r="E1590" s="5">
        <v>55.71</v>
      </c>
      <c r="F1590" s="5">
        <v>55.2</v>
      </c>
      <c r="G1590" s="18" t="s">
        <v>703</v>
      </c>
      <c r="H1590" s="2">
        <v>-1.09E-2</v>
      </c>
      <c r="I1590" s="16">
        <f t="shared" si="123"/>
        <v>-1.0861823361823352E-2</v>
      </c>
      <c r="J1590" s="16">
        <f t="shared" si="124"/>
        <v>0.9891381766381766</v>
      </c>
      <c r="K1590" s="16">
        <f t="shared" si="125"/>
        <v>55.248421052631578</v>
      </c>
      <c r="L1590" s="16">
        <f t="shared" si="121"/>
        <v>54.423877551020396</v>
      </c>
      <c r="M1590" s="25" t="str">
        <f t="shared" si="122"/>
        <v>HOLD</v>
      </c>
    </row>
    <row r="1591" spans="2:13">
      <c r="B1591" s="3">
        <v>44362</v>
      </c>
      <c r="C1591" s="5">
        <v>55.41</v>
      </c>
      <c r="D1591" s="5">
        <v>55.78</v>
      </c>
      <c r="E1591" s="5">
        <v>55.79</v>
      </c>
      <c r="F1591" s="5">
        <v>55.19</v>
      </c>
      <c r="G1591" s="18" t="s">
        <v>361</v>
      </c>
      <c r="H1591" s="2">
        <v>-2.5000000000000001E-3</v>
      </c>
      <c r="I1591" s="16">
        <f t="shared" si="123"/>
        <v>-2.5202520252025308E-3</v>
      </c>
      <c r="J1591" s="16">
        <f t="shared" si="124"/>
        <v>0.99747974797479744</v>
      </c>
      <c r="K1591" s="16">
        <f t="shared" si="125"/>
        <v>55.296315789473681</v>
      </c>
      <c r="L1591" s="16">
        <f t="shared" si="121"/>
        <v>54.479795918367344</v>
      </c>
      <c r="M1591" s="25" t="str">
        <f t="shared" si="122"/>
        <v>HOLD</v>
      </c>
    </row>
    <row r="1592" spans="2:13">
      <c r="B1592" s="3">
        <v>44363</v>
      </c>
      <c r="C1592" s="5">
        <v>54.67</v>
      </c>
      <c r="D1592" s="5">
        <v>55.44</v>
      </c>
      <c r="E1592" s="5">
        <v>55.46</v>
      </c>
      <c r="F1592" s="5">
        <v>54.64</v>
      </c>
      <c r="G1592" s="18" t="s">
        <v>541</v>
      </c>
      <c r="H1592" s="2">
        <v>-1.34E-2</v>
      </c>
      <c r="I1592" s="16">
        <f t="shared" si="123"/>
        <v>-1.3354990073993772E-2</v>
      </c>
      <c r="J1592" s="16">
        <f t="shared" si="124"/>
        <v>0.98664500992600623</v>
      </c>
      <c r="K1592" s="16">
        <f t="shared" si="125"/>
        <v>55.352631578947374</v>
      </c>
      <c r="L1592" s="16">
        <f t="shared" si="121"/>
        <v>54.525102040816314</v>
      </c>
      <c r="M1592" s="25" t="str">
        <f t="shared" si="122"/>
        <v>HOLD</v>
      </c>
    </row>
    <row r="1593" spans="2:13">
      <c r="B1593" s="3">
        <v>44364</v>
      </c>
      <c r="C1593" s="5">
        <v>54.95</v>
      </c>
      <c r="D1593" s="5">
        <v>54.67</v>
      </c>
      <c r="E1593" s="5">
        <v>55.15</v>
      </c>
      <c r="F1593" s="5">
        <v>54.65</v>
      </c>
      <c r="G1593" s="18" t="s">
        <v>483</v>
      </c>
      <c r="H1593" s="2">
        <v>5.1000000000000004E-3</v>
      </c>
      <c r="I1593" s="16">
        <f t="shared" si="123"/>
        <v>5.1216389244558465E-3</v>
      </c>
      <c r="J1593" s="16">
        <f t="shared" si="124"/>
        <v>1.0051216389244559</v>
      </c>
      <c r="K1593" s="16">
        <f t="shared" si="125"/>
        <v>55.378947368421045</v>
      </c>
      <c r="L1593" s="16">
        <f t="shared" ref="L1593:L1656" si="126">AVERAGE(C1544:C1592)</f>
        <v>54.553469387755094</v>
      </c>
      <c r="M1593" s="25" t="str">
        <f t="shared" ref="M1593:M1656" si="127">IF(AND(K1593&gt;L1593,K1592&lt;=L1592),"BUY",IF(AND(K1593&lt;L1593,K1592&gt;=L1592),"SELL","HOLD"))</f>
        <v>HOLD</v>
      </c>
    </row>
    <row r="1594" spans="2:13">
      <c r="B1594" s="3">
        <v>44365</v>
      </c>
      <c r="C1594" s="5">
        <v>53.77</v>
      </c>
      <c r="D1594" s="5">
        <v>54.51</v>
      </c>
      <c r="E1594" s="5">
        <v>54.62</v>
      </c>
      <c r="F1594" s="5">
        <v>53.72</v>
      </c>
      <c r="G1594" s="18" t="s">
        <v>702</v>
      </c>
      <c r="H1594" s="2">
        <v>-2.1499999999999998E-2</v>
      </c>
      <c r="I1594" s="16">
        <f t="shared" si="123"/>
        <v>-2.1474067333939938E-2</v>
      </c>
      <c r="J1594" s="16">
        <f t="shared" si="124"/>
        <v>0.97852593266606003</v>
      </c>
      <c r="K1594" s="16">
        <f t="shared" si="125"/>
        <v>55.394736842105253</v>
      </c>
      <c r="L1594" s="16">
        <f t="shared" si="126"/>
        <v>54.5908163265306</v>
      </c>
      <c r="M1594" s="25" t="str">
        <f t="shared" si="127"/>
        <v>HOLD</v>
      </c>
    </row>
    <row r="1595" spans="2:13">
      <c r="B1595" s="3">
        <v>44368</v>
      </c>
      <c r="C1595" s="5">
        <v>54.36</v>
      </c>
      <c r="D1595" s="5">
        <v>54.22</v>
      </c>
      <c r="E1595" s="5">
        <v>54.43</v>
      </c>
      <c r="F1595" s="5">
        <v>54</v>
      </c>
      <c r="G1595" s="18" t="s">
        <v>701</v>
      </c>
      <c r="H1595" s="2">
        <v>1.0999999999999999E-2</v>
      </c>
      <c r="I1595" s="16">
        <f t="shared" si="123"/>
        <v>1.0972661335317022E-2</v>
      </c>
      <c r="J1595" s="16">
        <f t="shared" si="124"/>
        <v>1.0109726613353169</v>
      </c>
      <c r="K1595" s="16">
        <f t="shared" si="125"/>
        <v>55.349999999999994</v>
      </c>
      <c r="L1595" s="16">
        <f t="shared" si="126"/>
        <v>54.602857142857133</v>
      </c>
      <c r="M1595" s="25" t="str">
        <f t="shared" si="127"/>
        <v>HOLD</v>
      </c>
    </row>
    <row r="1596" spans="2:13">
      <c r="B1596" s="3">
        <v>44369</v>
      </c>
      <c r="C1596" s="5">
        <v>54.56</v>
      </c>
      <c r="D1596" s="5">
        <v>54.34</v>
      </c>
      <c r="E1596" s="5">
        <v>54.85</v>
      </c>
      <c r="F1596" s="5">
        <v>54.26</v>
      </c>
      <c r="G1596" s="18" t="s">
        <v>222</v>
      </c>
      <c r="H1596" s="2">
        <v>3.7000000000000002E-3</v>
      </c>
      <c r="I1596" s="16">
        <f t="shared" si="123"/>
        <v>3.6791758646063807E-3</v>
      </c>
      <c r="J1596" s="16">
        <f t="shared" si="124"/>
        <v>1.0036791758646064</v>
      </c>
      <c r="K1596" s="16">
        <f t="shared" si="125"/>
        <v>55.326842105263147</v>
      </c>
      <c r="L1596" s="16">
        <f t="shared" si="126"/>
        <v>54.623469387755094</v>
      </c>
      <c r="M1596" s="25" t="str">
        <f t="shared" si="127"/>
        <v>HOLD</v>
      </c>
    </row>
    <row r="1597" spans="2:13">
      <c r="B1597" s="3">
        <v>44370</v>
      </c>
      <c r="C1597" s="5">
        <v>54.12</v>
      </c>
      <c r="D1597" s="5">
        <v>54.56</v>
      </c>
      <c r="E1597" s="5">
        <v>54.6</v>
      </c>
      <c r="F1597" s="5">
        <v>54.11</v>
      </c>
      <c r="G1597" s="18" t="s">
        <v>119</v>
      </c>
      <c r="H1597" s="2">
        <v>-8.0999999999999996E-3</v>
      </c>
      <c r="I1597" s="16">
        <f t="shared" si="123"/>
        <v>-8.0645161290323463E-3</v>
      </c>
      <c r="J1597" s="16">
        <f t="shared" si="124"/>
        <v>0.99193548387096764</v>
      </c>
      <c r="K1597" s="16">
        <f t="shared" si="125"/>
        <v>55.314736842105255</v>
      </c>
      <c r="L1597" s="16">
        <f t="shared" si="126"/>
        <v>54.653469387755102</v>
      </c>
      <c r="M1597" s="25" t="str">
        <f t="shared" si="127"/>
        <v>HOLD</v>
      </c>
    </row>
    <row r="1598" spans="2:13">
      <c r="B1598" s="3">
        <v>44371</v>
      </c>
      <c r="C1598" s="5">
        <v>54.39</v>
      </c>
      <c r="D1598" s="5">
        <v>54.26</v>
      </c>
      <c r="E1598" s="5">
        <v>54.41</v>
      </c>
      <c r="F1598" s="5">
        <v>54</v>
      </c>
      <c r="G1598" s="18" t="s">
        <v>584</v>
      </c>
      <c r="H1598" s="2">
        <v>5.0000000000000001E-3</v>
      </c>
      <c r="I1598" s="16">
        <f t="shared" si="123"/>
        <v>4.9889135254989492E-3</v>
      </c>
      <c r="J1598" s="16">
        <f t="shared" si="124"/>
        <v>1.004988913525499</v>
      </c>
      <c r="K1598" s="16">
        <f t="shared" si="125"/>
        <v>55.266842105263144</v>
      </c>
      <c r="L1598" s="16">
        <f t="shared" si="126"/>
        <v>54.674693877551007</v>
      </c>
      <c r="M1598" s="25" t="str">
        <f t="shared" si="127"/>
        <v>HOLD</v>
      </c>
    </row>
    <row r="1599" spans="2:13">
      <c r="B1599" s="3">
        <v>44372</v>
      </c>
      <c r="C1599" s="5">
        <v>54.32</v>
      </c>
      <c r="D1599" s="5">
        <v>54.24</v>
      </c>
      <c r="E1599" s="5">
        <v>54.47</v>
      </c>
      <c r="F1599" s="5">
        <v>54.01</v>
      </c>
      <c r="G1599" s="18" t="s">
        <v>700</v>
      </c>
      <c r="H1599" s="2">
        <v>-1.2999999999999999E-3</v>
      </c>
      <c r="I1599" s="16">
        <f t="shared" si="123"/>
        <v>-1.2870012870012922E-3</v>
      </c>
      <c r="J1599" s="16">
        <f t="shared" si="124"/>
        <v>0.99871299871299868</v>
      </c>
      <c r="K1599" s="16">
        <f t="shared" si="125"/>
        <v>55.208947368421043</v>
      </c>
      <c r="L1599" s="16">
        <f t="shared" si="126"/>
        <v>54.696326530612232</v>
      </c>
      <c r="M1599" s="25" t="str">
        <f t="shared" si="127"/>
        <v>HOLD</v>
      </c>
    </row>
    <row r="1600" spans="2:13">
      <c r="B1600" s="3">
        <v>44375</v>
      </c>
      <c r="C1600" s="5">
        <v>54.26</v>
      </c>
      <c r="D1600" s="5">
        <v>54.25</v>
      </c>
      <c r="E1600" s="5">
        <v>54.37</v>
      </c>
      <c r="F1600" s="5">
        <v>54</v>
      </c>
      <c r="G1600" s="18" t="s">
        <v>699</v>
      </c>
      <c r="H1600" s="2">
        <v>-1.1000000000000001E-3</v>
      </c>
      <c r="I1600" s="16">
        <f t="shared" si="123"/>
        <v>-1.1045655375552701E-3</v>
      </c>
      <c r="J1600" s="16">
        <f t="shared" si="124"/>
        <v>0.99889543446244478</v>
      </c>
      <c r="K1600" s="16">
        <f t="shared" si="125"/>
        <v>55.157894736842096</v>
      </c>
      <c r="L1600" s="16">
        <f t="shared" si="126"/>
        <v>54.709387755102036</v>
      </c>
      <c r="M1600" s="25" t="str">
        <f t="shared" si="127"/>
        <v>HOLD</v>
      </c>
    </row>
    <row r="1601" spans="2:13">
      <c r="B1601" s="3">
        <v>44376</v>
      </c>
      <c r="C1601" s="5">
        <v>53.86</v>
      </c>
      <c r="D1601" s="5">
        <v>54.13</v>
      </c>
      <c r="E1601" s="5">
        <v>54.34</v>
      </c>
      <c r="F1601" s="5">
        <v>53.72</v>
      </c>
      <c r="G1601" s="18" t="s">
        <v>415</v>
      </c>
      <c r="H1601" s="2">
        <v>-7.4000000000000003E-3</v>
      </c>
      <c r="I1601" s="16">
        <f t="shared" si="123"/>
        <v>-7.3719130114264396E-3</v>
      </c>
      <c r="J1601" s="16">
        <f t="shared" si="124"/>
        <v>0.99262808698857352</v>
      </c>
      <c r="K1601" s="16">
        <f t="shared" si="125"/>
        <v>55.104210526315804</v>
      </c>
      <c r="L1601" s="16">
        <f t="shared" si="126"/>
        <v>54.714693877551021</v>
      </c>
      <c r="M1601" s="25" t="str">
        <f t="shared" si="127"/>
        <v>HOLD</v>
      </c>
    </row>
    <row r="1602" spans="2:13">
      <c r="B1602" s="3">
        <v>44377</v>
      </c>
      <c r="C1602" s="5">
        <v>54.11</v>
      </c>
      <c r="D1602" s="5">
        <v>53.8</v>
      </c>
      <c r="E1602" s="5">
        <v>54.18</v>
      </c>
      <c r="F1602" s="5">
        <v>53.75</v>
      </c>
      <c r="G1602" s="18" t="s">
        <v>275</v>
      </c>
      <c r="H1602" s="2">
        <v>4.5999999999999999E-3</v>
      </c>
      <c r="I1602" s="16">
        <f t="shared" si="123"/>
        <v>4.6416635722242852E-3</v>
      </c>
      <c r="J1602" s="16">
        <f t="shared" si="124"/>
        <v>1.0046416635722242</v>
      </c>
      <c r="K1602" s="16">
        <f t="shared" si="125"/>
        <v>55.017894736842116</v>
      </c>
      <c r="L1602" s="16">
        <f t="shared" si="126"/>
        <v>54.708367346938786</v>
      </c>
      <c r="M1602" s="25" t="str">
        <f t="shared" si="127"/>
        <v>HOLD</v>
      </c>
    </row>
    <row r="1603" spans="2:13">
      <c r="B1603" s="3">
        <v>44378</v>
      </c>
      <c r="C1603" s="5">
        <v>53.96</v>
      </c>
      <c r="D1603" s="5">
        <v>54.34</v>
      </c>
      <c r="E1603" s="5">
        <v>54.48</v>
      </c>
      <c r="F1603" s="5">
        <v>53.85</v>
      </c>
      <c r="G1603" s="18" t="s">
        <v>169</v>
      </c>
      <c r="H1603" s="2">
        <v>-2.8E-3</v>
      </c>
      <c r="I1603" s="16">
        <f t="shared" si="123"/>
        <v>-2.7721308445758379E-3</v>
      </c>
      <c r="J1603" s="16">
        <f t="shared" si="124"/>
        <v>0.99722786915542416</v>
      </c>
      <c r="K1603" s="16">
        <f t="shared" si="125"/>
        <v>54.937368421052632</v>
      </c>
      <c r="L1603" s="16">
        <f t="shared" si="126"/>
        <v>54.698163265306135</v>
      </c>
      <c r="M1603" s="25" t="str">
        <f t="shared" si="127"/>
        <v>HOLD</v>
      </c>
    </row>
    <row r="1604" spans="2:13">
      <c r="B1604" s="3">
        <v>44379</v>
      </c>
      <c r="C1604" s="5">
        <v>54.18</v>
      </c>
      <c r="D1604" s="5">
        <v>54</v>
      </c>
      <c r="E1604" s="5">
        <v>54.45</v>
      </c>
      <c r="F1604" s="5">
        <v>54</v>
      </c>
      <c r="G1604" s="18" t="s">
        <v>698</v>
      </c>
      <c r="H1604" s="2">
        <v>4.1000000000000003E-3</v>
      </c>
      <c r="I1604" s="16">
        <f t="shared" si="123"/>
        <v>4.0770941438102084E-3</v>
      </c>
      <c r="J1604" s="16">
        <f t="shared" si="124"/>
        <v>1.0040770941438102</v>
      </c>
      <c r="K1604" s="16">
        <f t="shared" si="125"/>
        <v>54.817368421052628</v>
      </c>
      <c r="L1604" s="16">
        <f t="shared" si="126"/>
        <v>54.688367346938783</v>
      </c>
      <c r="M1604" s="25" t="str">
        <f t="shared" si="127"/>
        <v>HOLD</v>
      </c>
    </row>
    <row r="1605" spans="2:13">
      <c r="B1605" s="3">
        <v>44383</v>
      </c>
      <c r="C1605" s="5">
        <v>53.88</v>
      </c>
      <c r="D1605" s="5">
        <v>53.99</v>
      </c>
      <c r="E1605" s="5">
        <v>54.09</v>
      </c>
      <c r="F1605" s="5">
        <v>53.55</v>
      </c>
      <c r="G1605" s="18" t="s">
        <v>697</v>
      </c>
      <c r="H1605" s="2">
        <v>-5.4999999999999997E-3</v>
      </c>
      <c r="I1605" s="16">
        <f t="shared" si="123"/>
        <v>-5.5370985603543218E-3</v>
      </c>
      <c r="J1605" s="16">
        <f t="shared" si="124"/>
        <v>0.99446290143964566</v>
      </c>
      <c r="K1605" s="16">
        <f t="shared" si="125"/>
        <v>54.719473684210527</v>
      </c>
      <c r="L1605" s="16">
        <f t="shared" si="126"/>
        <v>54.682448979591847</v>
      </c>
      <c r="M1605" s="25" t="str">
        <f t="shared" si="127"/>
        <v>HOLD</v>
      </c>
    </row>
    <row r="1606" spans="2:13">
      <c r="B1606" s="3">
        <v>44384</v>
      </c>
      <c r="C1606" s="5">
        <v>54.32</v>
      </c>
      <c r="D1606" s="5">
        <v>53.72</v>
      </c>
      <c r="E1606" s="5">
        <v>54.38</v>
      </c>
      <c r="F1606" s="5">
        <v>53.72</v>
      </c>
      <c r="G1606" s="18" t="s">
        <v>241</v>
      </c>
      <c r="H1606" s="2">
        <v>8.2000000000000007E-3</v>
      </c>
      <c r="I1606" s="16">
        <f t="shared" si="123"/>
        <v>8.1662954714179226E-3</v>
      </c>
      <c r="J1606" s="16">
        <f t="shared" si="124"/>
        <v>1.0081662954714179</v>
      </c>
      <c r="K1606" s="16">
        <f t="shared" si="125"/>
        <v>54.626315789473686</v>
      </c>
      <c r="L1606" s="16">
        <f t="shared" si="126"/>
        <v>54.686938775510221</v>
      </c>
      <c r="M1606" s="25" t="str">
        <f t="shared" si="127"/>
        <v>SELL</v>
      </c>
    </row>
    <row r="1607" spans="2:13">
      <c r="B1607" s="3">
        <v>44385</v>
      </c>
      <c r="C1607" s="5">
        <v>54.13</v>
      </c>
      <c r="D1607" s="5">
        <v>54.01</v>
      </c>
      <c r="E1607" s="5">
        <v>54.16</v>
      </c>
      <c r="F1607" s="5">
        <v>53.73</v>
      </c>
      <c r="G1607" s="18" t="s">
        <v>401</v>
      </c>
      <c r="H1607" s="2">
        <v>-3.5000000000000001E-3</v>
      </c>
      <c r="I1607" s="16">
        <f t="shared" si="123"/>
        <v>-3.4977908689248476E-3</v>
      </c>
      <c r="J1607" s="16">
        <f t="shared" si="124"/>
        <v>0.99650220913107512</v>
      </c>
      <c r="K1607" s="16">
        <f t="shared" si="125"/>
        <v>54.565263157894741</v>
      </c>
      <c r="L1607" s="16">
        <f t="shared" si="126"/>
        <v>54.702040816326551</v>
      </c>
      <c r="M1607" s="25" t="str">
        <f t="shared" si="127"/>
        <v>HOLD</v>
      </c>
    </row>
    <row r="1608" spans="2:13">
      <c r="B1608" s="3">
        <v>44386</v>
      </c>
      <c r="C1608" s="5">
        <v>54.46</v>
      </c>
      <c r="D1608" s="5">
        <v>54.25</v>
      </c>
      <c r="E1608" s="5">
        <v>54.52</v>
      </c>
      <c r="F1608" s="5">
        <v>54.18</v>
      </c>
      <c r="G1608" s="18" t="s">
        <v>192</v>
      </c>
      <c r="H1608" s="2">
        <v>6.1000000000000004E-3</v>
      </c>
      <c r="I1608" s="16">
        <f t="shared" si="123"/>
        <v>6.0964345095141006E-3</v>
      </c>
      <c r="J1608" s="16">
        <f t="shared" si="124"/>
        <v>1.006096434509514</v>
      </c>
      <c r="K1608" s="16">
        <f t="shared" si="125"/>
        <v>54.471578947368435</v>
      </c>
      <c r="L1608" s="16">
        <f t="shared" si="126"/>
        <v>54.713061224489813</v>
      </c>
      <c r="M1608" s="25" t="str">
        <f t="shared" si="127"/>
        <v>HOLD</v>
      </c>
    </row>
    <row r="1609" spans="2:13">
      <c r="B1609" s="3">
        <v>44389</v>
      </c>
      <c r="C1609" s="5">
        <v>54.48</v>
      </c>
      <c r="D1609" s="5">
        <v>54.32</v>
      </c>
      <c r="E1609" s="5">
        <v>54.59</v>
      </c>
      <c r="F1609" s="5">
        <v>54.27</v>
      </c>
      <c r="G1609" s="18" t="s">
        <v>550</v>
      </c>
      <c r="H1609" s="2">
        <v>4.0000000000000002E-4</v>
      </c>
      <c r="I1609" s="16">
        <f t="shared" ref="I1609:I1672" si="128">(C1609-C1608)/C1608</f>
        <v>3.6724201248615533E-4</v>
      </c>
      <c r="J1609" s="16">
        <f t="shared" ref="J1609:J1672" si="129">C1609/C1608</f>
        <v>1.0003672420124861</v>
      </c>
      <c r="K1609" s="16">
        <f t="shared" si="125"/>
        <v>54.382105263157897</v>
      </c>
      <c r="L1609" s="16">
        <f t="shared" si="126"/>
        <v>54.717142857142875</v>
      </c>
      <c r="M1609" s="25" t="str">
        <f t="shared" si="127"/>
        <v>HOLD</v>
      </c>
    </row>
    <row r="1610" spans="2:13">
      <c r="B1610" s="3">
        <v>44390</v>
      </c>
      <c r="C1610" s="5">
        <v>55.02</v>
      </c>
      <c r="D1610" s="5">
        <v>54.95</v>
      </c>
      <c r="E1610" s="5">
        <v>55.3</v>
      </c>
      <c r="F1610" s="5">
        <v>54.75</v>
      </c>
      <c r="G1610" s="18" t="s">
        <v>696</v>
      </c>
      <c r="H1610" s="2">
        <v>9.9000000000000008E-3</v>
      </c>
      <c r="I1610" s="16">
        <f t="shared" si="128"/>
        <v>9.9118942731278685E-3</v>
      </c>
      <c r="J1610" s="16">
        <f t="shared" si="129"/>
        <v>1.0099118942731278</v>
      </c>
      <c r="K1610" s="16">
        <f t="shared" si="125"/>
        <v>54.32578947368421</v>
      </c>
      <c r="L1610" s="16">
        <f t="shared" si="126"/>
        <v>54.727346938775526</v>
      </c>
      <c r="M1610" s="25" t="str">
        <f t="shared" si="127"/>
        <v>HOLD</v>
      </c>
    </row>
    <row r="1611" spans="2:13">
      <c r="B1611" s="3">
        <v>44391</v>
      </c>
      <c r="C1611" s="5">
        <v>56.26</v>
      </c>
      <c r="D1611" s="5">
        <v>55.02</v>
      </c>
      <c r="E1611" s="5">
        <v>56.35</v>
      </c>
      <c r="F1611" s="5">
        <v>54.96</v>
      </c>
      <c r="G1611" s="18" t="s">
        <v>695</v>
      </c>
      <c r="H1611" s="2">
        <v>2.2499999999999999E-2</v>
      </c>
      <c r="I1611" s="16">
        <f t="shared" si="128"/>
        <v>2.2537259178480457E-2</v>
      </c>
      <c r="J1611" s="16">
        <f t="shared" si="129"/>
        <v>1.0225372591784805</v>
      </c>
      <c r="K1611" s="16">
        <f t="shared" si="125"/>
        <v>54.30526315789475</v>
      </c>
      <c r="L1611" s="16">
        <f t="shared" si="126"/>
        <v>54.738367346938801</v>
      </c>
      <c r="M1611" s="25" t="str">
        <f t="shared" si="127"/>
        <v>HOLD</v>
      </c>
    </row>
    <row r="1612" spans="2:13">
      <c r="B1612" s="3">
        <v>44392</v>
      </c>
      <c r="C1612" s="5">
        <v>56.44</v>
      </c>
      <c r="D1612" s="5">
        <v>56.24</v>
      </c>
      <c r="E1612" s="5">
        <v>56.47</v>
      </c>
      <c r="F1612" s="5">
        <v>55.91</v>
      </c>
      <c r="G1612" s="18" t="s">
        <v>694</v>
      </c>
      <c r="H1612" s="2">
        <v>3.2000000000000002E-3</v>
      </c>
      <c r="I1612" s="16">
        <f t="shared" si="128"/>
        <v>3.1994312122289323E-3</v>
      </c>
      <c r="J1612" s="16">
        <f t="shared" si="129"/>
        <v>1.003199431212229</v>
      </c>
      <c r="K1612" s="16">
        <f t="shared" si="125"/>
        <v>54.388947368421057</v>
      </c>
      <c r="L1612" s="16">
        <f t="shared" si="126"/>
        <v>54.781632653061244</v>
      </c>
      <c r="M1612" s="25" t="str">
        <f t="shared" si="127"/>
        <v>HOLD</v>
      </c>
    </row>
    <row r="1613" spans="2:13">
      <c r="B1613" s="3">
        <v>44393</v>
      </c>
      <c r="C1613" s="5">
        <v>56.4</v>
      </c>
      <c r="D1613" s="5">
        <v>56.46</v>
      </c>
      <c r="E1613" s="5">
        <v>56.68</v>
      </c>
      <c r="F1613" s="5">
        <v>56.26</v>
      </c>
      <c r="G1613" s="18" t="s">
        <v>81</v>
      </c>
      <c r="H1613" s="2">
        <v>-6.9999999999999999E-4</v>
      </c>
      <c r="I1613" s="16">
        <f t="shared" si="128"/>
        <v>-7.0871722182847539E-4</v>
      </c>
      <c r="J1613" s="16">
        <f t="shared" si="129"/>
        <v>0.99929128277817147</v>
      </c>
      <c r="K1613" s="16">
        <f t="shared" si="125"/>
        <v>54.46736842105264</v>
      </c>
      <c r="L1613" s="16">
        <f t="shared" si="126"/>
        <v>54.831428571428589</v>
      </c>
      <c r="M1613" s="25" t="str">
        <f t="shared" si="127"/>
        <v>HOLD</v>
      </c>
    </row>
    <row r="1614" spans="2:13">
      <c r="B1614" s="3">
        <v>44396</v>
      </c>
      <c r="C1614" s="5">
        <v>55.73</v>
      </c>
      <c r="D1614" s="5">
        <v>56.08</v>
      </c>
      <c r="E1614" s="5">
        <v>56.35</v>
      </c>
      <c r="F1614" s="5">
        <v>55.16</v>
      </c>
      <c r="G1614" s="18" t="s">
        <v>693</v>
      </c>
      <c r="H1614" s="2">
        <v>-1.1900000000000001E-2</v>
      </c>
      <c r="I1614" s="16">
        <f t="shared" si="128"/>
        <v>-1.1879432624113506E-2</v>
      </c>
      <c r="J1614" s="16">
        <f t="shared" si="129"/>
        <v>0.98812056737588649</v>
      </c>
      <c r="K1614" s="16">
        <f t="shared" si="125"/>
        <v>54.605789473684219</v>
      </c>
      <c r="L1614" s="16">
        <f t="shared" si="126"/>
        <v>54.869387755102061</v>
      </c>
      <c r="M1614" s="25" t="str">
        <f t="shared" si="127"/>
        <v>HOLD</v>
      </c>
    </row>
    <row r="1615" spans="2:13">
      <c r="B1615" s="3">
        <v>44397</v>
      </c>
      <c r="C1615" s="5">
        <v>55.83</v>
      </c>
      <c r="D1615" s="5">
        <v>55.73</v>
      </c>
      <c r="E1615" s="5">
        <v>56.33</v>
      </c>
      <c r="F1615" s="5">
        <v>55.52</v>
      </c>
      <c r="G1615" s="18" t="s">
        <v>692</v>
      </c>
      <c r="H1615" s="2">
        <v>1.8E-3</v>
      </c>
      <c r="I1615" s="16">
        <f t="shared" si="128"/>
        <v>1.7943656917279998E-3</v>
      </c>
      <c r="J1615" s="16">
        <f t="shared" si="129"/>
        <v>1.0017943656917281</v>
      </c>
      <c r="K1615" s="16">
        <f t="shared" si="125"/>
        <v>54.677894736842099</v>
      </c>
      <c r="L1615" s="16">
        <f t="shared" si="126"/>
        <v>54.894285714285715</v>
      </c>
      <c r="M1615" s="25" t="str">
        <f t="shared" si="127"/>
        <v>HOLD</v>
      </c>
    </row>
    <row r="1616" spans="2:13">
      <c r="B1616" s="3">
        <v>44398</v>
      </c>
      <c r="C1616" s="5">
        <v>56.55</v>
      </c>
      <c r="D1616" s="5">
        <v>57.33</v>
      </c>
      <c r="E1616" s="5">
        <v>57.56</v>
      </c>
      <c r="F1616" s="5">
        <v>56.42</v>
      </c>
      <c r="G1616" s="18" t="s">
        <v>691</v>
      </c>
      <c r="H1616" s="2">
        <v>1.29E-2</v>
      </c>
      <c r="I1616" s="16">
        <f t="shared" si="128"/>
        <v>1.2896292315959141E-2</v>
      </c>
      <c r="J1616" s="16">
        <f t="shared" si="129"/>
        <v>1.0128962923159592</v>
      </c>
      <c r="K1616" s="16">
        <f t="shared" si="125"/>
        <v>54.744736842105269</v>
      </c>
      <c r="L1616" s="16">
        <f t="shared" si="126"/>
        <v>54.913061224489809</v>
      </c>
      <c r="M1616" s="25" t="str">
        <f t="shared" si="127"/>
        <v>HOLD</v>
      </c>
    </row>
    <row r="1617" spans="2:13">
      <c r="B1617" s="3">
        <v>44399</v>
      </c>
      <c r="C1617" s="5">
        <v>56.47</v>
      </c>
      <c r="D1617" s="5">
        <v>56.62</v>
      </c>
      <c r="E1617" s="5">
        <v>56.74</v>
      </c>
      <c r="F1617" s="5">
        <v>56.05</v>
      </c>
      <c r="G1617" s="18" t="s">
        <v>13</v>
      </c>
      <c r="H1617" s="2">
        <v>-1.4E-3</v>
      </c>
      <c r="I1617" s="16">
        <f t="shared" si="128"/>
        <v>-1.4146772767462121E-3</v>
      </c>
      <c r="J1617" s="16">
        <f t="shared" si="129"/>
        <v>0.99858532272325384</v>
      </c>
      <c r="K1617" s="16">
        <f t="shared" si="125"/>
        <v>54.872631578947363</v>
      </c>
      <c r="L1617" s="16">
        <f t="shared" si="126"/>
        <v>54.958571428571446</v>
      </c>
      <c r="M1617" s="25" t="str">
        <f t="shared" si="127"/>
        <v>HOLD</v>
      </c>
    </row>
    <row r="1618" spans="2:13">
      <c r="B1618" s="3">
        <v>44400</v>
      </c>
      <c r="C1618" s="5">
        <v>57.01</v>
      </c>
      <c r="D1618" s="5">
        <v>56.59</v>
      </c>
      <c r="E1618" s="5">
        <v>57.33</v>
      </c>
      <c r="F1618" s="5">
        <v>56.45</v>
      </c>
      <c r="G1618" s="18" t="s">
        <v>146</v>
      </c>
      <c r="H1618" s="2">
        <v>9.5999999999999992E-3</v>
      </c>
      <c r="I1618" s="16">
        <f t="shared" si="128"/>
        <v>9.5625996104125935E-3</v>
      </c>
      <c r="J1618" s="16">
        <f t="shared" si="129"/>
        <v>1.0095625996104125</v>
      </c>
      <c r="K1618" s="16">
        <f t="shared" si="125"/>
        <v>54.982105263157898</v>
      </c>
      <c r="L1618" s="16">
        <f t="shared" si="126"/>
        <v>55.008163265306131</v>
      </c>
      <c r="M1618" s="25" t="str">
        <f t="shared" si="127"/>
        <v>HOLD</v>
      </c>
    </row>
    <row r="1619" spans="2:13">
      <c r="B1619" s="3">
        <v>44403</v>
      </c>
      <c r="C1619" s="5">
        <v>57.06</v>
      </c>
      <c r="D1619" s="5">
        <v>56.89</v>
      </c>
      <c r="E1619" s="5">
        <v>57.12</v>
      </c>
      <c r="F1619" s="5">
        <v>56.56</v>
      </c>
      <c r="G1619" s="18" t="s">
        <v>690</v>
      </c>
      <c r="H1619" s="2">
        <v>8.9999999999999998E-4</v>
      </c>
      <c r="I1619" s="16">
        <f t="shared" si="128"/>
        <v>8.7703911594464595E-4</v>
      </c>
      <c r="J1619" s="16">
        <f t="shared" si="129"/>
        <v>1.0008770391159447</v>
      </c>
      <c r="K1619" s="16">
        <f t="shared" si="125"/>
        <v>55.123684210526314</v>
      </c>
      <c r="L1619" s="16">
        <f t="shared" si="126"/>
        <v>55.059183673469398</v>
      </c>
      <c r="M1619" s="25" t="str">
        <f t="shared" si="127"/>
        <v>BUY</v>
      </c>
    </row>
    <row r="1620" spans="2:13">
      <c r="B1620" s="3">
        <v>44404</v>
      </c>
      <c r="C1620" s="5">
        <v>57.26</v>
      </c>
      <c r="D1620" s="5">
        <v>57.11</v>
      </c>
      <c r="E1620" s="5">
        <v>57.54</v>
      </c>
      <c r="F1620" s="5">
        <v>56.92</v>
      </c>
      <c r="G1620" s="18" t="s">
        <v>414</v>
      </c>
      <c r="H1620" s="2">
        <v>3.5000000000000001E-3</v>
      </c>
      <c r="I1620" s="16">
        <f t="shared" si="128"/>
        <v>3.5050823694356067E-3</v>
      </c>
      <c r="J1620" s="16">
        <f t="shared" si="129"/>
        <v>1.0035050823694356</v>
      </c>
      <c r="K1620" s="16">
        <f t="shared" si="125"/>
        <v>55.271052631578939</v>
      </c>
      <c r="L1620" s="16">
        <f t="shared" si="126"/>
        <v>55.106734693877563</v>
      </c>
      <c r="M1620" s="25" t="str">
        <f t="shared" si="127"/>
        <v>HOLD</v>
      </c>
    </row>
    <row r="1621" spans="2:13">
      <c r="B1621" s="3">
        <v>44405</v>
      </c>
      <c r="C1621" s="5">
        <v>56.74</v>
      </c>
      <c r="D1621" s="5">
        <v>56.99</v>
      </c>
      <c r="E1621" s="5">
        <v>57.16</v>
      </c>
      <c r="F1621" s="5">
        <v>56.63</v>
      </c>
      <c r="G1621" s="18" t="s">
        <v>520</v>
      </c>
      <c r="H1621" s="2">
        <v>-9.1000000000000004E-3</v>
      </c>
      <c r="I1621" s="16">
        <f t="shared" si="128"/>
        <v>-9.0813831645126797E-3</v>
      </c>
      <c r="J1621" s="16">
        <f t="shared" si="129"/>
        <v>0.99091861683548732</v>
      </c>
      <c r="K1621" s="16">
        <f t="shared" si="125"/>
        <v>55.449999999999996</v>
      </c>
      <c r="L1621" s="16">
        <f t="shared" si="126"/>
        <v>55.160204081632664</v>
      </c>
      <c r="M1621" s="25" t="str">
        <f t="shared" si="127"/>
        <v>HOLD</v>
      </c>
    </row>
    <row r="1622" spans="2:13">
      <c r="B1622" s="3">
        <v>44406</v>
      </c>
      <c r="C1622" s="5">
        <v>57.05</v>
      </c>
      <c r="D1622" s="5">
        <v>57.07</v>
      </c>
      <c r="E1622" s="5">
        <v>57.25</v>
      </c>
      <c r="F1622" s="5">
        <v>56.86</v>
      </c>
      <c r="G1622" s="18" t="s">
        <v>689</v>
      </c>
      <c r="H1622" s="2">
        <v>5.4999999999999997E-3</v>
      </c>
      <c r="I1622" s="16">
        <f t="shared" si="128"/>
        <v>5.463517800493394E-3</v>
      </c>
      <c r="J1622" s="16">
        <f t="shared" si="129"/>
        <v>1.0054635178004934</v>
      </c>
      <c r="K1622" s="16">
        <f t="shared" si="125"/>
        <v>55.588421052631581</v>
      </c>
      <c r="L1622" s="16">
        <f t="shared" si="126"/>
        <v>55.209183673469397</v>
      </c>
      <c r="M1622" s="25" t="str">
        <f t="shared" si="127"/>
        <v>HOLD</v>
      </c>
    </row>
    <row r="1623" spans="2:13">
      <c r="B1623" s="3">
        <v>44407</v>
      </c>
      <c r="C1623" s="5">
        <v>57.03</v>
      </c>
      <c r="D1623" s="5">
        <v>57.15</v>
      </c>
      <c r="E1623" s="5">
        <v>57.25</v>
      </c>
      <c r="F1623" s="5">
        <v>56.9</v>
      </c>
      <c r="G1623" s="18" t="s">
        <v>273</v>
      </c>
      <c r="H1623" s="2">
        <v>-4.0000000000000002E-4</v>
      </c>
      <c r="I1623" s="16">
        <f t="shared" si="128"/>
        <v>-3.5056967572298024E-4</v>
      </c>
      <c r="J1623" s="16">
        <f t="shared" si="129"/>
        <v>0.999649430324277</v>
      </c>
      <c r="K1623" s="16">
        <f t="shared" si="125"/>
        <v>55.751052631578943</v>
      </c>
      <c r="L1623" s="16">
        <f t="shared" si="126"/>
        <v>55.267959183673469</v>
      </c>
      <c r="M1623" s="25" t="str">
        <f t="shared" si="127"/>
        <v>HOLD</v>
      </c>
    </row>
    <row r="1624" spans="2:13">
      <c r="B1624" s="3">
        <v>44410</v>
      </c>
      <c r="C1624" s="5">
        <v>56.88</v>
      </c>
      <c r="D1624" s="5">
        <v>57.2</v>
      </c>
      <c r="E1624" s="5">
        <v>57.24</v>
      </c>
      <c r="F1624" s="5">
        <v>56.7</v>
      </c>
      <c r="G1624" s="18" t="s">
        <v>688</v>
      </c>
      <c r="H1624" s="2">
        <v>-2.5999999999999999E-3</v>
      </c>
      <c r="I1624" s="16">
        <f t="shared" si="128"/>
        <v>-2.630194634402921E-3</v>
      </c>
      <c r="J1624" s="16">
        <f t="shared" si="129"/>
        <v>0.99736980536559705</v>
      </c>
      <c r="K1624" s="16">
        <f t="shared" si="125"/>
        <v>55.901052631578942</v>
      </c>
      <c r="L1624" s="16">
        <f t="shared" si="126"/>
        <v>55.316530612244904</v>
      </c>
      <c r="M1624" s="25" t="str">
        <f t="shared" si="127"/>
        <v>HOLD</v>
      </c>
    </row>
    <row r="1625" spans="2:13">
      <c r="B1625" s="3">
        <v>44411</v>
      </c>
      <c r="C1625" s="5">
        <v>56.92</v>
      </c>
      <c r="D1625" s="5">
        <v>57</v>
      </c>
      <c r="E1625" s="5">
        <v>57</v>
      </c>
      <c r="F1625" s="5">
        <v>56.74</v>
      </c>
      <c r="G1625" s="18" t="s">
        <v>687</v>
      </c>
      <c r="H1625" s="2">
        <v>6.9999999999999999E-4</v>
      </c>
      <c r="I1625" s="16">
        <f t="shared" si="128"/>
        <v>7.0323488045005527E-4</v>
      </c>
      <c r="J1625" s="16">
        <f t="shared" si="129"/>
        <v>1.0007032348804501</v>
      </c>
      <c r="K1625" s="16">
        <f t="shared" si="125"/>
        <v>56.058947368421045</v>
      </c>
      <c r="L1625" s="16">
        <f t="shared" si="126"/>
        <v>55.362653061224499</v>
      </c>
      <c r="M1625" s="25" t="str">
        <f t="shared" si="127"/>
        <v>HOLD</v>
      </c>
    </row>
    <row r="1626" spans="2:13">
      <c r="B1626" s="3">
        <v>44412</v>
      </c>
      <c r="C1626" s="5">
        <v>56.1</v>
      </c>
      <c r="D1626" s="5">
        <v>56.75</v>
      </c>
      <c r="E1626" s="5">
        <v>56.95</v>
      </c>
      <c r="F1626" s="5">
        <v>56.01</v>
      </c>
      <c r="G1626" s="18" t="s">
        <v>284</v>
      </c>
      <c r="H1626" s="2">
        <v>-1.44E-2</v>
      </c>
      <c r="I1626" s="16">
        <f t="shared" si="128"/>
        <v>-1.4406184118060441E-2</v>
      </c>
      <c r="J1626" s="16">
        <f t="shared" si="129"/>
        <v>0.98559381588193951</v>
      </c>
      <c r="K1626" s="16">
        <f t="shared" si="125"/>
        <v>56.195789473684201</v>
      </c>
      <c r="L1626" s="16">
        <f t="shared" si="126"/>
        <v>55.405918367346942</v>
      </c>
      <c r="M1626" s="25" t="str">
        <f t="shared" si="127"/>
        <v>HOLD</v>
      </c>
    </row>
    <row r="1627" spans="2:13">
      <c r="B1627" s="3">
        <v>44413</v>
      </c>
      <c r="C1627" s="5">
        <v>56.5</v>
      </c>
      <c r="D1627" s="5">
        <v>56.44</v>
      </c>
      <c r="E1627" s="5">
        <v>56.59</v>
      </c>
      <c r="F1627" s="5">
        <v>56.29</v>
      </c>
      <c r="G1627" s="18" t="s">
        <v>197</v>
      </c>
      <c r="H1627" s="2">
        <v>7.1000000000000004E-3</v>
      </c>
      <c r="I1627" s="16">
        <f t="shared" si="128"/>
        <v>7.1301247771835751E-3</v>
      </c>
      <c r="J1627" s="16">
        <f t="shared" si="129"/>
        <v>1.0071301247771836</v>
      </c>
      <c r="K1627" s="16">
        <f t="shared" ref="K1627:K1690" si="130">AVERAGE(C1608:C1626)</f>
        <v>56.299473684210518</v>
      </c>
      <c r="L1627" s="16">
        <f t="shared" si="126"/>
        <v>55.432653061224507</v>
      </c>
      <c r="M1627" s="25" t="str">
        <f t="shared" si="127"/>
        <v>HOLD</v>
      </c>
    </row>
    <row r="1628" spans="2:13">
      <c r="B1628" s="3">
        <v>44414</v>
      </c>
      <c r="C1628" s="5">
        <v>56.64</v>
      </c>
      <c r="D1628" s="5">
        <v>56.6</v>
      </c>
      <c r="E1628" s="5">
        <v>56.74</v>
      </c>
      <c r="F1628" s="5">
        <v>56.44</v>
      </c>
      <c r="G1628" s="18" t="s">
        <v>267</v>
      </c>
      <c r="H1628" s="2">
        <v>2.5000000000000001E-3</v>
      </c>
      <c r="I1628" s="16">
        <f t="shared" si="128"/>
        <v>2.4778761061947001E-3</v>
      </c>
      <c r="J1628" s="16">
        <f t="shared" si="129"/>
        <v>1.0024778761061948</v>
      </c>
      <c r="K1628" s="16">
        <f t="shared" si="130"/>
        <v>56.406842105263159</v>
      </c>
      <c r="L1628" s="16">
        <f t="shared" si="126"/>
        <v>55.462653061224501</v>
      </c>
      <c r="M1628" s="25" t="str">
        <f t="shared" si="127"/>
        <v>HOLD</v>
      </c>
    </row>
    <row r="1629" spans="2:13">
      <c r="B1629" s="3">
        <v>44417</v>
      </c>
      <c r="C1629" s="5">
        <v>56.65</v>
      </c>
      <c r="D1629" s="5">
        <v>56.8</v>
      </c>
      <c r="E1629" s="5">
        <v>56.88</v>
      </c>
      <c r="F1629" s="5">
        <v>56.43</v>
      </c>
      <c r="G1629" s="18" t="s">
        <v>523</v>
      </c>
      <c r="H1629" s="2">
        <v>2.0000000000000001E-4</v>
      </c>
      <c r="I1629" s="16">
        <f t="shared" si="128"/>
        <v>1.7655367231634905E-4</v>
      </c>
      <c r="J1629" s="16">
        <f t="shared" si="129"/>
        <v>1.0001765536723164</v>
      </c>
      <c r="K1629" s="16">
        <f t="shared" si="130"/>
        <v>56.520526315789468</v>
      </c>
      <c r="L1629" s="16">
        <f t="shared" si="126"/>
        <v>55.486122448979593</v>
      </c>
      <c r="M1629" s="25" t="str">
        <f t="shared" si="127"/>
        <v>HOLD</v>
      </c>
    </row>
    <row r="1630" spans="2:13">
      <c r="B1630" s="3">
        <v>44418</v>
      </c>
      <c r="C1630" s="5">
        <v>56.8</v>
      </c>
      <c r="D1630" s="5">
        <v>56.84</v>
      </c>
      <c r="E1630" s="5">
        <v>57.17</v>
      </c>
      <c r="F1630" s="5">
        <v>56.66</v>
      </c>
      <c r="G1630" s="18" t="s">
        <v>686</v>
      </c>
      <c r="H1630" s="2">
        <v>2.5999999999999999E-3</v>
      </c>
      <c r="I1630" s="16">
        <f t="shared" si="128"/>
        <v>2.647837599293885E-3</v>
      </c>
      <c r="J1630" s="16">
        <f t="shared" si="129"/>
        <v>1.002647837599294</v>
      </c>
      <c r="K1630" s="16">
        <f t="shared" si="130"/>
        <v>56.606315789473683</v>
      </c>
      <c r="L1630" s="16">
        <f t="shared" si="126"/>
        <v>55.513877551020414</v>
      </c>
      <c r="M1630" s="25" t="str">
        <f t="shared" si="127"/>
        <v>HOLD</v>
      </c>
    </row>
    <row r="1631" spans="2:13">
      <c r="B1631" s="3">
        <v>44419</v>
      </c>
      <c r="C1631" s="5">
        <v>56.73</v>
      </c>
      <c r="D1631" s="5">
        <v>56.89</v>
      </c>
      <c r="E1631" s="5">
        <v>57.18</v>
      </c>
      <c r="F1631" s="5">
        <v>56.71</v>
      </c>
      <c r="G1631" s="18" t="s">
        <v>194</v>
      </c>
      <c r="H1631" s="2">
        <v>-1.1999999999999999E-3</v>
      </c>
      <c r="I1631" s="16">
        <f t="shared" si="128"/>
        <v>-1.2323943661971882E-3</v>
      </c>
      <c r="J1631" s="16">
        <f t="shared" si="129"/>
        <v>0.99876760563380285</v>
      </c>
      <c r="K1631" s="16">
        <f t="shared" si="130"/>
        <v>56.634736842105248</v>
      </c>
      <c r="L1631" s="16">
        <f t="shared" si="126"/>
        <v>55.5448979591837</v>
      </c>
      <c r="M1631" s="25" t="str">
        <f t="shared" si="127"/>
        <v>HOLD</v>
      </c>
    </row>
    <row r="1632" spans="2:13">
      <c r="B1632" s="3">
        <v>44420</v>
      </c>
      <c r="C1632" s="5">
        <v>56.84</v>
      </c>
      <c r="D1632" s="5">
        <v>56.73</v>
      </c>
      <c r="E1632" s="5">
        <v>56.98</v>
      </c>
      <c r="F1632" s="5">
        <v>56.73</v>
      </c>
      <c r="G1632" s="18" t="s">
        <v>685</v>
      </c>
      <c r="H1632" s="2">
        <v>1.9E-3</v>
      </c>
      <c r="I1632" s="16">
        <f t="shared" si="128"/>
        <v>1.9390093424996747E-3</v>
      </c>
      <c r="J1632" s="16">
        <f t="shared" si="129"/>
        <v>1.0019390093424996</v>
      </c>
      <c r="K1632" s="16">
        <f t="shared" si="130"/>
        <v>56.65</v>
      </c>
      <c r="L1632" s="16">
        <f t="shared" si="126"/>
        <v>55.570000000000014</v>
      </c>
      <c r="M1632" s="25" t="str">
        <f t="shared" si="127"/>
        <v>HOLD</v>
      </c>
    </row>
    <row r="1633" spans="2:13">
      <c r="B1633" s="3">
        <v>44421</v>
      </c>
      <c r="C1633" s="5">
        <v>57.23</v>
      </c>
      <c r="D1633" s="5">
        <v>56.81</v>
      </c>
      <c r="E1633" s="5">
        <v>57.3</v>
      </c>
      <c r="F1633" s="5">
        <v>56.77</v>
      </c>
      <c r="G1633" s="18" t="s">
        <v>684</v>
      </c>
      <c r="H1633" s="2">
        <v>6.8999999999999999E-3</v>
      </c>
      <c r="I1633" s="16">
        <f t="shared" si="128"/>
        <v>6.861365235749357E-3</v>
      </c>
      <c r="J1633" s="16">
        <f t="shared" si="129"/>
        <v>1.0068613652357494</v>
      </c>
      <c r="K1633" s="16">
        <f t="shared" si="130"/>
        <v>56.673157894736839</v>
      </c>
      <c r="L1633" s="16">
        <f t="shared" si="126"/>
        <v>55.594489795918385</v>
      </c>
      <c r="M1633" s="25" t="str">
        <f t="shared" si="127"/>
        <v>HOLD</v>
      </c>
    </row>
    <row r="1634" spans="2:13">
      <c r="B1634" s="3">
        <v>44424</v>
      </c>
      <c r="C1634" s="5">
        <v>57.48</v>
      </c>
      <c r="D1634" s="5">
        <v>57.2</v>
      </c>
      <c r="E1634" s="5">
        <v>57.49</v>
      </c>
      <c r="F1634" s="5">
        <v>57.03</v>
      </c>
      <c r="G1634" s="18" t="s">
        <v>683</v>
      </c>
      <c r="H1634" s="2">
        <v>4.4000000000000003E-3</v>
      </c>
      <c r="I1634" s="16">
        <f t="shared" si="128"/>
        <v>4.3683382841167226E-3</v>
      </c>
      <c r="J1634" s="16">
        <f t="shared" si="129"/>
        <v>1.0043683382841166</v>
      </c>
      <c r="K1634" s="16">
        <f t="shared" si="130"/>
        <v>56.752105263157894</v>
      </c>
      <c r="L1634" s="16">
        <f t="shared" si="126"/>
        <v>55.614693877551034</v>
      </c>
      <c r="M1634" s="25" t="str">
        <f t="shared" si="127"/>
        <v>HOLD</v>
      </c>
    </row>
    <row r="1635" spans="2:13">
      <c r="B1635" s="3">
        <v>44425</v>
      </c>
      <c r="C1635" s="5">
        <v>57.28</v>
      </c>
      <c r="D1635" s="5">
        <v>57.46</v>
      </c>
      <c r="E1635" s="5">
        <v>57.55</v>
      </c>
      <c r="F1635" s="5">
        <v>57.01</v>
      </c>
      <c r="G1635" s="18" t="s">
        <v>682</v>
      </c>
      <c r="H1635" s="2">
        <v>-3.5000000000000001E-3</v>
      </c>
      <c r="I1635" s="16">
        <f t="shared" si="128"/>
        <v>-3.4794711203896267E-3</v>
      </c>
      <c r="J1635" s="16">
        <f t="shared" si="129"/>
        <v>0.9965205288796104</v>
      </c>
      <c r="K1635" s="16">
        <f t="shared" si="130"/>
        <v>56.838947368421053</v>
      </c>
      <c r="L1635" s="16">
        <f t="shared" si="126"/>
        <v>55.644081632653076</v>
      </c>
      <c r="M1635" s="25" t="str">
        <f t="shared" si="127"/>
        <v>HOLD</v>
      </c>
    </row>
    <row r="1636" spans="2:13">
      <c r="B1636" s="3">
        <v>44426</v>
      </c>
      <c r="C1636" s="5">
        <v>56.5</v>
      </c>
      <c r="D1636" s="5">
        <v>57.19</v>
      </c>
      <c r="E1636" s="5">
        <v>57.23</v>
      </c>
      <c r="F1636" s="5">
        <v>56.42</v>
      </c>
      <c r="G1636" s="18" t="s">
        <v>681</v>
      </c>
      <c r="H1636" s="2">
        <v>-1.3599999999999999E-2</v>
      </c>
      <c r="I1636" s="16">
        <f t="shared" si="128"/>
        <v>-1.361731843575421E-2</v>
      </c>
      <c r="J1636" s="16">
        <f t="shared" si="129"/>
        <v>0.9863826815642458</v>
      </c>
      <c r="K1636" s="16">
        <f t="shared" si="130"/>
        <v>56.877368421052637</v>
      </c>
      <c r="L1636" s="16">
        <f t="shared" si="126"/>
        <v>55.677346938775521</v>
      </c>
      <c r="M1636" s="25" t="str">
        <f t="shared" si="127"/>
        <v>HOLD</v>
      </c>
    </row>
    <row r="1637" spans="2:13">
      <c r="B1637" s="3">
        <v>44427</v>
      </c>
      <c r="C1637" s="5">
        <v>56.86</v>
      </c>
      <c r="D1637" s="5">
        <v>56.06</v>
      </c>
      <c r="E1637" s="5">
        <v>56.98</v>
      </c>
      <c r="F1637" s="5">
        <v>55.95</v>
      </c>
      <c r="G1637" s="18" t="s">
        <v>680</v>
      </c>
      <c r="H1637" s="2">
        <v>6.4000000000000003E-3</v>
      </c>
      <c r="I1637" s="16">
        <f t="shared" si="128"/>
        <v>6.3716814159291936E-3</v>
      </c>
      <c r="J1637" s="16">
        <f t="shared" si="129"/>
        <v>1.0063716814159291</v>
      </c>
      <c r="K1637" s="16">
        <f t="shared" si="130"/>
        <v>56.878947368421052</v>
      </c>
      <c r="L1637" s="16">
        <f t="shared" si="126"/>
        <v>55.698163265306135</v>
      </c>
      <c r="M1637" s="25" t="str">
        <f t="shared" si="127"/>
        <v>HOLD</v>
      </c>
    </row>
    <row r="1638" spans="2:13">
      <c r="B1638" s="3">
        <v>44428</v>
      </c>
      <c r="C1638" s="5">
        <v>56.64</v>
      </c>
      <c r="D1638" s="5">
        <v>56.84</v>
      </c>
      <c r="E1638" s="5">
        <v>57.03</v>
      </c>
      <c r="F1638" s="5">
        <v>56.58</v>
      </c>
      <c r="G1638" s="18" t="s">
        <v>679</v>
      </c>
      <c r="H1638" s="2">
        <v>-3.8999999999999998E-3</v>
      </c>
      <c r="I1638" s="16">
        <f t="shared" si="128"/>
        <v>-3.8691523039043065E-3</v>
      </c>
      <c r="J1638" s="16">
        <f t="shared" si="129"/>
        <v>0.99613084769609572</v>
      </c>
      <c r="K1638" s="16">
        <f t="shared" si="130"/>
        <v>56.871052631578948</v>
      </c>
      <c r="L1638" s="16">
        <f t="shared" si="126"/>
        <v>55.71755102040818</v>
      </c>
      <c r="M1638" s="25" t="str">
        <f t="shared" si="127"/>
        <v>HOLD</v>
      </c>
    </row>
    <row r="1639" spans="2:13">
      <c r="B1639" s="3">
        <v>44431</v>
      </c>
      <c r="C1639" s="5">
        <v>56.44</v>
      </c>
      <c r="D1639" s="5">
        <v>56.67</v>
      </c>
      <c r="E1639" s="5">
        <v>56.75</v>
      </c>
      <c r="F1639" s="5">
        <v>56.38</v>
      </c>
      <c r="G1639" s="18" t="s">
        <v>678</v>
      </c>
      <c r="H1639" s="2">
        <v>-3.5000000000000001E-3</v>
      </c>
      <c r="I1639" s="16">
        <f t="shared" si="128"/>
        <v>-3.5310734463277339E-3</v>
      </c>
      <c r="J1639" s="16">
        <f t="shared" si="129"/>
        <v>0.99646892655367225</v>
      </c>
      <c r="K1639" s="16">
        <f t="shared" si="130"/>
        <v>56.848947368421058</v>
      </c>
      <c r="L1639" s="16">
        <f t="shared" si="126"/>
        <v>55.727346938775526</v>
      </c>
      <c r="M1639" s="25" t="str">
        <f t="shared" si="127"/>
        <v>HOLD</v>
      </c>
    </row>
    <row r="1640" spans="2:13">
      <c r="B1640" s="3">
        <v>44432</v>
      </c>
      <c r="C1640" s="5">
        <v>56.01</v>
      </c>
      <c r="D1640" s="5">
        <v>56.64</v>
      </c>
      <c r="E1640" s="5">
        <v>56.64</v>
      </c>
      <c r="F1640" s="5">
        <v>55.9</v>
      </c>
      <c r="G1640" s="18" t="s">
        <v>25</v>
      </c>
      <c r="H1640" s="2">
        <v>-7.6E-3</v>
      </c>
      <c r="I1640" s="16">
        <f t="shared" si="128"/>
        <v>-7.6187101346562678E-3</v>
      </c>
      <c r="J1640" s="16">
        <f t="shared" si="129"/>
        <v>0.99238128986534369</v>
      </c>
      <c r="K1640" s="16">
        <f t="shared" si="130"/>
        <v>56.805789473684207</v>
      </c>
      <c r="L1640" s="16">
        <f t="shared" si="126"/>
        <v>55.745510204081647</v>
      </c>
      <c r="M1640" s="25" t="str">
        <f t="shared" si="127"/>
        <v>HOLD</v>
      </c>
    </row>
    <row r="1641" spans="2:13">
      <c r="B1641" s="3">
        <v>44433</v>
      </c>
      <c r="C1641" s="5">
        <v>56.07</v>
      </c>
      <c r="D1641" s="5">
        <v>56.06</v>
      </c>
      <c r="E1641" s="5">
        <v>56.17</v>
      </c>
      <c r="F1641" s="5">
        <v>55.73</v>
      </c>
      <c r="G1641" s="18" t="s">
        <v>363</v>
      </c>
      <c r="H1641" s="2">
        <v>1.1000000000000001E-3</v>
      </c>
      <c r="I1641" s="16">
        <f t="shared" si="128"/>
        <v>1.0712372790573517E-3</v>
      </c>
      <c r="J1641" s="16">
        <f t="shared" si="129"/>
        <v>1.0010712372790573</v>
      </c>
      <c r="K1641" s="16">
        <f t="shared" si="130"/>
        <v>56.76736842105263</v>
      </c>
      <c r="L1641" s="16">
        <f t="shared" si="126"/>
        <v>55.757755102040839</v>
      </c>
      <c r="M1641" s="25" t="str">
        <f t="shared" si="127"/>
        <v>HOLD</v>
      </c>
    </row>
    <row r="1642" spans="2:13">
      <c r="B1642" s="3">
        <v>44434</v>
      </c>
      <c r="C1642" s="5">
        <v>55.54</v>
      </c>
      <c r="D1642" s="5">
        <v>55.95</v>
      </c>
      <c r="E1642" s="5">
        <v>55.98</v>
      </c>
      <c r="F1642" s="5">
        <v>55.51</v>
      </c>
      <c r="G1642" s="18" t="s">
        <v>677</v>
      </c>
      <c r="H1642" s="2">
        <v>-9.4999999999999998E-3</v>
      </c>
      <c r="I1642" s="16">
        <f t="shared" si="128"/>
        <v>-9.4524701266274509E-3</v>
      </c>
      <c r="J1642" s="16">
        <f t="shared" si="129"/>
        <v>0.99054752987337258</v>
      </c>
      <c r="K1642" s="16">
        <f t="shared" si="130"/>
        <v>56.715789473684204</v>
      </c>
      <c r="L1642" s="16">
        <f t="shared" si="126"/>
        <v>55.786326530612264</v>
      </c>
      <c r="M1642" s="25" t="str">
        <f t="shared" si="127"/>
        <v>HOLD</v>
      </c>
    </row>
    <row r="1643" spans="2:13">
      <c r="B1643" s="3">
        <v>44435</v>
      </c>
      <c r="C1643" s="5">
        <v>55.65</v>
      </c>
      <c r="D1643" s="5">
        <v>55.66</v>
      </c>
      <c r="E1643" s="5">
        <v>55.78</v>
      </c>
      <c r="F1643" s="5">
        <v>55.45</v>
      </c>
      <c r="G1643" s="18" t="s">
        <v>676</v>
      </c>
      <c r="H1643" s="2">
        <v>2E-3</v>
      </c>
      <c r="I1643" s="16">
        <f t="shared" si="128"/>
        <v>1.9805545552754669E-3</v>
      </c>
      <c r="J1643" s="16">
        <f t="shared" si="129"/>
        <v>1.0019805545552756</v>
      </c>
      <c r="K1643" s="16">
        <f t="shared" si="130"/>
        <v>56.637368421052635</v>
      </c>
      <c r="L1643" s="16">
        <f t="shared" si="126"/>
        <v>55.798367346938804</v>
      </c>
      <c r="M1643" s="25" t="str">
        <f t="shared" si="127"/>
        <v>HOLD</v>
      </c>
    </row>
    <row r="1644" spans="2:13">
      <c r="B1644" s="3">
        <v>44438</v>
      </c>
      <c r="C1644" s="5">
        <v>56.18</v>
      </c>
      <c r="D1644" s="5">
        <v>55.69</v>
      </c>
      <c r="E1644" s="5">
        <v>56.2</v>
      </c>
      <c r="F1644" s="5">
        <v>55.64</v>
      </c>
      <c r="G1644" s="18" t="s">
        <v>164</v>
      </c>
      <c r="H1644" s="2">
        <v>9.4999999999999998E-3</v>
      </c>
      <c r="I1644" s="16">
        <f t="shared" si="128"/>
        <v>9.5238095238095438E-3</v>
      </c>
      <c r="J1644" s="16">
        <f t="shared" si="129"/>
        <v>1.0095238095238095</v>
      </c>
      <c r="K1644" s="16">
        <f t="shared" si="130"/>
        <v>56.572631578947373</v>
      </c>
      <c r="L1644" s="16">
        <f t="shared" si="126"/>
        <v>55.836734693877567</v>
      </c>
      <c r="M1644" s="25" t="str">
        <f t="shared" si="127"/>
        <v>HOLD</v>
      </c>
    </row>
    <row r="1645" spans="2:13">
      <c r="B1645" s="3">
        <v>44439</v>
      </c>
      <c r="C1645" s="5">
        <v>56.31</v>
      </c>
      <c r="D1645" s="5">
        <v>56.16</v>
      </c>
      <c r="E1645" s="5">
        <v>56.52</v>
      </c>
      <c r="F1645" s="5">
        <v>56</v>
      </c>
      <c r="G1645" s="18" t="s">
        <v>675</v>
      </c>
      <c r="H1645" s="2">
        <v>2.3E-3</v>
      </c>
      <c r="I1645" s="16">
        <f t="shared" si="128"/>
        <v>2.3139907440370695E-3</v>
      </c>
      <c r="J1645" s="16">
        <f t="shared" si="129"/>
        <v>1.002313990744037</v>
      </c>
      <c r="K1645" s="16">
        <f t="shared" si="130"/>
        <v>56.533684210526324</v>
      </c>
      <c r="L1645" s="16">
        <f t="shared" si="126"/>
        <v>55.873877551020421</v>
      </c>
      <c r="M1645" s="25" t="str">
        <f t="shared" si="127"/>
        <v>HOLD</v>
      </c>
    </row>
    <row r="1646" spans="2:13">
      <c r="B1646" s="3">
        <v>44440</v>
      </c>
      <c r="C1646" s="5">
        <v>56.69</v>
      </c>
      <c r="D1646" s="5">
        <v>56.38</v>
      </c>
      <c r="E1646" s="5">
        <v>56.8</v>
      </c>
      <c r="F1646" s="5">
        <v>56.28</v>
      </c>
      <c r="G1646" s="18" t="s">
        <v>178</v>
      </c>
      <c r="H1646" s="2">
        <v>6.7000000000000002E-3</v>
      </c>
      <c r="I1646" s="16">
        <f t="shared" si="128"/>
        <v>6.7483573077605297E-3</v>
      </c>
      <c r="J1646" s="16">
        <f t="shared" si="129"/>
        <v>1.0067483573077605</v>
      </c>
      <c r="K1646" s="16">
        <f t="shared" si="130"/>
        <v>56.544736842105259</v>
      </c>
      <c r="L1646" s="16">
        <f t="shared" si="126"/>
        <v>55.909591836734705</v>
      </c>
      <c r="M1646" s="25" t="str">
        <f t="shared" si="127"/>
        <v>HOLD</v>
      </c>
    </row>
    <row r="1647" spans="2:13">
      <c r="B1647" s="3">
        <v>44441</v>
      </c>
      <c r="C1647" s="5">
        <v>56.77</v>
      </c>
      <c r="D1647" s="5">
        <v>56.77</v>
      </c>
      <c r="E1647" s="5">
        <v>57.03</v>
      </c>
      <c r="F1647" s="5">
        <v>56.41</v>
      </c>
      <c r="G1647" s="18" t="s">
        <v>465</v>
      </c>
      <c r="H1647" s="2">
        <v>1.4E-3</v>
      </c>
      <c r="I1647" s="16">
        <f t="shared" si="128"/>
        <v>1.4111836302699841E-3</v>
      </c>
      <c r="J1647" s="16">
        <f t="shared" si="129"/>
        <v>1.0014111836302699</v>
      </c>
      <c r="K1647" s="16">
        <f t="shared" si="130"/>
        <v>56.554736842105264</v>
      </c>
      <c r="L1647" s="16">
        <f t="shared" si="126"/>
        <v>55.962040816326535</v>
      </c>
      <c r="M1647" s="25" t="str">
        <f t="shared" si="127"/>
        <v>HOLD</v>
      </c>
    </row>
    <row r="1648" spans="2:13">
      <c r="B1648" s="3">
        <v>44442</v>
      </c>
      <c r="C1648" s="5">
        <v>56.73</v>
      </c>
      <c r="D1648" s="5">
        <v>56.46</v>
      </c>
      <c r="E1648" s="5">
        <v>56.77</v>
      </c>
      <c r="F1648" s="5">
        <v>56.24</v>
      </c>
      <c r="G1648" s="18" t="s">
        <v>262</v>
      </c>
      <c r="H1648" s="2">
        <v>-6.9999999999999999E-4</v>
      </c>
      <c r="I1648" s="16">
        <f t="shared" si="128"/>
        <v>-7.0459749867898976E-4</v>
      </c>
      <c r="J1648" s="16">
        <f t="shared" si="129"/>
        <v>0.99929540250132098</v>
      </c>
      <c r="K1648" s="16">
        <f t="shared" si="130"/>
        <v>56.561578947368425</v>
      </c>
      <c r="L1648" s="16">
        <f t="shared" si="126"/>
        <v>56.01061224489797</v>
      </c>
      <c r="M1648" s="25" t="str">
        <f t="shared" si="127"/>
        <v>HOLD</v>
      </c>
    </row>
    <row r="1649" spans="2:13">
      <c r="B1649" s="3">
        <v>44446</v>
      </c>
      <c r="C1649" s="5">
        <v>55.67</v>
      </c>
      <c r="D1649" s="5">
        <v>56.6</v>
      </c>
      <c r="E1649" s="5">
        <v>56.69</v>
      </c>
      <c r="F1649" s="5">
        <v>55.51</v>
      </c>
      <c r="G1649" s="18" t="s">
        <v>674</v>
      </c>
      <c r="H1649" s="2">
        <v>-1.8700000000000001E-2</v>
      </c>
      <c r="I1649" s="16">
        <f t="shared" si="128"/>
        <v>-1.8684999118632032E-2</v>
      </c>
      <c r="J1649" s="16">
        <f t="shared" si="129"/>
        <v>0.98131500088136792</v>
      </c>
      <c r="K1649" s="16">
        <f t="shared" si="130"/>
        <v>56.565789473684212</v>
      </c>
      <c r="L1649" s="16">
        <f t="shared" si="126"/>
        <v>56.05979591836735</v>
      </c>
      <c r="M1649" s="25" t="str">
        <f t="shared" si="127"/>
        <v>HOLD</v>
      </c>
    </row>
    <row r="1650" spans="2:13">
      <c r="B1650" s="3">
        <v>44447</v>
      </c>
      <c r="C1650" s="5">
        <v>56.42</v>
      </c>
      <c r="D1650" s="5">
        <v>55.61</v>
      </c>
      <c r="E1650" s="5">
        <v>56.48</v>
      </c>
      <c r="F1650" s="5">
        <v>55.61</v>
      </c>
      <c r="G1650" s="18" t="s">
        <v>673</v>
      </c>
      <c r="H1650" s="2">
        <v>1.35E-2</v>
      </c>
      <c r="I1650" s="16">
        <f t="shared" si="128"/>
        <v>1.3472247170828094E-2</v>
      </c>
      <c r="J1650" s="16">
        <f t="shared" si="129"/>
        <v>1.0134722471708282</v>
      </c>
      <c r="K1650" s="16">
        <f t="shared" si="130"/>
        <v>56.506315789473689</v>
      </c>
      <c r="L1650" s="16">
        <f t="shared" si="126"/>
        <v>56.088571428571434</v>
      </c>
      <c r="M1650" s="25" t="str">
        <f t="shared" si="127"/>
        <v>HOLD</v>
      </c>
    </row>
    <row r="1651" spans="2:13">
      <c r="B1651" s="3">
        <v>44448</v>
      </c>
      <c r="C1651" s="5">
        <v>55.86</v>
      </c>
      <c r="D1651" s="5">
        <v>56.18</v>
      </c>
      <c r="E1651" s="5">
        <v>56.42</v>
      </c>
      <c r="F1651" s="5">
        <v>55.8</v>
      </c>
      <c r="G1651" s="18" t="s">
        <v>218</v>
      </c>
      <c r="H1651" s="2">
        <v>-9.9000000000000008E-3</v>
      </c>
      <c r="I1651" s="16">
        <f t="shared" si="128"/>
        <v>-9.9255583126551267E-3</v>
      </c>
      <c r="J1651" s="16">
        <f t="shared" si="129"/>
        <v>0.99007444168734482</v>
      </c>
      <c r="K1651" s="16">
        <f t="shared" si="130"/>
        <v>56.489999999999995</v>
      </c>
      <c r="L1651" s="16">
        <f t="shared" si="126"/>
        <v>56.140816326530626</v>
      </c>
      <c r="M1651" s="25" t="str">
        <f t="shared" si="127"/>
        <v>HOLD</v>
      </c>
    </row>
    <row r="1652" spans="2:13">
      <c r="B1652" s="3">
        <v>44449</v>
      </c>
      <c r="C1652" s="5">
        <v>55.61</v>
      </c>
      <c r="D1652" s="5">
        <v>56.01</v>
      </c>
      <c r="E1652" s="5">
        <v>56.13</v>
      </c>
      <c r="F1652" s="5">
        <v>55.52</v>
      </c>
      <c r="G1652" s="18" t="s">
        <v>672</v>
      </c>
      <c r="H1652" s="2">
        <v>-4.4999999999999997E-3</v>
      </c>
      <c r="I1652" s="16">
        <f t="shared" si="128"/>
        <v>-4.47547440028643E-3</v>
      </c>
      <c r="J1652" s="16">
        <f t="shared" si="129"/>
        <v>0.99552452559971361</v>
      </c>
      <c r="K1652" s="16">
        <f t="shared" si="130"/>
        <v>56.438421052631561</v>
      </c>
      <c r="L1652" s="16">
        <f t="shared" si="126"/>
        <v>56.17653061224491</v>
      </c>
      <c r="M1652" s="25" t="str">
        <f t="shared" si="127"/>
        <v>HOLD</v>
      </c>
    </row>
    <row r="1653" spans="2:13">
      <c r="B1653" s="3">
        <v>44452</v>
      </c>
      <c r="C1653" s="5">
        <v>56.07</v>
      </c>
      <c r="D1653" s="5">
        <v>55.74</v>
      </c>
      <c r="E1653" s="5">
        <v>56.4</v>
      </c>
      <c r="F1653" s="5">
        <v>55.74</v>
      </c>
      <c r="G1653" s="18" t="s">
        <v>671</v>
      </c>
      <c r="H1653" s="2">
        <v>8.3000000000000001E-3</v>
      </c>
      <c r="I1653" s="16">
        <f t="shared" si="128"/>
        <v>8.2718935443265758E-3</v>
      </c>
      <c r="J1653" s="16">
        <f t="shared" si="129"/>
        <v>1.0082718935443267</v>
      </c>
      <c r="K1653" s="16">
        <f t="shared" si="130"/>
        <v>56.353157894736846</v>
      </c>
      <c r="L1653" s="16">
        <f t="shared" si="126"/>
        <v>56.210204081632668</v>
      </c>
      <c r="M1653" s="25" t="str">
        <f t="shared" si="127"/>
        <v>HOLD</v>
      </c>
    </row>
    <row r="1654" spans="2:13">
      <c r="B1654" s="3">
        <v>44453</v>
      </c>
      <c r="C1654" s="5">
        <v>55.69</v>
      </c>
      <c r="D1654" s="5">
        <v>55.92</v>
      </c>
      <c r="E1654" s="5">
        <v>55.98</v>
      </c>
      <c r="F1654" s="5">
        <v>55.55</v>
      </c>
      <c r="G1654" s="18" t="s">
        <v>333</v>
      </c>
      <c r="H1654" s="2">
        <v>-6.7999999999999996E-3</v>
      </c>
      <c r="I1654" s="16">
        <f t="shared" si="128"/>
        <v>-6.7772427322989577E-3</v>
      </c>
      <c r="J1654" s="16">
        <f t="shared" si="129"/>
        <v>0.99322275726770104</v>
      </c>
      <c r="K1654" s="16">
        <f t="shared" si="130"/>
        <v>56.278947368421051</v>
      </c>
      <c r="L1654" s="16">
        <f t="shared" si="126"/>
        <v>56.248775510204091</v>
      </c>
      <c r="M1654" s="25" t="str">
        <f t="shared" si="127"/>
        <v>HOLD</v>
      </c>
    </row>
    <row r="1655" spans="2:13">
      <c r="B1655" s="3">
        <v>44454</v>
      </c>
      <c r="C1655" s="5">
        <v>55.88</v>
      </c>
      <c r="D1655" s="5">
        <v>55.68</v>
      </c>
      <c r="E1655" s="5">
        <v>56</v>
      </c>
      <c r="F1655" s="5">
        <v>55.42</v>
      </c>
      <c r="G1655" s="18" t="s">
        <v>624</v>
      </c>
      <c r="H1655" s="2">
        <v>3.3999999999999998E-3</v>
      </c>
      <c r="I1655" s="16">
        <f t="shared" si="128"/>
        <v>3.411743580535192E-3</v>
      </c>
      <c r="J1655" s="16">
        <f t="shared" si="129"/>
        <v>1.0034117435805352</v>
      </c>
      <c r="K1655" s="16">
        <f t="shared" si="130"/>
        <v>56.195263157894736</v>
      </c>
      <c r="L1655" s="16">
        <f t="shared" si="126"/>
        <v>56.285714285714292</v>
      </c>
      <c r="M1655" s="25" t="str">
        <f t="shared" si="127"/>
        <v>SELL</v>
      </c>
    </row>
    <row r="1656" spans="2:13">
      <c r="B1656" s="3">
        <v>44455</v>
      </c>
      <c r="C1656" s="5">
        <v>55.35</v>
      </c>
      <c r="D1656" s="5">
        <v>55.72</v>
      </c>
      <c r="E1656" s="5">
        <v>55.98</v>
      </c>
      <c r="F1656" s="5">
        <v>54.82</v>
      </c>
      <c r="G1656" s="18" t="s">
        <v>670</v>
      </c>
      <c r="H1656" s="2">
        <v>-9.4999999999999998E-3</v>
      </c>
      <c r="I1656" s="16">
        <f t="shared" si="128"/>
        <v>-9.4846098783106861E-3</v>
      </c>
      <c r="J1656" s="16">
        <f t="shared" si="129"/>
        <v>0.99051539012168932</v>
      </c>
      <c r="K1656" s="16">
        <f t="shared" si="130"/>
        <v>56.162631578947376</v>
      </c>
      <c r="L1656" s="16">
        <f t="shared" si="126"/>
        <v>56.317551020408175</v>
      </c>
      <c r="M1656" s="25" t="str">
        <f t="shared" si="127"/>
        <v>HOLD</v>
      </c>
    </row>
    <row r="1657" spans="2:13">
      <c r="B1657" s="3">
        <v>44456</v>
      </c>
      <c r="C1657" s="5">
        <v>54.44</v>
      </c>
      <c r="D1657" s="5">
        <v>55.02</v>
      </c>
      <c r="E1657" s="5">
        <v>55.19</v>
      </c>
      <c r="F1657" s="5">
        <v>54.37</v>
      </c>
      <c r="G1657" s="18" t="s">
        <v>669</v>
      </c>
      <c r="H1657" s="2">
        <v>-1.6400000000000001E-2</v>
      </c>
      <c r="I1657" s="16">
        <f t="shared" si="128"/>
        <v>-1.6440831074977482E-2</v>
      </c>
      <c r="J1657" s="16">
        <f t="shared" si="129"/>
        <v>0.98355916892502249</v>
      </c>
      <c r="K1657" s="16">
        <f t="shared" si="130"/>
        <v>56.083157894736836</v>
      </c>
      <c r="L1657" s="16">
        <f t="shared" ref="L1657:L1720" si="131">AVERAGE(C1608:C1656)</f>
        <v>56.34244897959185</v>
      </c>
      <c r="M1657" s="25" t="str">
        <f t="shared" ref="M1657:M1720" si="132">IF(AND(K1657&gt;L1657,K1656&lt;=L1656),"BUY",IF(AND(K1657&lt;L1657,K1656&gt;=L1656),"SELL","HOLD"))</f>
        <v>HOLD</v>
      </c>
    </row>
    <row r="1658" spans="2:13">
      <c r="B1658" s="3">
        <v>44459</v>
      </c>
      <c r="C1658" s="5">
        <v>54.06</v>
      </c>
      <c r="D1658" s="5">
        <v>54.11</v>
      </c>
      <c r="E1658" s="5">
        <v>54.4</v>
      </c>
      <c r="F1658" s="5">
        <v>53.73</v>
      </c>
      <c r="G1658" s="18" t="s">
        <v>668</v>
      </c>
      <c r="H1658" s="2">
        <v>-7.0000000000000001E-3</v>
      </c>
      <c r="I1658" s="16">
        <f t="shared" si="128"/>
        <v>-6.9801616458485573E-3</v>
      </c>
      <c r="J1658" s="16">
        <f t="shared" si="129"/>
        <v>0.99301983835415142</v>
      </c>
      <c r="K1658" s="16">
        <f t="shared" si="130"/>
        <v>55.96736842105264</v>
      </c>
      <c r="L1658" s="16">
        <f t="shared" si="131"/>
        <v>56.342040816326552</v>
      </c>
      <c r="M1658" s="25" t="str">
        <f t="shared" si="132"/>
        <v>HOLD</v>
      </c>
    </row>
    <row r="1659" spans="2:13">
      <c r="B1659" s="3">
        <v>44460</v>
      </c>
      <c r="C1659" s="5">
        <v>54.05</v>
      </c>
      <c r="D1659" s="5">
        <v>54.39</v>
      </c>
      <c r="E1659" s="5">
        <v>54.82</v>
      </c>
      <c r="F1659" s="5">
        <v>53.94</v>
      </c>
      <c r="G1659" s="18" t="s">
        <v>667</v>
      </c>
      <c r="H1659" s="2">
        <v>-2.0000000000000001E-4</v>
      </c>
      <c r="I1659" s="16">
        <f t="shared" si="128"/>
        <v>-1.8497965223834842E-4</v>
      </c>
      <c r="J1659" s="16">
        <f t="shared" si="129"/>
        <v>0.99981502034776171</v>
      </c>
      <c r="K1659" s="16">
        <f t="shared" si="130"/>
        <v>55.842105263157897</v>
      </c>
      <c r="L1659" s="16">
        <f t="shared" si="131"/>
        <v>56.333469387755116</v>
      </c>
      <c r="M1659" s="25" t="str">
        <f t="shared" si="132"/>
        <v>HOLD</v>
      </c>
    </row>
    <row r="1660" spans="2:13">
      <c r="B1660" s="3">
        <v>44461</v>
      </c>
      <c r="C1660" s="5">
        <v>54.13</v>
      </c>
      <c r="D1660" s="5">
        <v>54.51</v>
      </c>
      <c r="E1660" s="5">
        <v>54.56</v>
      </c>
      <c r="F1660" s="5">
        <v>54.06</v>
      </c>
      <c r="G1660" s="18" t="s">
        <v>580</v>
      </c>
      <c r="H1660" s="2">
        <v>1.5E-3</v>
      </c>
      <c r="I1660" s="16">
        <f t="shared" si="128"/>
        <v>1.4801110083257243E-3</v>
      </c>
      <c r="J1660" s="16">
        <f t="shared" si="129"/>
        <v>1.0014801110083258</v>
      </c>
      <c r="K1660" s="16">
        <f t="shared" si="130"/>
        <v>55.738947368421051</v>
      </c>
      <c r="L1660" s="16">
        <f t="shared" si="131"/>
        <v>56.313673469387773</v>
      </c>
      <c r="M1660" s="25" t="str">
        <f t="shared" si="132"/>
        <v>HOLD</v>
      </c>
    </row>
    <row r="1661" spans="2:13">
      <c r="B1661" s="3">
        <v>44462</v>
      </c>
      <c r="C1661" s="5">
        <v>54.04</v>
      </c>
      <c r="D1661" s="5">
        <v>54.26</v>
      </c>
      <c r="E1661" s="5">
        <v>54.62</v>
      </c>
      <c r="F1661" s="5">
        <v>54</v>
      </c>
      <c r="G1661" s="18" t="s">
        <v>649</v>
      </c>
      <c r="H1661" s="2">
        <v>-1.6999999999999999E-3</v>
      </c>
      <c r="I1661" s="16">
        <f t="shared" si="128"/>
        <v>-1.6626639571402809E-3</v>
      </c>
      <c r="J1661" s="16">
        <f t="shared" si="129"/>
        <v>0.99833733604285968</v>
      </c>
      <c r="K1661" s="16">
        <f t="shared" si="130"/>
        <v>55.636842105263163</v>
      </c>
      <c r="L1661" s="16">
        <f t="shared" si="131"/>
        <v>56.27020408163267</v>
      </c>
      <c r="M1661" s="25" t="str">
        <f t="shared" si="132"/>
        <v>HOLD</v>
      </c>
    </row>
    <row r="1662" spans="2:13">
      <c r="B1662" s="3">
        <v>44463</v>
      </c>
      <c r="C1662" s="5">
        <v>53.89</v>
      </c>
      <c r="D1662" s="5">
        <v>54</v>
      </c>
      <c r="E1662" s="5">
        <v>54.24</v>
      </c>
      <c r="F1662" s="5">
        <v>53.86</v>
      </c>
      <c r="G1662" s="18" t="s">
        <v>666</v>
      </c>
      <c r="H1662" s="2">
        <v>-2.8E-3</v>
      </c>
      <c r="I1662" s="16">
        <f t="shared" si="128"/>
        <v>-2.7757216876387598E-3</v>
      </c>
      <c r="J1662" s="16">
        <f t="shared" si="129"/>
        <v>0.99722427831236127</v>
      </c>
      <c r="K1662" s="16">
        <f t="shared" si="130"/>
        <v>55.557894736842115</v>
      </c>
      <c r="L1662" s="16">
        <f t="shared" si="131"/>
        <v>56.221224489795929</v>
      </c>
      <c r="M1662" s="25" t="str">
        <f t="shared" si="132"/>
        <v>HOLD</v>
      </c>
    </row>
    <row r="1663" spans="2:13">
      <c r="B1663" s="3">
        <v>44466</v>
      </c>
      <c r="C1663" s="5">
        <v>53.61</v>
      </c>
      <c r="D1663" s="5">
        <v>53.85</v>
      </c>
      <c r="E1663" s="5">
        <v>54.24</v>
      </c>
      <c r="F1663" s="5">
        <v>53.57</v>
      </c>
      <c r="G1663" s="18" t="s">
        <v>209</v>
      </c>
      <c r="H1663" s="2">
        <v>-5.1999999999999998E-3</v>
      </c>
      <c r="I1663" s="16">
        <f t="shared" si="128"/>
        <v>-5.1957691593987965E-3</v>
      </c>
      <c r="J1663" s="16">
        <f t="shared" si="129"/>
        <v>0.99480423084060121</v>
      </c>
      <c r="K1663" s="16">
        <f t="shared" si="130"/>
        <v>55.465263157894732</v>
      </c>
      <c r="L1663" s="16">
        <f t="shared" si="131"/>
        <v>56.170000000000016</v>
      </c>
      <c r="M1663" s="25" t="str">
        <f t="shared" si="132"/>
        <v>HOLD</v>
      </c>
    </row>
    <row r="1664" spans="2:13">
      <c r="B1664" s="3">
        <v>44467</v>
      </c>
      <c r="C1664" s="5">
        <v>52.64</v>
      </c>
      <c r="D1664" s="5">
        <v>53.46</v>
      </c>
      <c r="E1664" s="5">
        <v>53.46</v>
      </c>
      <c r="F1664" s="5">
        <v>52.43</v>
      </c>
      <c r="G1664" s="18" t="s">
        <v>665</v>
      </c>
      <c r="H1664" s="2">
        <v>-1.8100000000000002E-2</v>
      </c>
      <c r="I1664" s="16">
        <f t="shared" si="128"/>
        <v>-1.8093639246409231E-2</v>
      </c>
      <c r="J1664" s="16">
        <f t="shared" si="129"/>
        <v>0.98190636075359072</v>
      </c>
      <c r="K1664" s="16">
        <f t="shared" si="130"/>
        <v>55.329999999999984</v>
      </c>
      <c r="L1664" s="16">
        <f t="shared" si="131"/>
        <v>56.126734693877573</v>
      </c>
      <c r="M1664" s="25" t="str">
        <f t="shared" si="132"/>
        <v>HOLD</v>
      </c>
    </row>
    <row r="1665" spans="2:13">
      <c r="B1665" s="3">
        <v>44468</v>
      </c>
      <c r="C1665" s="5">
        <v>52.96</v>
      </c>
      <c r="D1665" s="5">
        <v>52.64</v>
      </c>
      <c r="E1665" s="5">
        <v>53.16</v>
      </c>
      <c r="F1665" s="5">
        <v>52.56</v>
      </c>
      <c r="G1665" s="18" t="s">
        <v>664</v>
      </c>
      <c r="H1665" s="2">
        <v>6.1000000000000004E-3</v>
      </c>
      <c r="I1665" s="16">
        <f t="shared" si="128"/>
        <v>6.0790273556231055E-3</v>
      </c>
      <c r="J1665" s="16">
        <f t="shared" si="129"/>
        <v>1.006079027355623</v>
      </c>
      <c r="K1665" s="16">
        <f t="shared" si="130"/>
        <v>55.136842105263156</v>
      </c>
      <c r="L1665" s="16">
        <f t="shared" si="131"/>
        <v>56.061632653061231</v>
      </c>
      <c r="M1665" s="25" t="str">
        <f t="shared" si="132"/>
        <v>HOLD</v>
      </c>
    </row>
    <row r="1666" spans="2:13">
      <c r="B1666" s="3">
        <v>44469</v>
      </c>
      <c r="C1666" s="5">
        <v>52.47</v>
      </c>
      <c r="D1666" s="5">
        <v>53.17</v>
      </c>
      <c r="E1666" s="5">
        <v>53.33</v>
      </c>
      <c r="F1666" s="5">
        <v>52.43</v>
      </c>
      <c r="G1666" s="18" t="s">
        <v>663</v>
      </c>
      <c r="H1666" s="2">
        <v>-9.2999999999999992E-3</v>
      </c>
      <c r="I1666" s="16">
        <f t="shared" si="128"/>
        <v>-9.2522658610272278E-3</v>
      </c>
      <c r="J1666" s="16">
        <f t="shared" si="129"/>
        <v>0.99074773413897277</v>
      </c>
      <c r="K1666" s="16">
        <f t="shared" si="130"/>
        <v>54.940526315789469</v>
      </c>
      <c r="L1666" s="16">
        <f t="shared" si="131"/>
        <v>55.98836734693878</v>
      </c>
      <c r="M1666" s="25" t="str">
        <f t="shared" si="132"/>
        <v>HOLD</v>
      </c>
    </row>
    <row r="1667" spans="2:13">
      <c r="B1667" s="3">
        <v>44470</v>
      </c>
      <c r="C1667" s="5">
        <v>53.02</v>
      </c>
      <c r="D1667" s="5">
        <v>52.78</v>
      </c>
      <c r="E1667" s="5">
        <v>53.2</v>
      </c>
      <c r="F1667" s="5">
        <v>52.57</v>
      </c>
      <c r="G1667" s="18" t="s">
        <v>424</v>
      </c>
      <c r="H1667" s="2">
        <v>1.0500000000000001E-2</v>
      </c>
      <c r="I1667" s="16">
        <f t="shared" si="128"/>
        <v>1.048218029350113E-2</v>
      </c>
      <c r="J1667" s="16">
        <f t="shared" si="129"/>
        <v>1.0104821802935011</v>
      </c>
      <c r="K1667" s="16">
        <f t="shared" si="130"/>
        <v>54.714210526315789</v>
      </c>
      <c r="L1667" s="16">
        <f t="shared" si="131"/>
        <v>55.906734693877546</v>
      </c>
      <c r="M1667" s="25" t="str">
        <f t="shared" si="132"/>
        <v>HOLD</v>
      </c>
    </row>
    <row r="1668" spans="2:13">
      <c r="B1668" s="3">
        <v>44473</v>
      </c>
      <c r="C1668" s="5">
        <v>52.99</v>
      </c>
      <c r="D1668" s="5">
        <v>53.06</v>
      </c>
      <c r="E1668" s="5">
        <v>53.52</v>
      </c>
      <c r="F1668" s="5">
        <v>52.4</v>
      </c>
      <c r="G1668" s="18" t="s">
        <v>478</v>
      </c>
      <c r="H1668" s="2">
        <v>-5.9999999999999995E-4</v>
      </c>
      <c r="I1668" s="16">
        <f t="shared" si="128"/>
        <v>-5.6582421727652081E-4</v>
      </c>
      <c r="J1668" s="16">
        <f t="shared" si="129"/>
        <v>0.99943417578272353</v>
      </c>
      <c r="K1668" s="16">
        <f t="shared" si="130"/>
        <v>54.518947368421045</v>
      </c>
      <c r="L1668" s="16">
        <f t="shared" si="131"/>
        <v>55.825306122448978</v>
      </c>
      <c r="M1668" s="25" t="str">
        <f t="shared" si="132"/>
        <v>HOLD</v>
      </c>
    </row>
    <row r="1669" spans="2:13">
      <c r="B1669" s="3">
        <v>44474</v>
      </c>
      <c r="C1669" s="5">
        <v>53.08</v>
      </c>
      <c r="D1669" s="5">
        <v>53.02</v>
      </c>
      <c r="E1669" s="5">
        <v>53.47</v>
      </c>
      <c r="F1669" s="5">
        <v>52.93</v>
      </c>
      <c r="G1669" s="18" t="s">
        <v>662</v>
      </c>
      <c r="H1669" s="2">
        <v>1.6999999999999999E-3</v>
      </c>
      <c r="I1669" s="16">
        <f t="shared" si="128"/>
        <v>1.6984336667295017E-3</v>
      </c>
      <c r="J1669" s="16">
        <f t="shared" si="129"/>
        <v>1.0016984336667294</v>
      </c>
      <c r="K1669" s="16">
        <f t="shared" si="130"/>
        <v>54.377894736842094</v>
      </c>
      <c r="L1669" s="16">
        <f t="shared" si="131"/>
        <v>55.742244897959182</v>
      </c>
      <c r="M1669" s="25" t="str">
        <f t="shared" si="132"/>
        <v>HOLD</v>
      </c>
    </row>
    <row r="1670" spans="2:13">
      <c r="B1670" s="3">
        <v>44475</v>
      </c>
      <c r="C1670" s="5">
        <v>53.71</v>
      </c>
      <c r="D1670" s="5">
        <v>52.77</v>
      </c>
      <c r="E1670" s="5">
        <v>53.77</v>
      </c>
      <c r="F1670" s="5">
        <v>52.51</v>
      </c>
      <c r="G1670" s="18" t="s">
        <v>661</v>
      </c>
      <c r="H1670" s="2">
        <v>1.1900000000000001E-2</v>
      </c>
      <c r="I1670" s="16">
        <f t="shared" si="128"/>
        <v>1.1868877166541119E-2</v>
      </c>
      <c r="J1670" s="16">
        <f t="shared" si="129"/>
        <v>1.0118688771665412</v>
      </c>
      <c r="K1670" s="16">
        <f t="shared" si="130"/>
        <v>54.202105263157904</v>
      </c>
      <c r="L1670" s="16">
        <f t="shared" si="131"/>
        <v>55.656938775510199</v>
      </c>
      <c r="M1670" s="25" t="str">
        <f t="shared" si="132"/>
        <v>HOLD</v>
      </c>
    </row>
    <row r="1671" spans="2:13">
      <c r="B1671" s="3">
        <v>44476</v>
      </c>
      <c r="C1671" s="5">
        <v>53.88</v>
      </c>
      <c r="D1671" s="5">
        <v>53.99</v>
      </c>
      <c r="E1671" s="5">
        <v>54.28</v>
      </c>
      <c r="F1671" s="5">
        <v>53.81</v>
      </c>
      <c r="G1671" s="18" t="s">
        <v>321</v>
      </c>
      <c r="H1671" s="2">
        <v>3.2000000000000002E-3</v>
      </c>
      <c r="I1671" s="16">
        <f t="shared" si="128"/>
        <v>3.1651461552783785E-3</v>
      </c>
      <c r="J1671" s="16">
        <f t="shared" si="129"/>
        <v>1.0031651461552784</v>
      </c>
      <c r="K1671" s="16">
        <f t="shared" si="130"/>
        <v>54.088947368421053</v>
      </c>
      <c r="L1671" s="16">
        <f t="shared" si="131"/>
        <v>55.595102040816322</v>
      </c>
      <c r="M1671" s="25" t="str">
        <f t="shared" si="132"/>
        <v>HOLD</v>
      </c>
    </row>
    <row r="1672" spans="2:13">
      <c r="B1672" s="3">
        <v>44477</v>
      </c>
      <c r="C1672" s="5">
        <v>54.12</v>
      </c>
      <c r="D1672" s="5">
        <v>54</v>
      </c>
      <c r="E1672" s="5">
        <v>54.39</v>
      </c>
      <c r="F1672" s="5">
        <v>53.9</v>
      </c>
      <c r="G1672" s="18" t="s">
        <v>660</v>
      </c>
      <c r="H1672" s="2">
        <v>4.4999999999999997E-3</v>
      </c>
      <c r="I1672" s="16">
        <f t="shared" si="128"/>
        <v>4.4543429844097048E-3</v>
      </c>
      <c r="J1672" s="16">
        <f t="shared" si="129"/>
        <v>1.0044543429844097</v>
      </c>
      <c r="K1672" s="16">
        <f t="shared" si="130"/>
        <v>53.99789473684212</v>
      </c>
      <c r="L1672" s="16">
        <f t="shared" si="131"/>
        <v>55.530408163265299</v>
      </c>
      <c r="M1672" s="25" t="str">
        <f t="shared" si="132"/>
        <v>HOLD</v>
      </c>
    </row>
    <row r="1673" spans="2:13">
      <c r="B1673" s="3">
        <v>44480</v>
      </c>
      <c r="C1673" s="5">
        <v>54.23</v>
      </c>
      <c r="D1673" s="5">
        <v>54.21</v>
      </c>
      <c r="E1673" s="5">
        <v>54.39</v>
      </c>
      <c r="F1673" s="5">
        <v>54.01</v>
      </c>
      <c r="G1673" s="18" t="s">
        <v>231</v>
      </c>
      <c r="H1673" s="2">
        <v>2E-3</v>
      </c>
      <c r="I1673" s="16">
        <f t="shared" ref="I1673:I1736" si="133">(C1673-C1672)/C1672</f>
        <v>2.0325203252032418E-3</v>
      </c>
      <c r="J1673" s="16">
        <f t="shared" ref="J1673:J1736" si="134">C1673/C1672</f>
        <v>1.0020325203252032</v>
      </c>
      <c r="K1673" s="16">
        <f t="shared" si="130"/>
        <v>53.895263157894739</v>
      </c>
      <c r="L1673" s="16">
        <f t="shared" si="131"/>
        <v>55.471020408163255</v>
      </c>
      <c r="M1673" s="25" t="str">
        <f t="shared" si="132"/>
        <v>HOLD</v>
      </c>
    </row>
    <row r="1674" spans="2:13">
      <c r="B1674" s="3">
        <v>44481</v>
      </c>
      <c r="C1674" s="5">
        <v>54.23</v>
      </c>
      <c r="D1674" s="5">
        <v>54.42</v>
      </c>
      <c r="E1674" s="5">
        <v>54.83</v>
      </c>
      <c r="F1674" s="5">
        <v>54.22</v>
      </c>
      <c r="G1674" s="18" t="s">
        <v>659</v>
      </c>
      <c r="H1674" s="2">
        <v>0</v>
      </c>
      <c r="I1674" s="16">
        <f t="shared" si="133"/>
        <v>0</v>
      </c>
      <c r="J1674" s="16">
        <f t="shared" si="134"/>
        <v>1</v>
      </c>
      <c r="K1674" s="16">
        <f t="shared" si="130"/>
        <v>53.818421052631585</v>
      </c>
      <c r="L1674" s="16">
        <f t="shared" si="131"/>
        <v>55.416938775510204</v>
      </c>
      <c r="M1674" s="25" t="str">
        <f t="shared" si="132"/>
        <v>HOLD</v>
      </c>
    </row>
    <row r="1675" spans="2:13">
      <c r="B1675" s="3">
        <v>44482</v>
      </c>
      <c r="C1675" s="5">
        <v>54.24</v>
      </c>
      <c r="D1675" s="5">
        <v>54.17</v>
      </c>
      <c r="E1675" s="5">
        <v>54.43</v>
      </c>
      <c r="F1675" s="5">
        <v>53.79</v>
      </c>
      <c r="G1675" s="18" t="s">
        <v>146</v>
      </c>
      <c r="H1675" s="2">
        <v>2.0000000000000001E-4</v>
      </c>
      <c r="I1675" s="16">
        <f t="shared" si="133"/>
        <v>1.8439977872035989E-4</v>
      </c>
      <c r="J1675" s="16">
        <f t="shared" si="134"/>
        <v>1.0001843997787203</v>
      </c>
      <c r="K1675" s="16">
        <f t="shared" si="130"/>
        <v>53.731578947368426</v>
      </c>
      <c r="L1675" s="16">
        <f t="shared" si="131"/>
        <v>55.362040816326527</v>
      </c>
      <c r="M1675" s="25" t="str">
        <f t="shared" si="132"/>
        <v>HOLD</v>
      </c>
    </row>
    <row r="1676" spans="2:13">
      <c r="B1676" s="3">
        <v>44483</v>
      </c>
      <c r="C1676" s="5">
        <v>54.61</v>
      </c>
      <c r="D1676" s="5">
        <v>54.39</v>
      </c>
      <c r="E1676" s="5">
        <v>54.8</v>
      </c>
      <c r="F1676" s="5">
        <v>54.31</v>
      </c>
      <c r="G1676" s="18" t="s">
        <v>244</v>
      </c>
      <c r="H1676" s="2">
        <v>6.7999999999999996E-3</v>
      </c>
      <c r="I1676" s="16">
        <f t="shared" si="133"/>
        <v>6.821533923303787E-3</v>
      </c>
      <c r="J1676" s="16">
        <f t="shared" si="134"/>
        <v>1.0068215339233038</v>
      </c>
      <c r="K1676" s="16">
        <f t="shared" si="130"/>
        <v>53.673157894736846</v>
      </c>
      <c r="L1676" s="16">
        <f t="shared" si="131"/>
        <v>55.324081632653048</v>
      </c>
      <c r="M1676" s="25" t="str">
        <f t="shared" si="132"/>
        <v>HOLD</v>
      </c>
    </row>
    <row r="1677" spans="2:13">
      <c r="B1677" s="3">
        <v>44484</v>
      </c>
      <c r="C1677" s="5">
        <v>54.48</v>
      </c>
      <c r="D1677" s="5">
        <v>54.64</v>
      </c>
      <c r="E1677" s="5">
        <v>54.88</v>
      </c>
      <c r="F1677" s="5">
        <v>54.28</v>
      </c>
      <c r="G1677" s="18" t="s">
        <v>658</v>
      </c>
      <c r="H1677" s="2">
        <v>-2.3999999999999998E-3</v>
      </c>
      <c r="I1677" s="16">
        <f t="shared" si="133"/>
        <v>-2.3805163889398014E-3</v>
      </c>
      <c r="J1677" s="16">
        <f t="shared" si="134"/>
        <v>0.99761948361106023</v>
      </c>
      <c r="K1677" s="16">
        <f t="shared" si="130"/>
        <v>53.682105263157901</v>
      </c>
      <c r="L1677" s="16">
        <f t="shared" si="131"/>
        <v>55.285510204081618</v>
      </c>
      <c r="M1677" s="25" t="str">
        <f t="shared" si="132"/>
        <v>HOLD</v>
      </c>
    </row>
    <row r="1678" spans="2:13">
      <c r="B1678" s="3">
        <v>44487</v>
      </c>
      <c r="C1678" s="5">
        <v>53.94</v>
      </c>
      <c r="D1678" s="5">
        <v>54.35</v>
      </c>
      <c r="E1678" s="5">
        <v>54.39</v>
      </c>
      <c r="F1678" s="5">
        <v>53.86</v>
      </c>
      <c r="G1678" s="18" t="s">
        <v>225</v>
      </c>
      <c r="H1678" s="2">
        <v>-9.9000000000000008E-3</v>
      </c>
      <c r="I1678" s="16">
        <f t="shared" si="133"/>
        <v>-9.9118942731277384E-3</v>
      </c>
      <c r="J1678" s="16">
        <f t="shared" si="134"/>
        <v>0.99008810572687223</v>
      </c>
      <c r="K1678" s="16">
        <f t="shared" si="130"/>
        <v>53.704210526315798</v>
      </c>
      <c r="L1678" s="16">
        <f t="shared" si="131"/>
        <v>55.241428571428564</v>
      </c>
      <c r="M1678" s="25" t="str">
        <f t="shared" si="132"/>
        <v>HOLD</v>
      </c>
    </row>
    <row r="1679" spans="2:13">
      <c r="B1679" s="3">
        <v>44488</v>
      </c>
      <c r="C1679" s="5">
        <v>54.15</v>
      </c>
      <c r="D1679" s="5">
        <v>54.04</v>
      </c>
      <c r="E1679" s="5">
        <v>54.2</v>
      </c>
      <c r="F1679" s="5">
        <v>53.77</v>
      </c>
      <c r="G1679" s="18" t="s">
        <v>118</v>
      </c>
      <c r="H1679" s="2">
        <v>3.8999999999999998E-3</v>
      </c>
      <c r="I1679" s="16">
        <f t="shared" si="133"/>
        <v>3.893214682981106E-3</v>
      </c>
      <c r="J1679" s="16">
        <f t="shared" si="134"/>
        <v>1.0038932146829811</v>
      </c>
      <c r="K1679" s="16">
        <f t="shared" si="130"/>
        <v>53.698421052631588</v>
      </c>
      <c r="L1679" s="16">
        <f t="shared" si="131"/>
        <v>55.186122448979589</v>
      </c>
      <c r="M1679" s="25" t="str">
        <f t="shared" si="132"/>
        <v>HOLD</v>
      </c>
    </row>
    <row r="1680" spans="2:13">
      <c r="B1680" s="3">
        <v>44489</v>
      </c>
      <c r="C1680" s="5">
        <v>54.63</v>
      </c>
      <c r="D1680" s="5">
        <v>54.18</v>
      </c>
      <c r="E1680" s="5">
        <v>54.76</v>
      </c>
      <c r="F1680" s="5">
        <v>54.11</v>
      </c>
      <c r="G1680" s="18" t="s">
        <v>334</v>
      </c>
      <c r="H1680" s="2">
        <v>8.8999999999999999E-3</v>
      </c>
      <c r="I1680" s="16">
        <f t="shared" si="133"/>
        <v>8.8642659279779129E-3</v>
      </c>
      <c r="J1680" s="16">
        <f t="shared" si="134"/>
        <v>1.0088642659279778</v>
      </c>
      <c r="K1680" s="16">
        <f t="shared" si="130"/>
        <v>53.699473684210531</v>
      </c>
      <c r="L1680" s="16">
        <f t="shared" si="131"/>
        <v>55.132040816326537</v>
      </c>
      <c r="M1680" s="25" t="str">
        <f t="shared" si="132"/>
        <v>HOLD</v>
      </c>
    </row>
    <row r="1681" spans="2:13">
      <c r="B1681" s="3">
        <v>44490</v>
      </c>
      <c r="C1681" s="5">
        <v>54.35</v>
      </c>
      <c r="D1681" s="5">
        <v>54.6</v>
      </c>
      <c r="E1681" s="5">
        <v>54.67</v>
      </c>
      <c r="F1681" s="5">
        <v>54.21</v>
      </c>
      <c r="G1681" s="18" t="s">
        <v>260</v>
      </c>
      <c r="H1681" s="2">
        <v>-5.1000000000000004E-3</v>
      </c>
      <c r="I1681" s="16">
        <f t="shared" si="133"/>
        <v>-5.1253889804137127E-3</v>
      </c>
      <c r="J1681" s="16">
        <f t="shared" si="134"/>
        <v>0.9948746110195863</v>
      </c>
      <c r="K1681" s="16">
        <f t="shared" si="130"/>
        <v>53.730526315789483</v>
      </c>
      <c r="L1681" s="16">
        <f t="shared" si="131"/>
        <v>55.089183673469385</v>
      </c>
      <c r="M1681" s="25" t="str">
        <f t="shared" si="132"/>
        <v>HOLD</v>
      </c>
    </row>
    <row r="1682" spans="2:13">
      <c r="B1682" s="3">
        <v>44491</v>
      </c>
      <c r="C1682" s="5">
        <v>54.45</v>
      </c>
      <c r="D1682" s="5">
        <v>54.39</v>
      </c>
      <c r="E1682" s="5">
        <v>54.53</v>
      </c>
      <c r="F1682" s="5">
        <v>54.07</v>
      </c>
      <c r="G1682" s="18" t="s">
        <v>463</v>
      </c>
      <c r="H1682" s="2">
        <v>1.8E-3</v>
      </c>
      <c r="I1682" s="16">
        <f t="shared" si="133"/>
        <v>1.8399264029439082E-3</v>
      </c>
      <c r="J1682" s="16">
        <f t="shared" si="134"/>
        <v>1.0018399264029438</v>
      </c>
      <c r="K1682" s="16">
        <f t="shared" si="130"/>
        <v>53.754736842105267</v>
      </c>
      <c r="L1682" s="16">
        <f t="shared" si="131"/>
        <v>55.03836734693877</v>
      </c>
      <c r="M1682" s="25" t="str">
        <f t="shared" si="132"/>
        <v>HOLD</v>
      </c>
    </row>
    <row r="1683" spans="2:13">
      <c r="B1683" s="3">
        <v>44494</v>
      </c>
      <c r="C1683" s="5">
        <v>54.23</v>
      </c>
      <c r="D1683" s="5">
        <v>54.38</v>
      </c>
      <c r="E1683" s="5">
        <v>54.47</v>
      </c>
      <c r="F1683" s="5">
        <v>54.02</v>
      </c>
      <c r="G1683" s="18" t="s">
        <v>183</v>
      </c>
      <c r="H1683" s="2">
        <v>-4.0000000000000001E-3</v>
      </c>
      <c r="I1683" s="16">
        <f t="shared" si="133"/>
        <v>-4.0404040404041497E-3</v>
      </c>
      <c r="J1683" s="16">
        <f t="shared" si="134"/>
        <v>0.99595959595959582</v>
      </c>
      <c r="K1683" s="16">
        <f t="shared" si="130"/>
        <v>53.798947368421047</v>
      </c>
      <c r="L1683" s="16">
        <f t="shared" si="131"/>
        <v>54.981632653061226</v>
      </c>
      <c r="M1683" s="25" t="str">
        <f t="shared" si="132"/>
        <v>HOLD</v>
      </c>
    </row>
    <row r="1684" spans="2:13">
      <c r="B1684" s="3">
        <v>44495</v>
      </c>
      <c r="C1684" s="5">
        <v>54.47</v>
      </c>
      <c r="D1684" s="5">
        <v>54.32</v>
      </c>
      <c r="E1684" s="5">
        <v>54.58</v>
      </c>
      <c r="F1684" s="5">
        <v>54.23</v>
      </c>
      <c r="G1684" s="18" t="s">
        <v>657</v>
      </c>
      <c r="H1684" s="2">
        <v>4.4000000000000003E-3</v>
      </c>
      <c r="I1684" s="16">
        <f t="shared" si="133"/>
        <v>4.4255946892864098E-3</v>
      </c>
      <c r="J1684" s="16">
        <f t="shared" si="134"/>
        <v>1.0044255946892864</v>
      </c>
      <c r="K1684" s="16">
        <f t="shared" si="130"/>
        <v>53.882631578947375</v>
      </c>
      <c r="L1684" s="16">
        <f t="shared" si="131"/>
        <v>54.915306122448989</v>
      </c>
      <c r="M1684" s="25" t="str">
        <f t="shared" si="132"/>
        <v>HOLD</v>
      </c>
    </row>
    <row r="1685" spans="2:13">
      <c r="B1685" s="3">
        <v>44496</v>
      </c>
      <c r="C1685" s="5">
        <v>55.52</v>
      </c>
      <c r="D1685" s="5">
        <v>55.97</v>
      </c>
      <c r="E1685" s="5">
        <v>56.08</v>
      </c>
      <c r="F1685" s="5">
        <v>55.27</v>
      </c>
      <c r="G1685" s="18" t="s">
        <v>656</v>
      </c>
      <c r="H1685" s="2">
        <v>1.9300000000000001E-2</v>
      </c>
      <c r="I1685" s="16">
        <f t="shared" si="133"/>
        <v>1.9276666054709093E-2</v>
      </c>
      <c r="J1685" s="16">
        <f t="shared" si="134"/>
        <v>1.019276666054709</v>
      </c>
      <c r="K1685" s="16">
        <f t="shared" si="130"/>
        <v>53.962105263157895</v>
      </c>
      <c r="L1685" s="16">
        <f t="shared" si="131"/>
        <v>54.857959183673472</v>
      </c>
      <c r="M1685" s="25" t="str">
        <f t="shared" si="132"/>
        <v>HOLD</v>
      </c>
    </row>
    <row r="1686" spans="2:13">
      <c r="B1686" s="3">
        <v>44497</v>
      </c>
      <c r="C1686" s="5">
        <v>56.04</v>
      </c>
      <c r="D1686" s="5">
        <v>55.75</v>
      </c>
      <c r="E1686" s="5">
        <v>56.11</v>
      </c>
      <c r="F1686" s="5">
        <v>55.62</v>
      </c>
      <c r="G1686" s="18" t="s">
        <v>538</v>
      </c>
      <c r="H1686" s="2">
        <v>9.4000000000000004E-3</v>
      </c>
      <c r="I1686" s="16">
        <f t="shared" si="133"/>
        <v>9.3659942363111676E-3</v>
      </c>
      <c r="J1686" s="16">
        <f t="shared" si="134"/>
        <v>1.0093659942363111</v>
      </c>
      <c r="K1686" s="16">
        <f t="shared" si="130"/>
        <v>54.122631578947377</v>
      </c>
      <c r="L1686" s="16">
        <f t="shared" si="131"/>
        <v>54.837959183673469</v>
      </c>
      <c r="M1686" s="25" t="str">
        <f t="shared" si="132"/>
        <v>HOLD</v>
      </c>
    </row>
    <row r="1687" spans="2:13">
      <c r="B1687" s="3">
        <v>44498</v>
      </c>
      <c r="C1687" s="5">
        <v>56.37</v>
      </c>
      <c r="D1687" s="5">
        <v>55.87</v>
      </c>
      <c r="E1687" s="5">
        <v>56.47</v>
      </c>
      <c r="F1687" s="5">
        <v>55.78</v>
      </c>
      <c r="G1687" s="18" t="s">
        <v>655</v>
      </c>
      <c r="H1687" s="2">
        <v>5.8999999999999999E-3</v>
      </c>
      <c r="I1687" s="16">
        <f t="shared" si="133"/>
        <v>5.8886509635974003E-3</v>
      </c>
      <c r="J1687" s="16">
        <f t="shared" si="134"/>
        <v>1.0058886509635974</v>
      </c>
      <c r="K1687" s="16">
        <f t="shared" si="130"/>
        <v>54.28157894736843</v>
      </c>
      <c r="L1687" s="16">
        <f t="shared" si="131"/>
        <v>54.821224489795917</v>
      </c>
      <c r="M1687" s="25" t="str">
        <f t="shared" si="132"/>
        <v>HOLD</v>
      </c>
    </row>
    <row r="1688" spans="2:13">
      <c r="B1688" s="3">
        <v>44501</v>
      </c>
      <c r="C1688" s="5">
        <v>56.17</v>
      </c>
      <c r="D1688" s="5">
        <v>56.39</v>
      </c>
      <c r="E1688" s="5">
        <v>56.4</v>
      </c>
      <c r="F1688" s="5">
        <v>55.9</v>
      </c>
      <c r="G1688" s="18" t="s">
        <v>465</v>
      </c>
      <c r="H1688" s="2">
        <v>-3.5000000000000001E-3</v>
      </c>
      <c r="I1688" s="16">
        <f t="shared" si="133"/>
        <v>-3.5479865176511576E-3</v>
      </c>
      <c r="J1688" s="16">
        <f t="shared" si="134"/>
        <v>0.9964520134823488</v>
      </c>
      <c r="K1688" s="16">
        <f t="shared" si="130"/>
        <v>54.459473684210529</v>
      </c>
      <c r="L1688" s="16">
        <f t="shared" si="131"/>
        <v>54.815714285714279</v>
      </c>
      <c r="M1688" s="25" t="str">
        <f t="shared" si="132"/>
        <v>HOLD</v>
      </c>
    </row>
    <row r="1689" spans="2:13">
      <c r="B1689" s="3">
        <v>44502</v>
      </c>
      <c r="C1689" s="5">
        <v>56.1</v>
      </c>
      <c r="D1689" s="5">
        <v>56.47</v>
      </c>
      <c r="E1689" s="5">
        <v>56.5</v>
      </c>
      <c r="F1689" s="5">
        <v>55.97</v>
      </c>
      <c r="G1689" s="18" t="s">
        <v>221</v>
      </c>
      <c r="H1689" s="2">
        <v>-1.1999999999999999E-3</v>
      </c>
      <c r="I1689" s="16">
        <f t="shared" si="133"/>
        <v>-1.2462168417304662E-3</v>
      </c>
      <c r="J1689" s="16">
        <f t="shared" si="134"/>
        <v>0.99875378315826957</v>
      </c>
      <c r="K1689" s="16">
        <f t="shared" si="130"/>
        <v>54.622105263157906</v>
      </c>
      <c r="L1689" s="16">
        <f t="shared" si="131"/>
        <v>54.810204081632648</v>
      </c>
      <c r="M1689" s="25" t="str">
        <f t="shared" si="132"/>
        <v>HOLD</v>
      </c>
    </row>
    <row r="1690" spans="2:13">
      <c r="B1690" s="3">
        <v>44503</v>
      </c>
      <c r="C1690" s="5">
        <v>56.29</v>
      </c>
      <c r="D1690" s="5">
        <v>56</v>
      </c>
      <c r="E1690" s="5">
        <v>56.33</v>
      </c>
      <c r="F1690" s="5">
        <v>55.77</v>
      </c>
      <c r="G1690" s="18" t="s">
        <v>117</v>
      </c>
      <c r="H1690" s="2">
        <v>3.3999999999999998E-3</v>
      </c>
      <c r="I1690" s="16">
        <f t="shared" si="133"/>
        <v>3.3868092691621697E-3</v>
      </c>
      <c r="J1690" s="16">
        <f t="shared" si="134"/>
        <v>1.0033868092691622</v>
      </c>
      <c r="K1690" s="16">
        <f t="shared" si="130"/>
        <v>54.747894736842106</v>
      </c>
      <c r="L1690" s="16">
        <f t="shared" si="131"/>
        <v>54.812040816326522</v>
      </c>
      <c r="M1690" s="25" t="str">
        <f t="shared" si="132"/>
        <v>HOLD</v>
      </c>
    </row>
    <row r="1691" spans="2:13">
      <c r="B1691" s="3">
        <v>44504</v>
      </c>
      <c r="C1691" s="5">
        <v>56.6</v>
      </c>
      <c r="D1691" s="5">
        <v>56.11</v>
      </c>
      <c r="E1691" s="5">
        <v>56.63</v>
      </c>
      <c r="F1691" s="5">
        <v>56.03</v>
      </c>
      <c r="G1691" s="18" t="s">
        <v>109</v>
      </c>
      <c r="H1691" s="2">
        <v>5.4999999999999997E-3</v>
      </c>
      <c r="I1691" s="16">
        <f t="shared" si="133"/>
        <v>5.5071948836383422E-3</v>
      </c>
      <c r="J1691" s="16">
        <f t="shared" si="134"/>
        <v>1.0055071948836383</v>
      </c>
      <c r="K1691" s="16">
        <f t="shared" ref="K1691:K1754" si="135">AVERAGE(C1672:C1690)</f>
        <v>54.874736842105271</v>
      </c>
      <c r="L1691" s="16">
        <f t="shared" si="131"/>
        <v>54.81653061224489</v>
      </c>
      <c r="M1691" s="25" t="str">
        <f t="shared" si="132"/>
        <v>BUY</v>
      </c>
    </row>
    <row r="1692" spans="2:13">
      <c r="B1692" s="3">
        <v>44505</v>
      </c>
      <c r="C1692" s="5">
        <v>56.84</v>
      </c>
      <c r="D1692" s="5">
        <v>56.84</v>
      </c>
      <c r="E1692" s="5">
        <v>57.16</v>
      </c>
      <c r="F1692" s="5">
        <v>56.59</v>
      </c>
      <c r="G1692" s="18" t="s">
        <v>485</v>
      </c>
      <c r="H1692" s="2">
        <v>4.1999999999999997E-3</v>
      </c>
      <c r="I1692" s="16">
        <f t="shared" si="133"/>
        <v>4.2402826855124027E-3</v>
      </c>
      <c r="J1692" s="16">
        <f t="shared" si="134"/>
        <v>1.0042402826855124</v>
      </c>
      <c r="K1692" s="16">
        <f t="shared" si="135"/>
        <v>55.005263157894731</v>
      </c>
      <c r="L1692" s="16">
        <f t="shared" si="131"/>
        <v>54.838163265306115</v>
      </c>
      <c r="M1692" s="25" t="str">
        <f t="shared" si="132"/>
        <v>HOLD</v>
      </c>
    </row>
    <row r="1693" spans="2:13">
      <c r="B1693" s="3">
        <v>44508</v>
      </c>
      <c r="C1693" s="5">
        <v>56.33</v>
      </c>
      <c r="D1693" s="5">
        <v>56.75</v>
      </c>
      <c r="E1693" s="5">
        <v>56.89</v>
      </c>
      <c r="F1693" s="5">
        <v>56.13</v>
      </c>
      <c r="G1693" s="18" t="s">
        <v>463</v>
      </c>
      <c r="H1693" s="2">
        <v>-8.9999999999999993E-3</v>
      </c>
      <c r="I1693" s="16">
        <f t="shared" si="133"/>
        <v>-8.9725545390570913E-3</v>
      </c>
      <c r="J1693" s="16">
        <f t="shared" si="134"/>
        <v>0.9910274454609429</v>
      </c>
      <c r="K1693" s="16">
        <f t="shared" si="135"/>
        <v>55.142631578947359</v>
      </c>
      <c r="L1693" s="16">
        <f t="shared" si="131"/>
        <v>54.862448979591832</v>
      </c>
      <c r="M1693" s="25" t="str">
        <f t="shared" si="132"/>
        <v>HOLD</v>
      </c>
    </row>
    <row r="1694" spans="2:13">
      <c r="B1694" s="3">
        <v>44509</v>
      </c>
      <c r="C1694" s="5">
        <v>56.49</v>
      </c>
      <c r="D1694" s="5">
        <v>56.41</v>
      </c>
      <c r="E1694" s="5">
        <v>56.52</v>
      </c>
      <c r="F1694" s="5">
        <v>56.09</v>
      </c>
      <c r="G1694" s="18" t="s">
        <v>212</v>
      </c>
      <c r="H1694" s="2">
        <v>2.8E-3</v>
      </c>
      <c r="I1694" s="16">
        <f t="shared" si="133"/>
        <v>2.8404047576780348E-3</v>
      </c>
      <c r="J1694" s="16">
        <f t="shared" si="134"/>
        <v>1.002840404757678</v>
      </c>
      <c r="K1694" s="16">
        <f t="shared" si="135"/>
        <v>55.253157894736837</v>
      </c>
      <c r="L1694" s="16">
        <f t="shared" si="131"/>
        <v>54.865510204081623</v>
      </c>
      <c r="M1694" s="25" t="str">
        <f t="shared" si="132"/>
        <v>HOLD</v>
      </c>
    </row>
    <row r="1695" spans="2:13">
      <c r="B1695" s="3">
        <v>44510</v>
      </c>
      <c r="C1695" s="5">
        <v>56.72</v>
      </c>
      <c r="D1695" s="5">
        <v>56.54</v>
      </c>
      <c r="E1695" s="5">
        <v>56.92</v>
      </c>
      <c r="F1695" s="5">
        <v>56.29</v>
      </c>
      <c r="G1695" s="18" t="s">
        <v>654</v>
      </c>
      <c r="H1695" s="2">
        <v>4.1000000000000003E-3</v>
      </c>
      <c r="I1695" s="16">
        <f t="shared" si="133"/>
        <v>4.0715170826694435E-3</v>
      </c>
      <c r="J1695" s="16">
        <f t="shared" si="134"/>
        <v>1.0040715170826695</v>
      </c>
      <c r="K1695" s="16">
        <f t="shared" si="135"/>
        <v>55.37157894736842</v>
      </c>
      <c r="L1695" s="16">
        <f t="shared" si="131"/>
        <v>54.869183673469372</v>
      </c>
      <c r="M1695" s="25" t="str">
        <f t="shared" si="132"/>
        <v>HOLD</v>
      </c>
    </row>
    <row r="1696" spans="2:13">
      <c r="B1696" s="3">
        <v>44511</v>
      </c>
      <c r="C1696" s="5">
        <v>56.74</v>
      </c>
      <c r="D1696" s="5">
        <v>56.83</v>
      </c>
      <c r="E1696" s="5">
        <v>56.88</v>
      </c>
      <c r="F1696" s="5">
        <v>56.57</v>
      </c>
      <c r="G1696" s="18" t="s">
        <v>653</v>
      </c>
      <c r="H1696" s="2">
        <v>4.0000000000000002E-4</v>
      </c>
      <c r="I1696" s="16">
        <f t="shared" si="133"/>
        <v>3.5260930888580971E-4</v>
      </c>
      <c r="J1696" s="16">
        <f t="shared" si="134"/>
        <v>1.0003526093088859</v>
      </c>
      <c r="K1696" s="16">
        <f t="shared" si="135"/>
        <v>55.48263157894737</v>
      </c>
      <c r="L1696" s="16">
        <f t="shared" si="131"/>
        <v>54.869795918367338</v>
      </c>
      <c r="M1696" s="25" t="str">
        <f t="shared" si="132"/>
        <v>HOLD</v>
      </c>
    </row>
    <row r="1697" spans="2:13">
      <c r="B1697" s="3">
        <v>44512</v>
      </c>
      <c r="C1697" s="5">
        <v>56.61</v>
      </c>
      <c r="D1697" s="5">
        <v>56.75</v>
      </c>
      <c r="E1697" s="5">
        <v>56.98</v>
      </c>
      <c r="F1697" s="5">
        <v>56.55</v>
      </c>
      <c r="G1697" s="18" t="s">
        <v>212</v>
      </c>
      <c r="H1697" s="2">
        <v>-2.3E-3</v>
      </c>
      <c r="I1697" s="16">
        <f t="shared" si="133"/>
        <v>-2.2911526260134393E-3</v>
      </c>
      <c r="J1697" s="16">
        <f t="shared" si="134"/>
        <v>0.99770884737398657</v>
      </c>
      <c r="K1697" s="16">
        <f t="shared" si="135"/>
        <v>55.601578947368424</v>
      </c>
      <c r="L1697" s="16">
        <f t="shared" si="131"/>
        <v>54.869183673469372</v>
      </c>
      <c r="M1697" s="25" t="str">
        <f t="shared" si="132"/>
        <v>HOLD</v>
      </c>
    </row>
    <row r="1698" spans="2:13">
      <c r="B1698" s="3">
        <v>44515</v>
      </c>
      <c r="C1698" s="5">
        <v>56.62</v>
      </c>
      <c r="D1698" s="5">
        <v>56.53</v>
      </c>
      <c r="E1698" s="5">
        <v>56.68</v>
      </c>
      <c r="F1698" s="5">
        <v>56.27</v>
      </c>
      <c r="G1698" s="18" t="s">
        <v>459</v>
      </c>
      <c r="H1698" s="2">
        <v>2.0000000000000001E-4</v>
      </c>
      <c r="I1698" s="16">
        <f t="shared" si="133"/>
        <v>1.7664723547072974E-4</v>
      </c>
      <c r="J1698" s="16">
        <f t="shared" si="134"/>
        <v>1.0001766472354707</v>
      </c>
      <c r="K1698" s="16">
        <f t="shared" si="135"/>
        <v>55.742105263157903</v>
      </c>
      <c r="L1698" s="16">
        <f t="shared" si="131"/>
        <v>54.86673469387754</v>
      </c>
      <c r="M1698" s="25" t="str">
        <f t="shared" si="132"/>
        <v>HOLD</v>
      </c>
    </row>
    <row r="1699" spans="2:13">
      <c r="B1699" s="3">
        <v>44516</v>
      </c>
      <c r="C1699" s="5">
        <v>56.22</v>
      </c>
      <c r="D1699" s="5">
        <v>56.62</v>
      </c>
      <c r="E1699" s="5">
        <v>56.94</v>
      </c>
      <c r="F1699" s="5">
        <v>56.19</v>
      </c>
      <c r="G1699" s="18" t="s">
        <v>652</v>
      </c>
      <c r="H1699" s="2">
        <v>-7.1000000000000004E-3</v>
      </c>
      <c r="I1699" s="16">
        <f t="shared" si="133"/>
        <v>-7.0646414694454009E-3</v>
      </c>
      <c r="J1699" s="16">
        <f t="shared" si="134"/>
        <v>0.99293535853055459</v>
      </c>
      <c r="K1699" s="16">
        <f t="shared" si="135"/>
        <v>55.872105263157906</v>
      </c>
      <c r="L1699" s="16">
        <f t="shared" si="131"/>
        <v>54.886122448979577</v>
      </c>
      <c r="M1699" s="25" t="str">
        <f t="shared" si="132"/>
        <v>HOLD</v>
      </c>
    </row>
    <row r="1700" spans="2:13">
      <c r="B1700" s="3">
        <v>44517</v>
      </c>
      <c r="C1700" s="5">
        <v>55.91</v>
      </c>
      <c r="D1700" s="5">
        <v>56.04</v>
      </c>
      <c r="E1700" s="5">
        <v>56.05</v>
      </c>
      <c r="F1700" s="5">
        <v>55.65</v>
      </c>
      <c r="G1700" s="18" t="s">
        <v>107</v>
      </c>
      <c r="H1700" s="2">
        <v>-5.4999999999999997E-3</v>
      </c>
      <c r="I1700" s="16">
        <f t="shared" si="133"/>
        <v>-5.514051938811851E-3</v>
      </c>
      <c r="J1700" s="16">
        <f t="shared" si="134"/>
        <v>0.99448594806118817</v>
      </c>
      <c r="K1700" s="16">
        <f t="shared" si="135"/>
        <v>55.955789473684213</v>
      </c>
      <c r="L1700" s="16">
        <f t="shared" si="131"/>
        <v>54.882040816326516</v>
      </c>
      <c r="M1700" s="25" t="str">
        <f t="shared" si="132"/>
        <v>HOLD</v>
      </c>
    </row>
    <row r="1701" spans="2:13">
      <c r="B1701" s="3">
        <v>44518</v>
      </c>
      <c r="C1701" s="5">
        <v>55.41</v>
      </c>
      <c r="D1701" s="5">
        <v>55.83</v>
      </c>
      <c r="E1701" s="5">
        <v>55.93</v>
      </c>
      <c r="F1701" s="5">
        <v>55.14</v>
      </c>
      <c r="G1701" s="18" t="s">
        <v>651</v>
      </c>
      <c r="H1701" s="2">
        <v>-8.8999999999999999E-3</v>
      </c>
      <c r="I1701" s="16">
        <f t="shared" si="133"/>
        <v>-8.9429440171704538E-3</v>
      </c>
      <c r="J1701" s="16">
        <f t="shared" si="134"/>
        <v>0.99105705598282956</v>
      </c>
      <c r="K1701" s="16">
        <f t="shared" si="135"/>
        <v>56.037894736842119</v>
      </c>
      <c r="L1701" s="16">
        <f t="shared" si="131"/>
        <v>54.883061224489779</v>
      </c>
      <c r="M1701" s="25" t="str">
        <f t="shared" si="132"/>
        <v>HOLD</v>
      </c>
    </row>
    <row r="1702" spans="2:13">
      <c r="B1702" s="3">
        <v>44519</v>
      </c>
      <c r="C1702" s="5">
        <v>55.13</v>
      </c>
      <c r="D1702" s="5">
        <v>55.44</v>
      </c>
      <c r="E1702" s="5">
        <v>55.48</v>
      </c>
      <c r="F1702" s="5">
        <v>54.9</v>
      </c>
      <c r="G1702" s="18" t="s">
        <v>650</v>
      </c>
      <c r="H1702" s="2">
        <v>-5.1000000000000004E-3</v>
      </c>
      <c r="I1702" s="16">
        <f t="shared" si="133"/>
        <v>-5.0532394874570306E-3</v>
      </c>
      <c r="J1702" s="16">
        <f t="shared" si="134"/>
        <v>0.99494676051254294</v>
      </c>
      <c r="K1702" s="16">
        <f t="shared" si="135"/>
        <v>56.088421052631595</v>
      </c>
      <c r="L1702" s="16">
        <f t="shared" si="131"/>
        <v>54.878979591836718</v>
      </c>
      <c r="M1702" s="25" t="str">
        <f t="shared" si="132"/>
        <v>HOLD</v>
      </c>
    </row>
    <row r="1703" spans="2:13">
      <c r="B1703" s="3">
        <v>44522</v>
      </c>
      <c r="C1703" s="5">
        <v>55.47</v>
      </c>
      <c r="D1703" s="5">
        <v>55.1</v>
      </c>
      <c r="E1703" s="5">
        <v>56.02</v>
      </c>
      <c r="F1703" s="5">
        <v>55.08</v>
      </c>
      <c r="G1703" s="18" t="s">
        <v>489</v>
      </c>
      <c r="H1703" s="2">
        <v>6.1999999999999998E-3</v>
      </c>
      <c r="I1703" s="16">
        <f t="shared" si="133"/>
        <v>6.1672410665698585E-3</v>
      </c>
      <c r="J1703" s="16">
        <f t="shared" si="134"/>
        <v>1.0061672410665699</v>
      </c>
      <c r="K1703" s="16">
        <f t="shared" si="135"/>
        <v>56.13578947368422</v>
      </c>
      <c r="L1703" s="16">
        <f t="shared" si="131"/>
        <v>54.859795918367332</v>
      </c>
      <c r="M1703" s="25" t="str">
        <f t="shared" si="132"/>
        <v>HOLD</v>
      </c>
    </row>
    <row r="1704" spans="2:13">
      <c r="B1704" s="3">
        <v>44523</v>
      </c>
      <c r="C1704" s="5">
        <v>55.88</v>
      </c>
      <c r="D1704" s="5">
        <v>55.66</v>
      </c>
      <c r="E1704" s="5">
        <v>56.11</v>
      </c>
      <c r="F1704" s="5">
        <v>55.5</v>
      </c>
      <c r="G1704" s="18" t="s">
        <v>649</v>
      </c>
      <c r="H1704" s="2">
        <v>7.4000000000000003E-3</v>
      </c>
      <c r="I1704" s="16">
        <f t="shared" si="133"/>
        <v>7.3913827294033478E-3</v>
      </c>
      <c r="J1704" s="16">
        <f t="shared" si="134"/>
        <v>1.0073913827294034</v>
      </c>
      <c r="K1704" s="16">
        <f t="shared" si="135"/>
        <v>56.188421052631575</v>
      </c>
      <c r="L1704" s="16">
        <f t="shared" si="131"/>
        <v>54.855306122448958</v>
      </c>
      <c r="M1704" s="25" t="str">
        <f t="shared" si="132"/>
        <v>HOLD</v>
      </c>
    </row>
    <row r="1705" spans="2:13">
      <c r="B1705" s="3">
        <v>44524</v>
      </c>
      <c r="C1705" s="5">
        <v>55.43</v>
      </c>
      <c r="D1705" s="5">
        <v>55.71</v>
      </c>
      <c r="E1705" s="5">
        <v>55.84</v>
      </c>
      <c r="F1705" s="5">
        <v>55.03</v>
      </c>
      <c r="G1705" s="18" t="s">
        <v>368</v>
      </c>
      <c r="H1705" s="2">
        <v>-8.0999999999999996E-3</v>
      </c>
      <c r="I1705" s="16">
        <f t="shared" si="133"/>
        <v>-8.0529706513958986E-3</v>
      </c>
      <c r="J1705" s="16">
        <f t="shared" si="134"/>
        <v>0.99194702934860413</v>
      </c>
      <c r="K1705" s="16">
        <f t="shared" si="135"/>
        <v>56.207368421052635</v>
      </c>
      <c r="L1705" s="16">
        <f t="shared" si="131"/>
        <v>54.855306122448958</v>
      </c>
      <c r="M1705" s="25" t="str">
        <f t="shared" si="132"/>
        <v>HOLD</v>
      </c>
    </row>
    <row r="1706" spans="2:13">
      <c r="B1706" s="3">
        <v>44526</v>
      </c>
      <c r="C1706" s="5">
        <v>53.73</v>
      </c>
      <c r="D1706" s="5">
        <v>54.59</v>
      </c>
      <c r="E1706" s="5">
        <v>54.75</v>
      </c>
      <c r="F1706" s="5">
        <v>53.58</v>
      </c>
      <c r="G1706" s="18" t="s">
        <v>648</v>
      </c>
      <c r="H1706" s="2">
        <v>-3.0700000000000002E-2</v>
      </c>
      <c r="I1706" s="16">
        <f t="shared" si="133"/>
        <v>-3.0669312646581324E-2</v>
      </c>
      <c r="J1706" s="16">
        <f t="shared" si="134"/>
        <v>0.96933068735341865</v>
      </c>
      <c r="K1706" s="16">
        <f t="shared" si="135"/>
        <v>56.175263157894733</v>
      </c>
      <c r="L1706" s="16">
        <f t="shared" si="131"/>
        <v>54.85693877551018</v>
      </c>
      <c r="M1706" s="25" t="str">
        <f t="shared" si="132"/>
        <v>HOLD</v>
      </c>
    </row>
    <row r="1707" spans="2:13">
      <c r="B1707" s="3">
        <v>44529</v>
      </c>
      <c r="C1707" s="5">
        <v>54.58</v>
      </c>
      <c r="D1707" s="5">
        <v>54.05</v>
      </c>
      <c r="E1707" s="5">
        <v>54.73</v>
      </c>
      <c r="F1707" s="5">
        <v>53.93</v>
      </c>
      <c r="G1707" s="18" t="s">
        <v>647</v>
      </c>
      <c r="H1707" s="2">
        <v>1.5800000000000002E-2</v>
      </c>
      <c r="I1707" s="16">
        <f t="shared" si="133"/>
        <v>1.5819839940442983E-2</v>
      </c>
      <c r="J1707" s="16">
        <f t="shared" si="134"/>
        <v>1.015819839940443</v>
      </c>
      <c r="K1707" s="16">
        <f t="shared" si="135"/>
        <v>56.036315789473676</v>
      </c>
      <c r="L1707" s="16">
        <f t="shared" si="131"/>
        <v>54.842448979591815</v>
      </c>
      <c r="M1707" s="25" t="str">
        <f t="shared" si="132"/>
        <v>HOLD</v>
      </c>
    </row>
    <row r="1708" spans="2:13">
      <c r="B1708" s="3">
        <v>44530</v>
      </c>
      <c r="C1708" s="5">
        <v>52.45</v>
      </c>
      <c r="D1708" s="5">
        <v>53.6</v>
      </c>
      <c r="E1708" s="5">
        <v>53.62</v>
      </c>
      <c r="F1708" s="5">
        <v>52.44</v>
      </c>
      <c r="G1708" s="18" t="s">
        <v>646</v>
      </c>
      <c r="H1708" s="2">
        <v>-3.9E-2</v>
      </c>
      <c r="I1708" s="16">
        <f t="shared" si="133"/>
        <v>-3.9025283986808275E-2</v>
      </c>
      <c r="J1708" s="16">
        <f t="shared" si="134"/>
        <v>0.96097471601319173</v>
      </c>
      <c r="K1708" s="16">
        <f t="shared" si="135"/>
        <v>55.952631578947361</v>
      </c>
      <c r="L1708" s="16">
        <f t="shared" si="131"/>
        <v>54.853061224489778</v>
      </c>
      <c r="M1708" s="25" t="str">
        <f t="shared" si="132"/>
        <v>HOLD</v>
      </c>
    </row>
    <row r="1709" spans="2:13">
      <c r="B1709" s="3">
        <v>44531</v>
      </c>
      <c r="C1709" s="5">
        <v>52.3</v>
      </c>
      <c r="D1709" s="5">
        <v>52.98</v>
      </c>
      <c r="E1709" s="5">
        <v>53.52</v>
      </c>
      <c r="F1709" s="5">
        <v>52.28</v>
      </c>
      <c r="G1709" s="18" t="s">
        <v>645</v>
      </c>
      <c r="H1709" s="2">
        <v>-2.8999999999999998E-3</v>
      </c>
      <c r="I1709" s="16">
        <f t="shared" si="133"/>
        <v>-2.8598665395615955E-3</v>
      </c>
      <c r="J1709" s="16">
        <f t="shared" si="134"/>
        <v>0.99714013346043839</v>
      </c>
      <c r="K1709" s="16">
        <f t="shared" si="135"/>
        <v>55.760526315789477</v>
      </c>
      <c r="L1709" s="16">
        <f t="shared" si="131"/>
        <v>54.820408163265284</v>
      </c>
      <c r="M1709" s="25" t="str">
        <f t="shared" si="132"/>
        <v>HOLD</v>
      </c>
    </row>
    <row r="1710" spans="2:13">
      <c r="B1710" s="3">
        <v>44532</v>
      </c>
      <c r="C1710" s="5">
        <v>53.07</v>
      </c>
      <c r="D1710" s="5">
        <v>52.6</v>
      </c>
      <c r="E1710" s="5">
        <v>53.34</v>
      </c>
      <c r="F1710" s="5">
        <v>52.51</v>
      </c>
      <c r="G1710" s="18" t="s">
        <v>644</v>
      </c>
      <c r="H1710" s="2">
        <v>1.47E-2</v>
      </c>
      <c r="I1710" s="16">
        <f t="shared" si="133"/>
        <v>1.4722753346080367E-2</v>
      </c>
      <c r="J1710" s="16">
        <f t="shared" si="134"/>
        <v>1.0147227533460803</v>
      </c>
      <c r="K1710" s="16">
        <f t="shared" si="135"/>
        <v>55.550526315789476</v>
      </c>
      <c r="L1710" s="16">
        <f t="shared" si="131"/>
        <v>54.783061224489778</v>
      </c>
      <c r="M1710" s="25" t="str">
        <f t="shared" si="132"/>
        <v>HOLD</v>
      </c>
    </row>
    <row r="1711" spans="2:13">
      <c r="B1711" s="3">
        <v>44533</v>
      </c>
      <c r="C1711" s="5">
        <v>53.54</v>
      </c>
      <c r="D1711" s="5">
        <v>53.33</v>
      </c>
      <c r="E1711" s="5">
        <v>53.61</v>
      </c>
      <c r="F1711" s="5">
        <v>52.98</v>
      </c>
      <c r="G1711" s="18" t="s">
        <v>643</v>
      </c>
      <c r="H1711" s="2">
        <v>8.8999999999999999E-3</v>
      </c>
      <c r="I1711" s="16">
        <f t="shared" si="133"/>
        <v>8.8562276238929507E-3</v>
      </c>
      <c r="J1711" s="16">
        <f t="shared" si="134"/>
        <v>1.008856227623893</v>
      </c>
      <c r="K1711" s="16">
        <f t="shared" si="135"/>
        <v>55.364736842105266</v>
      </c>
      <c r="L1711" s="16">
        <f t="shared" si="131"/>
        <v>54.763265306122435</v>
      </c>
      <c r="M1711" s="25" t="str">
        <f t="shared" si="132"/>
        <v>HOLD</v>
      </c>
    </row>
    <row r="1712" spans="2:13">
      <c r="B1712" s="3">
        <v>44536</v>
      </c>
      <c r="C1712" s="5">
        <v>54.91</v>
      </c>
      <c r="D1712" s="5">
        <v>54.31</v>
      </c>
      <c r="E1712" s="5">
        <v>55.25</v>
      </c>
      <c r="F1712" s="5">
        <v>54.14</v>
      </c>
      <c r="G1712" s="18" t="s">
        <v>642</v>
      </c>
      <c r="H1712" s="2">
        <v>2.5600000000000001E-2</v>
      </c>
      <c r="I1712" s="16">
        <f t="shared" si="133"/>
        <v>2.5588345162495283E-2</v>
      </c>
      <c r="J1712" s="16">
        <f t="shared" si="134"/>
        <v>1.0255883451624952</v>
      </c>
      <c r="K1712" s="16">
        <f t="shared" si="135"/>
        <v>55.191052631578955</v>
      </c>
      <c r="L1712" s="16">
        <f t="shared" si="131"/>
        <v>54.756122448979575</v>
      </c>
      <c r="M1712" s="25" t="str">
        <f t="shared" si="132"/>
        <v>HOLD</v>
      </c>
    </row>
    <row r="1713" spans="2:13">
      <c r="B1713" s="3">
        <v>44537</v>
      </c>
      <c r="C1713" s="5">
        <v>55.21</v>
      </c>
      <c r="D1713" s="5">
        <v>55.02</v>
      </c>
      <c r="E1713" s="5">
        <v>55.41</v>
      </c>
      <c r="F1713" s="5">
        <v>54.85</v>
      </c>
      <c r="G1713" s="18" t="s">
        <v>502</v>
      </c>
      <c r="H1713" s="2">
        <v>5.4999999999999997E-3</v>
      </c>
      <c r="I1713" s="16">
        <f t="shared" si="133"/>
        <v>5.4634857038791526E-3</v>
      </c>
      <c r="J1713" s="16">
        <f t="shared" si="134"/>
        <v>1.0054634857038791</v>
      </c>
      <c r="K1713" s="16">
        <f t="shared" si="135"/>
        <v>55.116315789473688</v>
      </c>
      <c r="L1713" s="16">
        <f t="shared" si="131"/>
        <v>54.782653061224472</v>
      </c>
      <c r="M1713" s="25" t="str">
        <f t="shared" si="132"/>
        <v>HOLD</v>
      </c>
    </row>
    <row r="1714" spans="2:13">
      <c r="B1714" s="3">
        <v>44538</v>
      </c>
      <c r="C1714" s="5">
        <v>55</v>
      </c>
      <c r="D1714" s="5">
        <v>55.12</v>
      </c>
      <c r="E1714" s="5">
        <v>55.35</v>
      </c>
      <c r="F1714" s="5">
        <v>54.36</v>
      </c>
      <c r="G1714" s="18" t="s">
        <v>641</v>
      </c>
      <c r="H1714" s="2">
        <v>-3.8E-3</v>
      </c>
      <c r="I1714" s="16">
        <f t="shared" si="133"/>
        <v>-3.803658757471488E-3</v>
      </c>
      <c r="J1714" s="16">
        <f t="shared" si="134"/>
        <v>0.99619634124252854</v>
      </c>
      <c r="K1714" s="16">
        <f t="shared" si="135"/>
        <v>55.048947368421047</v>
      </c>
      <c r="L1714" s="16">
        <f t="shared" si="131"/>
        <v>54.835102040816309</v>
      </c>
      <c r="M1714" s="25" t="str">
        <f t="shared" si="132"/>
        <v>HOLD</v>
      </c>
    </row>
    <row r="1715" spans="2:13">
      <c r="B1715" s="3">
        <v>44539</v>
      </c>
      <c r="C1715" s="5">
        <v>54.86</v>
      </c>
      <c r="D1715" s="5">
        <v>54.75</v>
      </c>
      <c r="E1715" s="5">
        <v>55.13</v>
      </c>
      <c r="F1715" s="5">
        <v>54.59</v>
      </c>
      <c r="G1715" s="18" t="s">
        <v>640</v>
      </c>
      <c r="H1715" s="2">
        <v>-2.5000000000000001E-3</v>
      </c>
      <c r="I1715" s="16">
        <f t="shared" si="133"/>
        <v>-2.5454545454545556E-3</v>
      </c>
      <c r="J1715" s="16">
        <f t="shared" si="134"/>
        <v>0.99745454545454548</v>
      </c>
      <c r="K1715" s="16">
        <f t="shared" si="135"/>
        <v>54.958421052631579</v>
      </c>
      <c r="L1715" s="16">
        <f t="shared" si="131"/>
        <v>54.876734693877545</v>
      </c>
      <c r="M1715" s="25" t="str">
        <f t="shared" si="132"/>
        <v>HOLD</v>
      </c>
    </row>
    <row r="1716" spans="2:13">
      <c r="B1716" s="3">
        <v>44540</v>
      </c>
      <c r="C1716" s="5">
        <v>56.28</v>
      </c>
      <c r="D1716" s="5">
        <v>55.25</v>
      </c>
      <c r="E1716" s="5">
        <v>56.32</v>
      </c>
      <c r="F1716" s="5">
        <v>55.07</v>
      </c>
      <c r="G1716" s="18" t="s">
        <v>639</v>
      </c>
      <c r="H1716" s="2">
        <v>2.5899999999999999E-2</v>
      </c>
      <c r="I1716" s="16">
        <f t="shared" si="133"/>
        <v>2.5884068538097004E-2</v>
      </c>
      <c r="J1716" s="16">
        <f t="shared" si="134"/>
        <v>1.025884068538097</v>
      </c>
      <c r="K1716" s="16">
        <f t="shared" si="135"/>
        <v>54.859473684210521</v>
      </c>
      <c r="L1716" s="16">
        <f t="shared" si="131"/>
        <v>54.925510204081633</v>
      </c>
      <c r="M1716" s="25" t="str">
        <f t="shared" si="132"/>
        <v>SELL</v>
      </c>
    </row>
    <row r="1717" spans="2:13">
      <c r="B1717" s="3">
        <v>44543</v>
      </c>
      <c r="C1717" s="5">
        <v>57.76</v>
      </c>
      <c r="D1717" s="5">
        <v>56.98</v>
      </c>
      <c r="E1717" s="5">
        <v>57.93</v>
      </c>
      <c r="F1717" s="5">
        <v>56.95</v>
      </c>
      <c r="G1717" s="18" t="s">
        <v>638</v>
      </c>
      <c r="H1717" s="2">
        <v>2.63E-2</v>
      </c>
      <c r="I1717" s="16">
        <f t="shared" si="133"/>
        <v>2.6297085998578478E-2</v>
      </c>
      <c r="J1717" s="16">
        <f t="shared" si="134"/>
        <v>1.0262970859985785</v>
      </c>
      <c r="K1717" s="16">
        <f t="shared" si="135"/>
        <v>54.842105263157897</v>
      </c>
      <c r="L1717" s="16">
        <f t="shared" si="131"/>
        <v>54.992040816326536</v>
      </c>
      <c r="M1717" s="25" t="str">
        <f t="shared" si="132"/>
        <v>HOLD</v>
      </c>
    </row>
    <row r="1718" spans="2:13">
      <c r="B1718" s="3">
        <v>44544</v>
      </c>
      <c r="C1718" s="5">
        <v>57.8</v>
      </c>
      <c r="D1718" s="5">
        <v>57.4</v>
      </c>
      <c r="E1718" s="5">
        <v>58.17</v>
      </c>
      <c r="F1718" s="5">
        <v>57.4</v>
      </c>
      <c r="G1718" s="18" t="s">
        <v>637</v>
      </c>
      <c r="H1718" s="2">
        <v>6.9999999999999999E-4</v>
      </c>
      <c r="I1718" s="16">
        <f t="shared" si="133"/>
        <v>6.9252077562325395E-4</v>
      </c>
      <c r="J1718" s="16">
        <f t="shared" si="134"/>
        <v>1.0006925207756232</v>
      </c>
      <c r="K1718" s="16">
        <f t="shared" si="135"/>
        <v>54.9021052631579</v>
      </c>
      <c r="L1718" s="16">
        <f t="shared" si="131"/>
        <v>55.089387755102052</v>
      </c>
      <c r="M1718" s="25" t="str">
        <f t="shared" si="132"/>
        <v>HOLD</v>
      </c>
    </row>
    <row r="1719" spans="2:13">
      <c r="B1719" s="3">
        <v>44545</v>
      </c>
      <c r="C1719" s="5">
        <v>58.06</v>
      </c>
      <c r="D1719" s="5">
        <v>57.93</v>
      </c>
      <c r="E1719" s="5">
        <v>58.25</v>
      </c>
      <c r="F1719" s="5">
        <v>57.65</v>
      </c>
      <c r="G1719" s="18" t="s">
        <v>636</v>
      </c>
      <c r="H1719" s="2">
        <v>4.4999999999999997E-3</v>
      </c>
      <c r="I1719" s="16">
        <f t="shared" si="133"/>
        <v>4.4982698961938605E-3</v>
      </c>
      <c r="J1719" s="16">
        <f t="shared" si="134"/>
        <v>1.004498269896194</v>
      </c>
      <c r="K1719" s="16">
        <f t="shared" si="135"/>
        <v>54.985263157894735</v>
      </c>
      <c r="L1719" s="16">
        <f t="shared" si="131"/>
        <v>55.185714285714305</v>
      </c>
      <c r="M1719" s="25" t="str">
        <f t="shared" si="132"/>
        <v>HOLD</v>
      </c>
    </row>
    <row r="1720" spans="2:13">
      <c r="B1720" s="3">
        <v>44546</v>
      </c>
      <c r="C1720" s="5">
        <v>58.65</v>
      </c>
      <c r="D1720" s="5">
        <v>57.98</v>
      </c>
      <c r="E1720" s="5">
        <v>58.88</v>
      </c>
      <c r="F1720" s="5">
        <v>57.9</v>
      </c>
      <c r="G1720" s="18" t="s">
        <v>635</v>
      </c>
      <c r="H1720" s="2">
        <v>1.0200000000000001E-2</v>
      </c>
      <c r="I1720" s="16">
        <f t="shared" si="133"/>
        <v>1.0161901481226254E-2</v>
      </c>
      <c r="J1720" s="16">
        <f t="shared" si="134"/>
        <v>1.0101619014812262</v>
      </c>
      <c r="K1720" s="16">
        <f t="shared" si="135"/>
        <v>55.098421052631572</v>
      </c>
      <c r="L1720" s="16">
        <f t="shared" si="131"/>
        <v>55.274489795918385</v>
      </c>
      <c r="M1720" s="25" t="str">
        <f t="shared" si="132"/>
        <v>HOLD</v>
      </c>
    </row>
    <row r="1721" spans="2:13">
      <c r="B1721" s="3">
        <v>44547</v>
      </c>
      <c r="C1721" s="5">
        <v>57.73</v>
      </c>
      <c r="D1721" s="5">
        <v>58.49</v>
      </c>
      <c r="E1721" s="5">
        <v>58.92</v>
      </c>
      <c r="F1721" s="5">
        <v>57.7</v>
      </c>
      <c r="G1721" s="18" t="s">
        <v>634</v>
      </c>
      <c r="H1721" s="2">
        <v>-1.5699999999999999E-2</v>
      </c>
      <c r="I1721" s="16">
        <f t="shared" si="133"/>
        <v>-1.5686274509803953E-2</v>
      </c>
      <c r="J1721" s="16">
        <f t="shared" si="134"/>
        <v>0.98431372549019602</v>
      </c>
      <c r="K1721" s="16">
        <f t="shared" si="135"/>
        <v>55.268947368421045</v>
      </c>
      <c r="L1721" s="16">
        <f t="shared" ref="L1721:L1784" si="136">AVERAGE(C1672:C1720)</f>
        <v>55.3718367346939</v>
      </c>
      <c r="M1721" s="25" t="str">
        <f t="shared" ref="M1721:M1784" si="137">IF(AND(K1721&gt;L1721,K1720&lt;=L1720),"BUY",IF(AND(K1721&lt;L1721,K1720&gt;=L1720),"SELL","HOLD"))</f>
        <v>HOLD</v>
      </c>
    </row>
    <row r="1722" spans="2:13">
      <c r="B1722" s="3">
        <v>44550</v>
      </c>
      <c r="C1722" s="5">
        <v>57.54</v>
      </c>
      <c r="D1722" s="5">
        <v>57.2</v>
      </c>
      <c r="E1722" s="5">
        <v>57.78</v>
      </c>
      <c r="F1722" s="5">
        <v>57</v>
      </c>
      <c r="G1722" s="18" t="s">
        <v>633</v>
      </c>
      <c r="H1722" s="2">
        <v>-3.3E-3</v>
      </c>
      <c r="I1722" s="16">
        <f t="shared" si="133"/>
        <v>-3.291183093712069E-3</v>
      </c>
      <c r="J1722" s="16">
        <f t="shared" si="134"/>
        <v>0.99670881690628799</v>
      </c>
      <c r="K1722" s="16">
        <f t="shared" si="135"/>
        <v>55.405789473684202</v>
      </c>
      <c r="L1722" s="16">
        <f t="shared" si="136"/>
        <v>55.44551020408165</v>
      </c>
      <c r="M1722" s="25" t="str">
        <f t="shared" si="137"/>
        <v>HOLD</v>
      </c>
    </row>
    <row r="1723" spans="2:13">
      <c r="B1723" s="3">
        <v>44551</v>
      </c>
      <c r="C1723" s="5">
        <v>57.77</v>
      </c>
      <c r="D1723" s="5">
        <v>57.61</v>
      </c>
      <c r="E1723" s="5">
        <v>57.97</v>
      </c>
      <c r="F1723" s="5">
        <v>57.53</v>
      </c>
      <c r="G1723" s="18" t="s">
        <v>225</v>
      </c>
      <c r="H1723" s="2">
        <v>4.0000000000000001E-3</v>
      </c>
      <c r="I1723" s="16">
        <f t="shared" si="133"/>
        <v>3.9972193256865478E-3</v>
      </c>
      <c r="J1723" s="16">
        <f t="shared" si="134"/>
        <v>1.0039972193256865</v>
      </c>
      <c r="K1723" s="16">
        <f t="shared" si="135"/>
        <v>55.514736842105265</v>
      </c>
      <c r="L1723" s="16">
        <f t="shared" si="136"/>
        <v>55.51306122448981</v>
      </c>
      <c r="M1723" s="25" t="str">
        <f t="shared" si="137"/>
        <v>BUY</v>
      </c>
    </row>
    <row r="1724" spans="2:13">
      <c r="B1724" s="3">
        <v>44552</v>
      </c>
      <c r="C1724" s="5">
        <v>58.18</v>
      </c>
      <c r="D1724" s="5">
        <v>57.71</v>
      </c>
      <c r="E1724" s="5">
        <v>58.19</v>
      </c>
      <c r="F1724" s="5">
        <v>57.49</v>
      </c>
      <c r="G1724" s="18" t="s">
        <v>632</v>
      </c>
      <c r="H1724" s="2">
        <v>7.1000000000000004E-3</v>
      </c>
      <c r="I1724" s="16">
        <f t="shared" si="133"/>
        <v>7.0971092262419348E-3</v>
      </c>
      <c r="J1724" s="16">
        <f t="shared" si="134"/>
        <v>1.007097109226242</v>
      </c>
      <c r="K1724" s="16">
        <f t="shared" si="135"/>
        <v>55.614210526315794</v>
      </c>
      <c r="L1724" s="16">
        <f t="shared" si="136"/>
        <v>55.585306122448998</v>
      </c>
      <c r="M1724" s="25" t="str">
        <f t="shared" si="137"/>
        <v>HOLD</v>
      </c>
    </row>
    <row r="1725" spans="2:13">
      <c r="B1725" s="3">
        <v>44553</v>
      </c>
      <c r="C1725" s="5">
        <v>58.22</v>
      </c>
      <c r="D1725" s="5">
        <v>58.52</v>
      </c>
      <c r="E1725" s="5">
        <v>58.61</v>
      </c>
      <c r="F1725" s="5">
        <v>57.94</v>
      </c>
      <c r="G1725" s="18" t="s">
        <v>631</v>
      </c>
      <c r="H1725" s="2">
        <v>6.9999999999999999E-4</v>
      </c>
      <c r="I1725" s="16">
        <f t="shared" si="133"/>
        <v>6.875214850463931E-4</v>
      </c>
      <c r="J1725" s="16">
        <f t="shared" si="134"/>
        <v>1.0006875214850464</v>
      </c>
      <c r="K1725" s="16">
        <f t="shared" si="135"/>
        <v>55.758947368421047</v>
      </c>
      <c r="L1725" s="16">
        <f t="shared" si="136"/>
        <v>55.665714285714301</v>
      </c>
      <c r="M1725" s="25" t="str">
        <f t="shared" si="137"/>
        <v>HOLD</v>
      </c>
    </row>
    <row r="1726" spans="2:13">
      <c r="B1726" s="3">
        <v>44557</v>
      </c>
      <c r="C1726" s="5">
        <v>58.65</v>
      </c>
      <c r="D1726" s="5">
        <v>58</v>
      </c>
      <c r="E1726" s="5">
        <v>58.69</v>
      </c>
      <c r="F1726" s="5">
        <v>58</v>
      </c>
      <c r="G1726" s="18" t="s">
        <v>520</v>
      </c>
      <c r="H1726" s="2">
        <v>7.4000000000000003E-3</v>
      </c>
      <c r="I1726" s="16">
        <f t="shared" si="133"/>
        <v>7.3857780831329389E-3</v>
      </c>
      <c r="J1726" s="16">
        <f t="shared" si="134"/>
        <v>1.007385778083133</v>
      </c>
      <c r="K1726" s="16">
        <f t="shared" si="135"/>
        <v>55.995263157894726</v>
      </c>
      <c r="L1726" s="16">
        <f t="shared" si="136"/>
        <v>55.739387755102051</v>
      </c>
      <c r="M1726" s="25" t="str">
        <f t="shared" si="137"/>
        <v>HOLD</v>
      </c>
    </row>
    <row r="1727" spans="2:13">
      <c r="B1727" s="3">
        <v>44558</v>
      </c>
      <c r="C1727" s="5">
        <v>58.88</v>
      </c>
      <c r="D1727" s="5">
        <v>58.4</v>
      </c>
      <c r="E1727" s="5">
        <v>58.94</v>
      </c>
      <c r="F1727" s="5">
        <v>58.3</v>
      </c>
      <c r="G1727" s="18" t="s">
        <v>261</v>
      </c>
      <c r="H1727" s="2">
        <v>3.8999999999999998E-3</v>
      </c>
      <c r="I1727" s="16">
        <f t="shared" si="133"/>
        <v>3.921568627451048E-3</v>
      </c>
      <c r="J1727" s="16">
        <f t="shared" si="134"/>
        <v>1.003921568627451</v>
      </c>
      <c r="K1727" s="16">
        <f t="shared" si="135"/>
        <v>56.209473684210529</v>
      </c>
      <c r="L1727" s="16">
        <f t="shared" si="136"/>
        <v>55.824489795918382</v>
      </c>
      <c r="M1727" s="25" t="str">
        <f t="shared" si="137"/>
        <v>HOLD</v>
      </c>
    </row>
    <row r="1728" spans="2:13">
      <c r="B1728" s="3">
        <v>44559</v>
      </c>
      <c r="C1728" s="5">
        <v>58.95</v>
      </c>
      <c r="D1728" s="5">
        <v>58.95</v>
      </c>
      <c r="E1728" s="5">
        <v>59.09</v>
      </c>
      <c r="F1728" s="5">
        <v>58.66</v>
      </c>
      <c r="G1728" s="18" t="s">
        <v>630</v>
      </c>
      <c r="H1728" s="2">
        <v>1.1999999999999999E-3</v>
      </c>
      <c r="I1728" s="16">
        <f t="shared" si="133"/>
        <v>1.1888586956521788E-3</v>
      </c>
      <c r="J1728" s="16">
        <f t="shared" si="134"/>
        <v>1.0011888586956521</v>
      </c>
      <c r="K1728" s="16">
        <f t="shared" si="135"/>
        <v>56.547894736842096</v>
      </c>
      <c r="L1728" s="16">
        <f t="shared" si="136"/>
        <v>55.925306122448994</v>
      </c>
      <c r="M1728" s="25" t="str">
        <f t="shared" si="137"/>
        <v>HOLD</v>
      </c>
    </row>
    <row r="1729" spans="2:13">
      <c r="B1729" s="3">
        <v>44560</v>
      </c>
      <c r="C1729" s="5">
        <v>58.78</v>
      </c>
      <c r="D1729" s="5">
        <v>59.06</v>
      </c>
      <c r="E1729" s="5">
        <v>59.23</v>
      </c>
      <c r="F1729" s="5">
        <v>58.76</v>
      </c>
      <c r="G1729" s="18" t="s">
        <v>629</v>
      </c>
      <c r="H1729" s="2">
        <v>-2.8999999999999998E-3</v>
      </c>
      <c r="I1729" s="16">
        <f t="shared" si="133"/>
        <v>-2.8837998303647447E-3</v>
      </c>
      <c r="J1729" s="16">
        <f t="shared" si="134"/>
        <v>0.9971162001696352</v>
      </c>
      <c r="K1729" s="16">
        <f t="shared" si="135"/>
        <v>56.897894736842105</v>
      </c>
      <c r="L1729" s="16">
        <f t="shared" si="136"/>
        <v>56.023265306122454</v>
      </c>
      <c r="M1729" s="25" t="str">
        <f t="shared" si="137"/>
        <v>HOLD</v>
      </c>
    </row>
    <row r="1730" spans="2:13">
      <c r="B1730" s="3">
        <v>44561</v>
      </c>
      <c r="C1730" s="5">
        <v>59.21</v>
      </c>
      <c r="D1730" s="5">
        <v>58.75</v>
      </c>
      <c r="E1730" s="5">
        <v>59.35</v>
      </c>
      <c r="F1730" s="5">
        <v>58.7</v>
      </c>
      <c r="G1730" s="18" t="s">
        <v>362</v>
      </c>
      <c r="H1730" s="2">
        <v>7.3000000000000001E-3</v>
      </c>
      <c r="I1730" s="16">
        <f t="shared" si="133"/>
        <v>7.3154134059203761E-3</v>
      </c>
      <c r="J1730" s="16">
        <f t="shared" si="134"/>
        <v>1.0073154134059203</v>
      </c>
      <c r="K1730" s="16">
        <f t="shared" si="135"/>
        <v>57.198421052631566</v>
      </c>
      <c r="L1730" s="16">
        <f t="shared" si="136"/>
        <v>56.107959183673479</v>
      </c>
      <c r="M1730" s="25" t="str">
        <f t="shared" si="137"/>
        <v>HOLD</v>
      </c>
    </row>
    <row r="1731" spans="2:13">
      <c r="B1731" s="3">
        <v>44564</v>
      </c>
      <c r="C1731" s="5">
        <v>59.3</v>
      </c>
      <c r="D1731" s="5">
        <v>58.82</v>
      </c>
      <c r="E1731" s="5">
        <v>59.31</v>
      </c>
      <c r="F1731" s="5">
        <v>58.38</v>
      </c>
      <c r="G1731" s="18" t="s">
        <v>628</v>
      </c>
      <c r="H1731" s="2">
        <v>1.5E-3</v>
      </c>
      <c r="I1731" s="16">
        <f t="shared" si="133"/>
        <v>1.5200135112311485E-3</v>
      </c>
      <c r="J1731" s="16">
        <f t="shared" si="134"/>
        <v>1.0015200135112312</v>
      </c>
      <c r="K1731" s="16">
        <f t="shared" si="135"/>
        <v>57.496842105263163</v>
      </c>
      <c r="L1731" s="16">
        <f t="shared" si="136"/>
        <v>56.20714285714287</v>
      </c>
      <c r="M1731" s="25" t="str">
        <f t="shared" si="137"/>
        <v>HOLD</v>
      </c>
    </row>
    <row r="1732" spans="2:13">
      <c r="B1732" s="3">
        <v>44565</v>
      </c>
      <c r="C1732" s="5">
        <v>60.29</v>
      </c>
      <c r="D1732" s="5">
        <v>59.73</v>
      </c>
      <c r="E1732" s="5">
        <v>60.53</v>
      </c>
      <c r="F1732" s="5">
        <v>59.59</v>
      </c>
      <c r="G1732" s="18" t="s">
        <v>627</v>
      </c>
      <c r="H1732" s="2">
        <v>1.67E-2</v>
      </c>
      <c r="I1732" s="16">
        <f t="shared" si="133"/>
        <v>1.6694772344013526E-2</v>
      </c>
      <c r="J1732" s="16">
        <f t="shared" si="134"/>
        <v>1.0166947723440136</v>
      </c>
      <c r="K1732" s="16">
        <f t="shared" si="135"/>
        <v>57.727894736842103</v>
      </c>
      <c r="L1732" s="16">
        <f t="shared" si="136"/>
        <v>56.3061224489796</v>
      </c>
      <c r="M1732" s="25" t="str">
        <f t="shared" si="137"/>
        <v>HOLD</v>
      </c>
    </row>
    <row r="1733" spans="2:13">
      <c r="B1733" s="3">
        <v>44566</v>
      </c>
      <c r="C1733" s="5">
        <v>60.79</v>
      </c>
      <c r="D1733" s="5">
        <v>60.09</v>
      </c>
      <c r="E1733" s="5">
        <v>61.2</v>
      </c>
      <c r="F1733" s="5">
        <v>60.05</v>
      </c>
      <c r="G1733" s="18" t="s">
        <v>145</v>
      </c>
      <c r="H1733" s="2">
        <v>8.3000000000000001E-3</v>
      </c>
      <c r="I1733" s="16">
        <f t="shared" si="133"/>
        <v>8.2932492950738099E-3</v>
      </c>
      <c r="J1733" s="16">
        <f t="shared" si="134"/>
        <v>1.0082932492950738</v>
      </c>
      <c r="K1733" s="16">
        <f t="shared" si="135"/>
        <v>57.995263157894726</v>
      </c>
      <c r="L1733" s="16">
        <f t="shared" si="136"/>
        <v>56.429795918367347</v>
      </c>
      <c r="M1733" s="25" t="str">
        <f t="shared" si="137"/>
        <v>HOLD</v>
      </c>
    </row>
    <row r="1734" spans="2:13">
      <c r="B1734" s="3">
        <v>44567</v>
      </c>
      <c r="C1734" s="5">
        <v>60.47</v>
      </c>
      <c r="D1734" s="5">
        <v>60.47</v>
      </c>
      <c r="E1734" s="5">
        <v>61.12</v>
      </c>
      <c r="F1734" s="5">
        <v>60.44</v>
      </c>
      <c r="G1734" s="18" t="s">
        <v>626</v>
      </c>
      <c r="H1734" s="2">
        <v>-5.3E-3</v>
      </c>
      <c r="I1734" s="16">
        <f t="shared" si="133"/>
        <v>-5.2640236881066008E-3</v>
      </c>
      <c r="J1734" s="16">
        <f t="shared" si="134"/>
        <v>0.99473597631189337</v>
      </c>
      <c r="K1734" s="16">
        <f t="shared" si="135"/>
        <v>58.300000000000004</v>
      </c>
      <c r="L1734" s="16">
        <f t="shared" si="136"/>
        <v>56.558775510204072</v>
      </c>
      <c r="M1734" s="25" t="str">
        <f t="shared" si="137"/>
        <v>HOLD</v>
      </c>
    </row>
    <row r="1735" spans="2:13">
      <c r="B1735" s="3">
        <v>44568</v>
      </c>
      <c r="C1735" s="5">
        <v>60.33</v>
      </c>
      <c r="D1735" s="5">
        <v>60.27</v>
      </c>
      <c r="E1735" s="5">
        <v>60.72</v>
      </c>
      <c r="F1735" s="5">
        <v>60.06</v>
      </c>
      <c r="G1735" s="18" t="s">
        <v>232</v>
      </c>
      <c r="H1735" s="2">
        <v>-2.3E-3</v>
      </c>
      <c r="I1735" s="16">
        <f t="shared" si="133"/>
        <v>-2.3151976186538874E-3</v>
      </c>
      <c r="J1735" s="16">
        <f t="shared" si="134"/>
        <v>0.99768480238134616</v>
      </c>
      <c r="K1735" s="16">
        <f t="shared" si="135"/>
        <v>58.595263157894735</v>
      </c>
      <c r="L1735" s="16">
        <f t="shared" si="136"/>
        <v>56.659795918367344</v>
      </c>
      <c r="M1735" s="25" t="str">
        <f t="shared" si="137"/>
        <v>HOLD</v>
      </c>
    </row>
    <row r="1736" spans="2:13">
      <c r="B1736" s="3">
        <v>44571</v>
      </c>
      <c r="C1736" s="5">
        <v>60.43</v>
      </c>
      <c r="D1736" s="5">
        <v>60.55</v>
      </c>
      <c r="E1736" s="5">
        <v>60.82</v>
      </c>
      <c r="F1736" s="5">
        <v>60.18</v>
      </c>
      <c r="G1736" s="18" t="s">
        <v>54</v>
      </c>
      <c r="H1736" s="2">
        <v>1.6999999999999999E-3</v>
      </c>
      <c r="I1736" s="16">
        <f t="shared" si="133"/>
        <v>1.6575501408917855E-3</v>
      </c>
      <c r="J1736" s="16">
        <f t="shared" si="134"/>
        <v>1.0016575501408918</v>
      </c>
      <c r="K1736" s="16">
        <f t="shared" si="135"/>
        <v>58.808421052631573</v>
      </c>
      <c r="L1736" s="16">
        <f t="shared" si="136"/>
        <v>56.7473469387755</v>
      </c>
      <c r="M1736" s="25" t="str">
        <f t="shared" si="137"/>
        <v>HOLD</v>
      </c>
    </row>
    <row r="1737" spans="2:13">
      <c r="B1737" s="3">
        <v>44572</v>
      </c>
      <c r="C1737" s="5">
        <v>60.45</v>
      </c>
      <c r="D1737" s="5">
        <v>60.43</v>
      </c>
      <c r="E1737" s="5">
        <v>60.49</v>
      </c>
      <c r="F1737" s="5">
        <v>59.84</v>
      </c>
      <c r="G1737" s="18" t="s">
        <v>625</v>
      </c>
      <c r="H1737" s="2">
        <v>2.9999999999999997E-4</v>
      </c>
      <c r="I1737" s="16">
        <f t="shared" ref="I1737:I1800" si="138">(C1737-C1736)/C1736</f>
        <v>3.3096144299194321E-4</v>
      </c>
      <c r="J1737" s="16">
        <f t="shared" ref="J1737:J1800" si="139">C1737/C1736</f>
        <v>1.0003309614429921</v>
      </c>
      <c r="K1737" s="16">
        <f t="shared" si="135"/>
        <v>58.948947368421052</v>
      </c>
      <c r="L1737" s="16">
        <f t="shared" si="136"/>
        <v>56.830204081632644</v>
      </c>
      <c r="M1737" s="25" t="str">
        <f t="shared" si="137"/>
        <v>HOLD</v>
      </c>
    </row>
    <row r="1738" spans="2:13">
      <c r="B1738" s="3">
        <v>44573</v>
      </c>
      <c r="C1738" s="5">
        <v>60.54</v>
      </c>
      <c r="D1738" s="5">
        <v>60.53</v>
      </c>
      <c r="E1738" s="5">
        <v>60.69</v>
      </c>
      <c r="F1738" s="5">
        <v>60.19</v>
      </c>
      <c r="G1738" s="18" t="s">
        <v>624</v>
      </c>
      <c r="H1738" s="2">
        <v>1.5E-3</v>
      </c>
      <c r="I1738" s="16">
        <f t="shared" si="138"/>
        <v>1.4888337468982019E-3</v>
      </c>
      <c r="J1738" s="16">
        <f t="shared" si="139"/>
        <v>1.0014888337468981</v>
      </c>
      <c r="K1738" s="16">
        <f t="shared" si="135"/>
        <v>59.088421052631581</v>
      </c>
      <c r="L1738" s="16">
        <f t="shared" si="136"/>
        <v>56.917551020408155</v>
      </c>
      <c r="M1738" s="25" t="str">
        <f t="shared" si="137"/>
        <v>HOLD</v>
      </c>
    </row>
    <row r="1739" spans="2:13">
      <c r="B1739" s="3">
        <v>44574</v>
      </c>
      <c r="C1739" s="5">
        <v>60.9</v>
      </c>
      <c r="D1739" s="5">
        <v>60.54</v>
      </c>
      <c r="E1739" s="5">
        <v>61.04</v>
      </c>
      <c r="F1739" s="5">
        <v>60.38</v>
      </c>
      <c r="G1739" s="18" t="s">
        <v>213</v>
      </c>
      <c r="H1739" s="2">
        <v>5.8999999999999999E-3</v>
      </c>
      <c r="I1739" s="16">
        <f t="shared" si="138"/>
        <v>5.9464816650148565E-3</v>
      </c>
      <c r="J1739" s="16">
        <f t="shared" si="139"/>
        <v>1.0059464816650148</v>
      </c>
      <c r="K1739" s="16">
        <f t="shared" si="135"/>
        <v>59.218947368421048</v>
      </c>
      <c r="L1739" s="16">
        <f t="shared" si="136"/>
        <v>57.008163265306116</v>
      </c>
      <c r="M1739" s="25" t="str">
        <f t="shared" si="137"/>
        <v>HOLD</v>
      </c>
    </row>
    <row r="1740" spans="2:13">
      <c r="B1740" s="3">
        <v>44575</v>
      </c>
      <c r="C1740" s="5">
        <v>61.39</v>
      </c>
      <c r="D1740" s="5">
        <v>60.94</v>
      </c>
      <c r="E1740" s="5">
        <v>61.45</v>
      </c>
      <c r="F1740" s="5">
        <v>60.36</v>
      </c>
      <c r="G1740" s="18" t="s">
        <v>623</v>
      </c>
      <c r="H1740" s="2">
        <v>8.0000000000000002E-3</v>
      </c>
      <c r="I1740" s="16">
        <f t="shared" si="138"/>
        <v>8.0459770114942857E-3</v>
      </c>
      <c r="J1740" s="16">
        <f t="shared" si="139"/>
        <v>1.0080459770114942</v>
      </c>
      <c r="K1740" s="16">
        <f t="shared" si="135"/>
        <v>59.337368421052638</v>
      </c>
      <c r="L1740" s="16">
        <f t="shared" si="136"/>
        <v>57.102244897959181</v>
      </c>
      <c r="M1740" s="25" t="str">
        <f t="shared" si="137"/>
        <v>HOLD</v>
      </c>
    </row>
    <row r="1741" spans="2:13">
      <c r="B1741" s="3">
        <v>44579</v>
      </c>
      <c r="C1741" s="5">
        <v>60.9</v>
      </c>
      <c r="D1741" s="5">
        <v>61.06</v>
      </c>
      <c r="E1741" s="5">
        <v>61.19</v>
      </c>
      <c r="F1741" s="5">
        <v>60.45</v>
      </c>
      <c r="G1741" s="18" t="s">
        <v>574</v>
      </c>
      <c r="H1741" s="2">
        <v>-8.0000000000000002E-3</v>
      </c>
      <c r="I1741" s="16">
        <f t="shared" si="138"/>
        <v>-7.9817559863170212E-3</v>
      </c>
      <c r="J1741" s="16">
        <f t="shared" si="139"/>
        <v>0.99201824401368299</v>
      </c>
      <c r="K1741" s="16">
        <f t="shared" si="135"/>
        <v>59.530000000000008</v>
      </c>
      <c r="L1741" s="16">
        <f t="shared" si="136"/>
        <v>57.199999999999996</v>
      </c>
      <c r="M1741" s="25" t="str">
        <f t="shared" si="137"/>
        <v>HOLD</v>
      </c>
    </row>
    <row r="1742" spans="2:13">
      <c r="B1742" s="3">
        <v>44580</v>
      </c>
      <c r="C1742" s="5">
        <v>61</v>
      </c>
      <c r="D1742" s="5">
        <v>60.66</v>
      </c>
      <c r="E1742" s="5">
        <v>61.18</v>
      </c>
      <c r="F1742" s="5">
        <v>60.55</v>
      </c>
      <c r="G1742" s="18" t="s">
        <v>622</v>
      </c>
      <c r="H1742" s="2">
        <v>1.6000000000000001E-3</v>
      </c>
      <c r="I1742" s="16">
        <f t="shared" si="138"/>
        <v>1.6420361247947688E-3</v>
      </c>
      <c r="J1742" s="16">
        <f t="shared" si="139"/>
        <v>1.0016420361247949</v>
      </c>
      <c r="K1742" s="16">
        <f t="shared" si="135"/>
        <v>59.706842105263163</v>
      </c>
      <c r="L1742" s="16">
        <f t="shared" si="136"/>
        <v>57.282857142857146</v>
      </c>
      <c r="M1742" s="25" t="str">
        <f t="shared" si="137"/>
        <v>HOLD</v>
      </c>
    </row>
    <row r="1743" spans="2:13">
      <c r="B1743" s="3">
        <v>44581</v>
      </c>
      <c r="C1743" s="5">
        <v>60.75</v>
      </c>
      <c r="D1743" s="5">
        <v>61</v>
      </c>
      <c r="E1743" s="5">
        <v>61.44</v>
      </c>
      <c r="F1743" s="5">
        <v>60.72</v>
      </c>
      <c r="G1743" s="18" t="s">
        <v>621</v>
      </c>
      <c r="H1743" s="2">
        <v>-4.1000000000000003E-3</v>
      </c>
      <c r="I1743" s="16">
        <f t="shared" si="138"/>
        <v>-4.0983606557377051E-3</v>
      </c>
      <c r="J1743" s="16">
        <f t="shared" si="139"/>
        <v>0.99590163934426235</v>
      </c>
      <c r="K1743" s="16">
        <f t="shared" si="135"/>
        <v>59.876842105263151</v>
      </c>
      <c r="L1743" s="16">
        <f t="shared" si="136"/>
        <v>57.378163265306114</v>
      </c>
      <c r="M1743" s="25" t="str">
        <f t="shared" si="137"/>
        <v>HOLD</v>
      </c>
    </row>
    <row r="1744" spans="2:13">
      <c r="B1744" s="3">
        <v>44582</v>
      </c>
      <c r="C1744" s="5">
        <v>60.45</v>
      </c>
      <c r="D1744" s="5">
        <v>61.08</v>
      </c>
      <c r="E1744" s="5">
        <v>61.3</v>
      </c>
      <c r="F1744" s="5">
        <v>60.4</v>
      </c>
      <c r="G1744" s="18" t="s">
        <v>620</v>
      </c>
      <c r="H1744" s="2">
        <v>-4.8999999999999998E-3</v>
      </c>
      <c r="I1744" s="16">
        <f t="shared" si="138"/>
        <v>-4.9382716049382247E-3</v>
      </c>
      <c r="J1744" s="16">
        <f t="shared" si="139"/>
        <v>0.9950617283950618</v>
      </c>
      <c r="K1744" s="16">
        <f t="shared" si="135"/>
        <v>60.012105263157899</v>
      </c>
      <c r="L1744" s="16">
        <f t="shared" si="136"/>
        <v>57.465102040816319</v>
      </c>
      <c r="M1744" s="25" t="str">
        <f t="shared" si="137"/>
        <v>HOLD</v>
      </c>
    </row>
    <row r="1745" spans="2:13">
      <c r="B1745" s="3">
        <v>44585</v>
      </c>
      <c r="C1745" s="5">
        <v>59.96</v>
      </c>
      <c r="D1745" s="5">
        <v>59.9</v>
      </c>
      <c r="E1745" s="5">
        <v>60.35</v>
      </c>
      <c r="F1745" s="5">
        <v>58.57</v>
      </c>
      <c r="G1745" s="18" t="s">
        <v>619</v>
      </c>
      <c r="H1745" s="2">
        <v>-8.0999999999999996E-3</v>
      </c>
      <c r="I1745" s="16">
        <f t="shared" si="138"/>
        <v>-8.1058726220016863E-3</v>
      </c>
      <c r="J1745" s="16">
        <f t="shared" si="139"/>
        <v>0.99189412737799831</v>
      </c>
      <c r="K1745" s="16">
        <f t="shared" si="135"/>
        <v>60.129473684210531</v>
      </c>
      <c r="L1745" s="16">
        <f t="shared" si="136"/>
        <v>57.541224489795908</v>
      </c>
      <c r="M1745" s="25" t="str">
        <f t="shared" si="137"/>
        <v>HOLD</v>
      </c>
    </row>
    <row r="1746" spans="2:13">
      <c r="B1746" s="3">
        <v>44586</v>
      </c>
      <c r="C1746" s="5">
        <v>59.82</v>
      </c>
      <c r="D1746" s="5">
        <v>59.36</v>
      </c>
      <c r="E1746" s="5">
        <v>60.05</v>
      </c>
      <c r="F1746" s="5">
        <v>58.69</v>
      </c>
      <c r="G1746" s="18" t="s">
        <v>618</v>
      </c>
      <c r="H1746" s="2">
        <v>-2.3E-3</v>
      </c>
      <c r="I1746" s="16">
        <f t="shared" si="138"/>
        <v>-2.3348899266177545E-3</v>
      </c>
      <c r="J1746" s="16">
        <f t="shared" si="139"/>
        <v>0.99766511007338221</v>
      </c>
      <c r="K1746" s="16">
        <f t="shared" si="135"/>
        <v>60.198421052631581</v>
      </c>
      <c r="L1746" s="16">
        <f t="shared" si="136"/>
        <v>57.606938775510187</v>
      </c>
      <c r="M1746" s="25" t="str">
        <f t="shared" si="137"/>
        <v>HOLD</v>
      </c>
    </row>
    <row r="1747" spans="2:13">
      <c r="B1747" s="3">
        <v>44587</v>
      </c>
      <c r="C1747" s="5">
        <v>59.6</v>
      </c>
      <c r="D1747" s="5">
        <v>59.79</v>
      </c>
      <c r="E1747" s="5">
        <v>60.34</v>
      </c>
      <c r="F1747" s="5">
        <v>59.21</v>
      </c>
      <c r="G1747" s="18" t="s">
        <v>617</v>
      </c>
      <c r="H1747" s="2">
        <v>-3.7000000000000002E-3</v>
      </c>
      <c r="I1747" s="16">
        <f t="shared" si="138"/>
        <v>-3.6776997659645413E-3</v>
      </c>
      <c r="J1747" s="16">
        <f t="shared" si="139"/>
        <v>0.99632230023403545</v>
      </c>
      <c r="K1747" s="16">
        <f t="shared" si="135"/>
        <v>60.247894736842106</v>
      </c>
      <c r="L1747" s="16">
        <f t="shared" si="136"/>
        <v>57.672448979591834</v>
      </c>
      <c r="M1747" s="25" t="str">
        <f t="shared" si="137"/>
        <v>HOLD</v>
      </c>
    </row>
    <row r="1748" spans="2:13">
      <c r="B1748" s="3">
        <v>44588</v>
      </c>
      <c r="C1748" s="5">
        <v>59.65</v>
      </c>
      <c r="D1748" s="5">
        <v>59.88</v>
      </c>
      <c r="E1748" s="5">
        <v>60.92</v>
      </c>
      <c r="F1748" s="5">
        <v>59.5</v>
      </c>
      <c r="G1748" s="18" t="s">
        <v>73</v>
      </c>
      <c r="H1748" s="2">
        <v>8.0000000000000004E-4</v>
      </c>
      <c r="I1748" s="16">
        <f t="shared" si="138"/>
        <v>8.3892617449659657E-4</v>
      </c>
      <c r="J1748" s="16">
        <f t="shared" si="139"/>
        <v>1.0008389261744965</v>
      </c>
      <c r="K1748" s="16">
        <f t="shared" si="135"/>
        <v>60.282105263157888</v>
      </c>
      <c r="L1748" s="16">
        <f t="shared" si="136"/>
        <v>57.733265306122448</v>
      </c>
      <c r="M1748" s="25" t="str">
        <f t="shared" si="137"/>
        <v>HOLD</v>
      </c>
    </row>
    <row r="1749" spans="2:13">
      <c r="B1749" s="3">
        <v>44589</v>
      </c>
      <c r="C1749" s="5">
        <v>60.84</v>
      </c>
      <c r="D1749" s="5">
        <v>59.39</v>
      </c>
      <c r="E1749" s="5">
        <v>60.89</v>
      </c>
      <c r="F1749" s="5">
        <v>58.94</v>
      </c>
      <c r="G1749" s="18" t="s">
        <v>616</v>
      </c>
      <c r="H1749" s="2">
        <v>1.9900000000000001E-2</v>
      </c>
      <c r="I1749" s="16">
        <f t="shared" si="138"/>
        <v>1.9949706621961522E-2</v>
      </c>
      <c r="J1749" s="16">
        <f t="shared" si="139"/>
        <v>1.0199497066219616</v>
      </c>
      <c r="K1749" s="16">
        <f t="shared" si="135"/>
        <v>60.327894736842104</v>
      </c>
      <c r="L1749" s="16">
        <f t="shared" si="136"/>
        <v>57.803265306122455</v>
      </c>
      <c r="M1749" s="25" t="str">
        <f t="shared" si="137"/>
        <v>HOLD</v>
      </c>
    </row>
    <row r="1750" spans="2:13">
      <c r="B1750" s="3">
        <v>44592</v>
      </c>
      <c r="C1750" s="5">
        <v>61.01</v>
      </c>
      <c r="D1750" s="5">
        <v>60.3</v>
      </c>
      <c r="E1750" s="5">
        <v>61.14</v>
      </c>
      <c r="F1750" s="5">
        <v>60.15</v>
      </c>
      <c r="G1750" s="18" t="s">
        <v>615</v>
      </c>
      <c r="H1750" s="2">
        <v>2.8E-3</v>
      </c>
      <c r="I1750" s="16">
        <f t="shared" si="138"/>
        <v>2.794214332675782E-3</v>
      </c>
      <c r="J1750" s="16">
        <f t="shared" si="139"/>
        <v>1.0027942143326758</v>
      </c>
      <c r="K1750" s="16">
        <f t="shared" si="135"/>
        <v>60.41368421052632</v>
      </c>
      <c r="L1750" s="16">
        <f t="shared" si="136"/>
        <v>57.903877551020408</v>
      </c>
      <c r="M1750" s="25" t="str">
        <f t="shared" si="137"/>
        <v>HOLD</v>
      </c>
    </row>
    <row r="1751" spans="2:13">
      <c r="B1751" s="3">
        <v>44593</v>
      </c>
      <c r="C1751" s="5">
        <v>60.56</v>
      </c>
      <c r="D1751" s="5">
        <v>60.91</v>
      </c>
      <c r="E1751" s="5">
        <v>61.14</v>
      </c>
      <c r="F1751" s="5">
        <v>60.16</v>
      </c>
      <c r="G1751" s="18" t="s">
        <v>614</v>
      </c>
      <c r="H1751" s="2">
        <v>-7.4000000000000003E-3</v>
      </c>
      <c r="I1751" s="16">
        <f t="shared" si="138"/>
        <v>-7.3758400262251391E-3</v>
      </c>
      <c r="J1751" s="16">
        <f t="shared" si="139"/>
        <v>0.99262415997377484</v>
      </c>
      <c r="K1751" s="16">
        <f t="shared" si="135"/>
        <v>60.503684210526323</v>
      </c>
      <c r="L1751" s="16">
        <f t="shared" si="136"/>
        <v>58.018163265306129</v>
      </c>
      <c r="M1751" s="25" t="str">
        <f t="shared" si="137"/>
        <v>HOLD</v>
      </c>
    </row>
    <row r="1752" spans="2:13">
      <c r="B1752" s="3">
        <v>44594</v>
      </c>
      <c r="C1752" s="5">
        <v>61.18</v>
      </c>
      <c r="D1752" s="5">
        <v>60.62</v>
      </c>
      <c r="E1752" s="5">
        <v>61.27</v>
      </c>
      <c r="F1752" s="5">
        <v>60.56</v>
      </c>
      <c r="G1752" s="18" t="s">
        <v>613</v>
      </c>
      <c r="H1752" s="2">
        <v>1.0200000000000001E-2</v>
      </c>
      <c r="I1752" s="16">
        <f t="shared" si="138"/>
        <v>1.0237780713342097E-2</v>
      </c>
      <c r="J1752" s="16">
        <f t="shared" si="139"/>
        <v>1.010237780713342</v>
      </c>
      <c r="K1752" s="16">
        <f t="shared" si="135"/>
        <v>60.517894736842102</v>
      </c>
      <c r="L1752" s="16">
        <f t="shared" si="136"/>
        <v>58.128979591836746</v>
      </c>
      <c r="M1752" s="25" t="str">
        <f t="shared" si="137"/>
        <v>HOLD</v>
      </c>
    </row>
    <row r="1753" spans="2:13">
      <c r="B1753" s="3">
        <v>44595</v>
      </c>
      <c r="C1753" s="5">
        <v>61.61</v>
      </c>
      <c r="D1753" s="5">
        <v>60.94</v>
      </c>
      <c r="E1753" s="5">
        <v>61.78</v>
      </c>
      <c r="F1753" s="5">
        <v>60.59</v>
      </c>
      <c r="G1753" s="18" t="s">
        <v>612</v>
      </c>
      <c r="H1753" s="2">
        <v>7.0000000000000001E-3</v>
      </c>
      <c r="I1753" s="16">
        <f t="shared" si="138"/>
        <v>7.0284406668845983E-3</v>
      </c>
      <c r="J1753" s="16">
        <f t="shared" si="139"/>
        <v>1.0070284406668846</v>
      </c>
      <c r="K1753" s="16">
        <f t="shared" si="135"/>
        <v>60.538421052631591</v>
      </c>
      <c r="L1753" s="16">
        <f t="shared" si="136"/>
        <v>58.24551020408164</v>
      </c>
      <c r="M1753" s="25" t="str">
        <f t="shared" si="137"/>
        <v>HOLD</v>
      </c>
    </row>
    <row r="1754" spans="2:13">
      <c r="B1754" s="3">
        <v>44596</v>
      </c>
      <c r="C1754" s="5">
        <v>60.96</v>
      </c>
      <c r="D1754" s="5">
        <v>61.49</v>
      </c>
      <c r="E1754" s="5">
        <v>61.68</v>
      </c>
      <c r="F1754" s="5">
        <v>60.57</v>
      </c>
      <c r="G1754" s="18" t="s">
        <v>611</v>
      </c>
      <c r="H1754" s="2">
        <v>-1.06E-2</v>
      </c>
      <c r="I1754" s="16">
        <f t="shared" si="138"/>
        <v>-1.055023535140397E-2</v>
      </c>
      <c r="J1754" s="16">
        <f t="shared" si="139"/>
        <v>0.98944976464859602</v>
      </c>
      <c r="K1754" s="16">
        <f t="shared" si="135"/>
        <v>60.598421052631586</v>
      </c>
      <c r="L1754" s="16">
        <f t="shared" si="136"/>
        <v>58.362448979591854</v>
      </c>
      <c r="M1754" s="25" t="str">
        <f t="shared" si="137"/>
        <v>HOLD</v>
      </c>
    </row>
    <row r="1755" spans="2:13">
      <c r="B1755" s="3">
        <v>44599</v>
      </c>
      <c r="C1755" s="5">
        <v>61.6</v>
      </c>
      <c r="D1755" s="5">
        <v>61.38</v>
      </c>
      <c r="E1755" s="5">
        <v>61.72</v>
      </c>
      <c r="F1755" s="5">
        <v>60.86</v>
      </c>
      <c r="G1755" s="18" t="s">
        <v>610</v>
      </c>
      <c r="H1755" s="2">
        <v>1.0500000000000001E-2</v>
      </c>
      <c r="I1755" s="16">
        <f t="shared" si="138"/>
        <v>1.0498687664042003E-2</v>
      </c>
      <c r="J1755" s="16">
        <f t="shared" si="139"/>
        <v>1.0104986876640421</v>
      </c>
      <c r="K1755" s="16">
        <f t="shared" ref="K1755:K1818" si="140">AVERAGE(C1736:C1754)</f>
        <v>60.631578947368418</v>
      </c>
      <c r="L1755" s="16">
        <f t="shared" si="136"/>
        <v>58.475306122448991</v>
      </c>
      <c r="M1755" s="25" t="str">
        <f t="shared" si="137"/>
        <v>HOLD</v>
      </c>
    </row>
    <row r="1756" spans="2:13">
      <c r="B1756" s="3">
        <v>44600</v>
      </c>
      <c r="C1756" s="5">
        <v>62</v>
      </c>
      <c r="D1756" s="5">
        <v>61.83</v>
      </c>
      <c r="E1756" s="5">
        <v>62.33</v>
      </c>
      <c r="F1756" s="5">
        <v>61.74</v>
      </c>
      <c r="G1756" s="18" t="s">
        <v>609</v>
      </c>
      <c r="H1756" s="2">
        <v>6.4999999999999997E-3</v>
      </c>
      <c r="I1756" s="16">
        <f t="shared" si="138"/>
        <v>6.4935064935064705E-3</v>
      </c>
      <c r="J1756" s="16">
        <f t="shared" si="139"/>
        <v>1.0064935064935066</v>
      </c>
      <c r="K1756" s="16">
        <f t="shared" si="140"/>
        <v>60.693157894736849</v>
      </c>
      <c r="L1756" s="16">
        <f t="shared" si="136"/>
        <v>58.635918367346946</v>
      </c>
      <c r="M1756" s="25" t="str">
        <f t="shared" si="137"/>
        <v>HOLD</v>
      </c>
    </row>
    <row r="1757" spans="2:13">
      <c r="B1757" s="3">
        <v>44601</v>
      </c>
      <c r="C1757" s="5">
        <v>61.04</v>
      </c>
      <c r="D1757" s="5">
        <v>62.17</v>
      </c>
      <c r="E1757" s="5">
        <v>62.32</v>
      </c>
      <c r="F1757" s="5">
        <v>60.9</v>
      </c>
      <c r="G1757" s="18" t="s">
        <v>608</v>
      </c>
      <c r="H1757" s="2">
        <v>-1.55E-2</v>
      </c>
      <c r="I1757" s="16">
        <f t="shared" si="138"/>
        <v>-1.5483870967741949E-2</v>
      </c>
      <c r="J1757" s="16">
        <f t="shared" si="139"/>
        <v>0.98451612903225805</v>
      </c>
      <c r="K1757" s="16">
        <f t="shared" si="140"/>
        <v>60.774736842105263</v>
      </c>
      <c r="L1757" s="16">
        <f t="shared" si="136"/>
        <v>58.787346938775521</v>
      </c>
      <c r="M1757" s="25" t="str">
        <f t="shared" si="137"/>
        <v>HOLD</v>
      </c>
    </row>
    <row r="1758" spans="2:13">
      <c r="B1758" s="3">
        <v>44602</v>
      </c>
      <c r="C1758" s="5">
        <v>61.38</v>
      </c>
      <c r="D1758" s="5">
        <v>60.36</v>
      </c>
      <c r="E1758" s="5">
        <v>62.3</v>
      </c>
      <c r="F1758" s="5">
        <v>60.2</v>
      </c>
      <c r="G1758" s="18" t="s">
        <v>607</v>
      </c>
      <c r="H1758" s="2">
        <v>5.5999999999999999E-3</v>
      </c>
      <c r="I1758" s="16">
        <f t="shared" si="138"/>
        <v>5.5701179554391127E-3</v>
      </c>
      <c r="J1758" s="16">
        <f t="shared" si="139"/>
        <v>1.005570117955439</v>
      </c>
      <c r="K1758" s="16">
        <f t="shared" si="140"/>
        <v>60.801052631578933</v>
      </c>
      <c r="L1758" s="16">
        <f t="shared" si="136"/>
        <v>58.962653061224501</v>
      </c>
      <c r="M1758" s="25" t="str">
        <f t="shared" si="137"/>
        <v>HOLD</v>
      </c>
    </row>
    <row r="1759" spans="2:13">
      <c r="B1759" s="3">
        <v>44603</v>
      </c>
      <c r="C1759" s="5">
        <v>60.29</v>
      </c>
      <c r="D1759" s="5">
        <v>61.77</v>
      </c>
      <c r="E1759" s="5">
        <v>61.98</v>
      </c>
      <c r="F1759" s="5">
        <v>60.15</v>
      </c>
      <c r="G1759" s="18" t="s">
        <v>606</v>
      </c>
      <c r="H1759" s="2">
        <v>-1.78E-2</v>
      </c>
      <c r="I1759" s="16">
        <f t="shared" si="138"/>
        <v>-1.7758227435646846E-2</v>
      </c>
      <c r="J1759" s="16">
        <f t="shared" si="139"/>
        <v>0.98224177256435319</v>
      </c>
      <c r="K1759" s="16">
        <f t="shared" si="140"/>
        <v>60.826315789473696</v>
      </c>
      <c r="L1759" s="16">
        <f t="shared" si="136"/>
        <v>59.147959183673478</v>
      </c>
      <c r="M1759" s="25" t="str">
        <f t="shared" si="137"/>
        <v>HOLD</v>
      </c>
    </row>
    <row r="1760" spans="2:13">
      <c r="B1760" s="3">
        <v>44606</v>
      </c>
      <c r="C1760" s="5">
        <v>60.68</v>
      </c>
      <c r="D1760" s="5">
        <v>60.16</v>
      </c>
      <c r="E1760" s="5">
        <v>60.79</v>
      </c>
      <c r="F1760" s="5">
        <v>59.28</v>
      </c>
      <c r="G1760" s="18" t="s">
        <v>605</v>
      </c>
      <c r="H1760" s="2">
        <v>6.4999999999999997E-3</v>
      </c>
      <c r="I1760" s="16">
        <f t="shared" si="138"/>
        <v>6.4687344501575816E-3</v>
      </c>
      <c r="J1760" s="16">
        <f t="shared" si="139"/>
        <v>1.0064687344501575</v>
      </c>
      <c r="K1760" s="16">
        <f t="shared" si="140"/>
        <v>60.768421052631588</v>
      </c>
      <c r="L1760" s="16">
        <f t="shared" si="136"/>
        <v>59.295306122448984</v>
      </c>
      <c r="M1760" s="25" t="str">
        <f t="shared" si="137"/>
        <v>HOLD</v>
      </c>
    </row>
    <row r="1761" spans="2:13">
      <c r="B1761" s="3">
        <v>44607</v>
      </c>
      <c r="C1761" s="5">
        <v>60.91</v>
      </c>
      <c r="D1761" s="5">
        <v>60.95</v>
      </c>
      <c r="E1761" s="5">
        <v>61.78</v>
      </c>
      <c r="F1761" s="5">
        <v>60.63</v>
      </c>
      <c r="G1761" s="18" t="s">
        <v>604</v>
      </c>
      <c r="H1761" s="2">
        <v>3.8E-3</v>
      </c>
      <c r="I1761" s="16">
        <f t="shared" si="138"/>
        <v>3.7903757415952023E-3</v>
      </c>
      <c r="J1761" s="16">
        <f t="shared" si="139"/>
        <v>1.0037903757415951</v>
      </c>
      <c r="K1761" s="16">
        <f t="shared" si="140"/>
        <v>60.756842105263161</v>
      </c>
      <c r="L1761" s="16">
        <f t="shared" si="136"/>
        <v>59.441020408163276</v>
      </c>
      <c r="M1761" s="25" t="str">
        <f t="shared" si="137"/>
        <v>HOLD</v>
      </c>
    </row>
    <row r="1762" spans="2:13">
      <c r="B1762" s="3">
        <v>44608</v>
      </c>
      <c r="C1762" s="5">
        <v>60.9</v>
      </c>
      <c r="D1762" s="5">
        <v>60.86</v>
      </c>
      <c r="E1762" s="5">
        <v>61.4</v>
      </c>
      <c r="F1762" s="5">
        <v>60.55</v>
      </c>
      <c r="G1762" s="18" t="s">
        <v>366</v>
      </c>
      <c r="H1762" s="2">
        <v>-2.0000000000000001E-4</v>
      </c>
      <c r="I1762" s="16">
        <f t="shared" si="138"/>
        <v>-1.6417665407975719E-4</v>
      </c>
      <c r="J1762" s="16">
        <f t="shared" si="139"/>
        <v>0.99983582334592025</v>
      </c>
      <c r="K1762" s="16">
        <f t="shared" si="140"/>
        <v>60.752105263157894</v>
      </c>
      <c r="L1762" s="16">
        <f t="shared" si="136"/>
        <v>59.563469387755106</v>
      </c>
      <c r="M1762" s="25" t="str">
        <f t="shared" si="137"/>
        <v>HOLD</v>
      </c>
    </row>
    <row r="1763" spans="2:13">
      <c r="B1763" s="3">
        <v>44609</v>
      </c>
      <c r="C1763" s="5">
        <v>62.12</v>
      </c>
      <c r="D1763" s="5">
        <v>60.55</v>
      </c>
      <c r="E1763" s="5">
        <v>62.27</v>
      </c>
      <c r="F1763" s="5">
        <v>60.41</v>
      </c>
      <c r="G1763" s="18" t="s">
        <v>603</v>
      </c>
      <c r="H1763" s="2">
        <v>0.02</v>
      </c>
      <c r="I1763" s="16">
        <f t="shared" si="138"/>
        <v>2.0032840722495875E-2</v>
      </c>
      <c r="J1763" s="16">
        <f t="shared" si="139"/>
        <v>1.0200328407224959</v>
      </c>
      <c r="K1763" s="16">
        <f t="shared" si="140"/>
        <v>60.760000000000005</v>
      </c>
      <c r="L1763" s="16">
        <f t="shared" si="136"/>
        <v>59.679591836734694</v>
      </c>
      <c r="M1763" s="25" t="str">
        <f t="shared" si="137"/>
        <v>HOLD</v>
      </c>
    </row>
    <row r="1764" spans="2:13">
      <c r="B1764" s="3">
        <v>44610</v>
      </c>
      <c r="C1764" s="5">
        <v>62.54</v>
      </c>
      <c r="D1764" s="5">
        <v>62.12</v>
      </c>
      <c r="E1764" s="5">
        <v>62.82</v>
      </c>
      <c r="F1764" s="5">
        <v>61.99</v>
      </c>
      <c r="G1764" s="18" t="s">
        <v>574</v>
      </c>
      <c r="H1764" s="2">
        <v>6.7999999999999996E-3</v>
      </c>
      <c r="I1764" s="16">
        <f t="shared" si="138"/>
        <v>6.7611075338055654E-3</v>
      </c>
      <c r="J1764" s="16">
        <f t="shared" si="139"/>
        <v>1.0067611075338057</v>
      </c>
      <c r="K1764" s="16">
        <f t="shared" si="140"/>
        <v>60.8478947368421</v>
      </c>
      <c r="L1764" s="16">
        <f t="shared" si="136"/>
        <v>59.824897959183673</v>
      </c>
      <c r="M1764" s="25" t="str">
        <f t="shared" si="137"/>
        <v>HOLD</v>
      </c>
    </row>
    <row r="1765" spans="2:13">
      <c r="B1765" s="3">
        <v>44614</v>
      </c>
      <c r="C1765" s="5">
        <v>62.28</v>
      </c>
      <c r="D1765" s="5">
        <v>62.43</v>
      </c>
      <c r="E1765" s="5">
        <v>62.64</v>
      </c>
      <c r="F1765" s="5">
        <v>61.72</v>
      </c>
      <c r="G1765" s="18" t="s">
        <v>602</v>
      </c>
      <c r="H1765" s="2">
        <v>-4.1999999999999997E-3</v>
      </c>
      <c r="I1765" s="16">
        <f t="shared" si="138"/>
        <v>-4.1573393028461469E-3</v>
      </c>
      <c r="J1765" s="16">
        <f t="shared" si="139"/>
        <v>0.99584266069715388</v>
      </c>
      <c r="K1765" s="16">
        <f t="shared" si="140"/>
        <v>60.983684210526306</v>
      </c>
      <c r="L1765" s="16">
        <f t="shared" si="136"/>
        <v>59.981632653061226</v>
      </c>
      <c r="M1765" s="25" t="str">
        <f t="shared" si="137"/>
        <v>HOLD</v>
      </c>
    </row>
    <row r="1766" spans="2:13">
      <c r="B1766" s="3">
        <v>44615</v>
      </c>
      <c r="C1766" s="5">
        <v>61.59</v>
      </c>
      <c r="D1766" s="5">
        <v>62.24</v>
      </c>
      <c r="E1766" s="5">
        <v>62.33</v>
      </c>
      <c r="F1766" s="5">
        <v>61.34</v>
      </c>
      <c r="G1766" s="18" t="s">
        <v>601</v>
      </c>
      <c r="H1766" s="2">
        <v>-1.11E-2</v>
      </c>
      <c r="I1766" s="16">
        <f t="shared" si="138"/>
        <v>-1.107899807321769E-2</v>
      </c>
      <c r="J1766" s="16">
        <f t="shared" si="139"/>
        <v>0.98892100192678234</v>
      </c>
      <c r="K1766" s="16">
        <f t="shared" si="140"/>
        <v>61.113157894736823</v>
      </c>
      <c r="L1766" s="16">
        <f t="shared" si="136"/>
        <v>60.104081632653056</v>
      </c>
      <c r="M1766" s="25" t="str">
        <f t="shared" si="137"/>
        <v>HOLD</v>
      </c>
    </row>
    <row r="1767" spans="2:13">
      <c r="B1767" s="3">
        <v>44616</v>
      </c>
      <c r="C1767" s="5">
        <v>60.51</v>
      </c>
      <c r="D1767" s="5">
        <v>59.97</v>
      </c>
      <c r="E1767" s="5">
        <v>60.62</v>
      </c>
      <c r="F1767" s="5">
        <v>59.22</v>
      </c>
      <c r="G1767" s="18" t="s">
        <v>600</v>
      </c>
      <c r="H1767" s="2">
        <v>-1.7500000000000002E-2</v>
      </c>
      <c r="I1767" s="16">
        <f t="shared" si="138"/>
        <v>-1.7535314174379046E-2</v>
      </c>
      <c r="J1767" s="16">
        <f t="shared" si="139"/>
        <v>0.98246468582562096</v>
      </c>
      <c r="K1767" s="16">
        <f t="shared" si="140"/>
        <v>61.217894736842098</v>
      </c>
      <c r="L1767" s="16">
        <f t="shared" si="136"/>
        <v>60.182244897959187</v>
      </c>
      <c r="M1767" s="25" t="str">
        <f t="shared" si="137"/>
        <v>HOLD</v>
      </c>
    </row>
    <row r="1768" spans="2:13">
      <c r="B1768" s="3">
        <v>44617</v>
      </c>
      <c r="C1768" s="5">
        <v>62.85</v>
      </c>
      <c r="D1768" s="5">
        <v>60.94</v>
      </c>
      <c r="E1768" s="5">
        <v>62.9</v>
      </c>
      <c r="F1768" s="5">
        <v>60.92</v>
      </c>
      <c r="G1768" s="18" t="s">
        <v>599</v>
      </c>
      <c r="H1768" s="2">
        <v>3.8699999999999998E-2</v>
      </c>
      <c r="I1768" s="16">
        <f t="shared" si="138"/>
        <v>3.8671294000991632E-2</v>
      </c>
      <c r="J1768" s="16">
        <f t="shared" si="139"/>
        <v>1.0386712940009917</v>
      </c>
      <c r="K1768" s="16">
        <f t="shared" si="140"/>
        <v>61.263157894736828</v>
      </c>
      <c r="L1768" s="16">
        <f t="shared" si="136"/>
        <v>60.237551020408169</v>
      </c>
      <c r="M1768" s="25" t="str">
        <f t="shared" si="137"/>
        <v>HOLD</v>
      </c>
    </row>
    <row r="1769" spans="2:13">
      <c r="B1769" s="3">
        <v>44620</v>
      </c>
      <c r="C1769" s="5">
        <v>62.24</v>
      </c>
      <c r="D1769" s="5">
        <v>61.65</v>
      </c>
      <c r="E1769" s="5">
        <v>62.34</v>
      </c>
      <c r="F1769" s="5">
        <v>61.41</v>
      </c>
      <c r="G1769" s="18" t="s">
        <v>598</v>
      </c>
      <c r="H1769" s="2">
        <v>-9.7000000000000003E-3</v>
      </c>
      <c r="I1769" s="16">
        <f t="shared" si="138"/>
        <v>-9.7056483691328466E-3</v>
      </c>
      <c r="J1769" s="16">
        <f t="shared" si="139"/>
        <v>0.9902943516308671</v>
      </c>
      <c r="K1769" s="16">
        <f t="shared" si="140"/>
        <v>61.36894736842104</v>
      </c>
      <c r="L1769" s="16">
        <f t="shared" si="136"/>
        <v>60.335306122448976</v>
      </c>
      <c r="M1769" s="25" t="str">
        <f t="shared" si="137"/>
        <v>HOLD</v>
      </c>
    </row>
    <row r="1770" spans="2:13">
      <c r="B1770" s="3">
        <v>44621</v>
      </c>
      <c r="C1770" s="5">
        <v>61.97</v>
      </c>
      <c r="D1770" s="5">
        <v>62.14</v>
      </c>
      <c r="E1770" s="5">
        <v>62.75</v>
      </c>
      <c r="F1770" s="5">
        <v>61.51</v>
      </c>
      <c r="G1770" s="18" t="s">
        <v>245</v>
      </c>
      <c r="H1770" s="2">
        <v>-4.3E-3</v>
      </c>
      <c r="I1770" s="16">
        <f t="shared" si="138"/>
        <v>-4.3380462724936231E-3</v>
      </c>
      <c r="J1770" s="16">
        <f t="shared" si="139"/>
        <v>0.99566195372750632</v>
      </c>
      <c r="K1770" s="16">
        <f t="shared" si="140"/>
        <v>61.433684210526302</v>
      </c>
      <c r="L1770" s="16">
        <f t="shared" si="136"/>
        <v>60.408571428571427</v>
      </c>
      <c r="M1770" s="25" t="str">
        <f t="shared" si="137"/>
        <v>HOLD</v>
      </c>
    </row>
    <row r="1771" spans="2:13">
      <c r="B1771" s="3">
        <v>44622</v>
      </c>
      <c r="C1771" s="5">
        <v>62.43</v>
      </c>
      <c r="D1771" s="5">
        <v>62.23</v>
      </c>
      <c r="E1771" s="5">
        <v>62.88</v>
      </c>
      <c r="F1771" s="5">
        <v>61.78</v>
      </c>
      <c r="G1771" s="18" t="s">
        <v>597</v>
      </c>
      <c r="H1771" s="2">
        <v>7.4000000000000003E-3</v>
      </c>
      <c r="I1771" s="16">
        <f t="shared" si="138"/>
        <v>7.422946587058268E-3</v>
      </c>
      <c r="J1771" s="16">
        <f t="shared" si="139"/>
        <v>1.0074229465870583</v>
      </c>
      <c r="K1771" s="16">
        <f t="shared" si="140"/>
        <v>61.507894736842097</v>
      </c>
      <c r="L1771" s="16">
        <f t="shared" si="136"/>
        <v>60.49510204081632</v>
      </c>
      <c r="M1771" s="25" t="str">
        <f t="shared" si="137"/>
        <v>HOLD</v>
      </c>
    </row>
    <row r="1772" spans="2:13">
      <c r="B1772" s="3">
        <v>44623</v>
      </c>
      <c r="C1772" s="5">
        <v>62.47</v>
      </c>
      <c r="D1772" s="5">
        <v>62.61</v>
      </c>
      <c r="E1772" s="5">
        <v>63.02</v>
      </c>
      <c r="F1772" s="5">
        <v>62.28</v>
      </c>
      <c r="G1772" s="18" t="s">
        <v>596</v>
      </c>
      <c r="H1772" s="2">
        <v>5.9999999999999995E-4</v>
      </c>
      <c r="I1772" s="16">
        <f t="shared" si="138"/>
        <v>6.4071760371614843E-4</v>
      </c>
      <c r="J1772" s="16">
        <f t="shared" si="139"/>
        <v>1.0006407176037162</v>
      </c>
      <c r="K1772" s="16">
        <f t="shared" si="140"/>
        <v>61.573684210526324</v>
      </c>
      <c r="L1772" s="16">
        <f t="shared" si="136"/>
        <v>60.594897959183669</v>
      </c>
      <c r="M1772" s="25" t="str">
        <f t="shared" si="137"/>
        <v>HOLD</v>
      </c>
    </row>
    <row r="1773" spans="2:13">
      <c r="B1773" s="3">
        <v>44624</v>
      </c>
      <c r="C1773" s="5">
        <v>62.57</v>
      </c>
      <c r="D1773" s="5">
        <v>61.46</v>
      </c>
      <c r="E1773" s="5">
        <v>62.59</v>
      </c>
      <c r="F1773" s="5">
        <v>61.2</v>
      </c>
      <c r="G1773" s="18" t="s">
        <v>595</v>
      </c>
      <c r="H1773" s="2">
        <v>1.6000000000000001E-3</v>
      </c>
      <c r="I1773" s="16">
        <f t="shared" si="138"/>
        <v>1.600768368817055E-3</v>
      </c>
      <c r="J1773" s="16">
        <f t="shared" si="139"/>
        <v>1.0016007683688171</v>
      </c>
      <c r="K1773" s="16">
        <f t="shared" si="140"/>
        <v>61.618947368421054</v>
      </c>
      <c r="L1773" s="16">
        <f t="shared" si="136"/>
        <v>60.690816326530594</v>
      </c>
      <c r="M1773" s="25" t="str">
        <f t="shared" si="137"/>
        <v>HOLD</v>
      </c>
    </row>
    <row r="1774" spans="2:13">
      <c r="B1774" s="3">
        <v>44627</v>
      </c>
      <c r="C1774" s="5">
        <v>61.08</v>
      </c>
      <c r="D1774" s="5">
        <v>62.01</v>
      </c>
      <c r="E1774" s="5">
        <v>62.07</v>
      </c>
      <c r="F1774" s="5">
        <v>60.72</v>
      </c>
      <c r="G1774" s="18" t="s">
        <v>594</v>
      </c>
      <c r="H1774" s="2">
        <v>-2.3800000000000002E-2</v>
      </c>
      <c r="I1774" s="16">
        <f t="shared" si="138"/>
        <v>-2.3813329071440018E-2</v>
      </c>
      <c r="J1774" s="16">
        <f t="shared" si="139"/>
        <v>0.97618667092855993</v>
      </c>
      <c r="K1774" s="16">
        <f t="shared" si="140"/>
        <v>61.703684210526312</v>
      </c>
      <c r="L1774" s="16">
        <f t="shared" si="136"/>
        <v>60.780408163265292</v>
      </c>
      <c r="M1774" s="25" t="str">
        <f t="shared" si="137"/>
        <v>HOLD</v>
      </c>
    </row>
    <row r="1775" spans="2:13">
      <c r="B1775" s="3">
        <v>44628</v>
      </c>
      <c r="C1775" s="5">
        <v>58.66</v>
      </c>
      <c r="D1775" s="5">
        <v>61.45</v>
      </c>
      <c r="E1775" s="5">
        <v>61.54</v>
      </c>
      <c r="F1775" s="5">
        <v>58.59</v>
      </c>
      <c r="G1775" s="18" t="s">
        <v>593</v>
      </c>
      <c r="H1775" s="2">
        <v>-3.9600000000000003E-2</v>
      </c>
      <c r="I1775" s="16">
        <f t="shared" si="138"/>
        <v>-3.9620170268500357E-2</v>
      </c>
      <c r="J1775" s="16">
        <f t="shared" si="139"/>
        <v>0.9603798297314996</v>
      </c>
      <c r="K1775" s="16">
        <f t="shared" si="140"/>
        <v>61.676315789473669</v>
      </c>
      <c r="L1775" s="16">
        <f t="shared" si="136"/>
        <v>60.838775510204073</v>
      </c>
      <c r="M1775" s="25" t="str">
        <f t="shared" si="137"/>
        <v>HOLD</v>
      </c>
    </row>
    <row r="1776" spans="2:13">
      <c r="B1776" s="3">
        <v>44629</v>
      </c>
      <c r="C1776" s="5">
        <v>58.96</v>
      </c>
      <c r="D1776" s="5">
        <v>59.82</v>
      </c>
      <c r="E1776" s="5">
        <v>59.84</v>
      </c>
      <c r="F1776" s="5">
        <v>58.66</v>
      </c>
      <c r="G1776" s="18" t="s">
        <v>592</v>
      </c>
      <c r="H1776" s="2">
        <v>5.1000000000000004E-3</v>
      </c>
      <c r="I1776" s="16">
        <f t="shared" si="138"/>
        <v>5.1142175247187909E-3</v>
      </c>
      <c r="J1776" s="16">
        <f t="shared" si="139"/>
        <v>1.0051142175247187</v>
      </c>
      <c r="K1776" s="16">
        <f t="shared" si="140"/>
        <v>61.500526315789472</v>
      </c>
      <c r="L1776" s="16">
        <f t="shared" si="136"/>
        <v>60.838979591836718</v>
      </c>
      <c r="M1776" s="25" t="str">
        <f t="shared" si="137"/>
        <v>HOLD</v>
      </c>
    </row>
    <row r="1777" spans="2:13">
      <c r="B1777" s="3">
        <v>44630</v>
      </c>
      <c r="C1777" s="5">
        <v>57.88</v>
      </c>
      <c r="D1777" s="5">
        <v>58.48</v>
      </c>
      <c r="E1777" s="5">
        <v>58.66</v>
      </c>
      <c r="F1777" s="5">
        <v>57.5</v>
      </c>
      <c r="G1777" s="18" t="s">
        <v>591</v>
      </c>
      <c r="H1777" s="2">
        <v>-1.83E-2</v>
      </c>
      <c r="I1777" s="16">
        <f t="shared" si="138"/>
        <v>-1.831750339213023E-2</v>
      </c>
      <c r="J1777" s="16">
        <f t="shared" si="139"/>
        <v>0.98168249660786977</v>
      </c>
      <c r="K1777" s="16">
        <f t="shared" si="140"/>
        <v>61.391052631578965</v>
      </c>
      <c r="L1777" s="16">
        <f t="shared" si="136"/>
        <v>60.840612244897954</v>
      </c>
      <c r="M1777" s="25" t="str">
        <f t="shared" si="137"/>
        <v>HOLD</v>
      </c>
    </row>
    <row r="1778" spans="2:13">
      <c r="B1778" s="3">
        <v>44631</v>
      </c>
      <c r="C1778" s="5">
        <v>57.92</v>
      </c>
      <c r="D1778" s="5">
        <v>57.96</v>
      </c>
      <c r="E1778" s="5">
        <v>58.85</v>
      </c>
      <c r="F1778" s="5">
        <v>57.86</v>
      </c>
      <c r="G1778" s="18" t="s">
        <v>590</v>
      </c>
      <c r="H1778" s="2">
        <v>6.9999999999999999E-4</v>
      </c>
      <c r="I1778" s="16">
        <f t="shared" si="138"/>
        <v>6.9108500345541025E-4</v>
      </c>
      <c r="J1778" s="16">
        <f t="shared" si="139"/>
        <v>1.0006910850034554</v>
      </c>
      <c r="K1778" s="16">
        <f t="shared" si="140"/>
        <v>61.206842105263171</v>
      </c>
      <c r="L1778" s="16">
        <f t="shared" si="136"/>
        <v>60.81877551020407</v>
      </c>
      <c r="M1778" s="25" t="str">
        <f t="shared" si="137"/>
        <v>HOLD</v>
      </c>
    </row>
    <row r="1779" spans="2:13">
      <c r="B1779" s="3">
        <v>44634</v>
      </c>
      <c r="C1779" s="5">
        <v>58.54</v>
      </c>
      <c r="D1779" s="5">
        <v>57.97</v>
      </c>
      <c r="E1779" s="5">
        <v>59.03</v>
      </c>
      <c r="F1779" s="5">
        <v>57.97</v>
      </c>
      <c r="G1779" s="18" t="s">
        <v>42</v>
      </c>
      <c r="H1779" s="2">
        <v>1.0699999999999999E-2</v>
      </c>
      <c r="I1779" s="16">
        <f t="shared" si="138"/>
        <v>1.0704419889502718E-2</v>
      </c>
      <c r="J1779" s="16">
        <f t="shared" si="139"/>
        <v>1.0107044198895028</v>
      </c>
      <c r="K1779" s="16">
        <f t="shared" si="140"/>
        <v>61.082105263157914</v>
      </c>
      <c r="L1779" s="16">
        <f t="shared" si="136"/>
        <v>60.801224489795914</v>
      </c>
      <c r="M1779" s="25" t="str">
        <f t="shared" si="137"/>
        <v>HOLD</v>
      </c>
    </row>
    <row r="1780" spans="2:13">
      <c r="B1780" s="3">
        <v>44635</v>
      </c>
      <c r="C1780" s="5">
        <v>59.62</v>
      </c>
      <c r="D1780" s="5">
        <v>59.08</v>
      </c>
      <c r="E1780" s="5">
        <v>59.89</v>
      </c>
      <c r="F1780" s="5">
        <v>58.98</v>
      </c>
      <c r="G1780" s="18" t="s">
        <v>589</v>
      </c>
      <c r="H1780" s="2">
        <v>1.84E-2</v>
      </c>
      <c r="I1780" s="16">
        <f t="shared" si="138"/>
        <v>1.844892381277756E-2</v>
      </c>
      <c r="J1780" s="16">
        <f t="shared" si="139"/>
        <v>1.0184489238127776</v>
      </c>
      <c r="K1780" s="16">
        <f t="shared" si="140"/>
        <v>60.969473684210541</v>
      </c>
      <c r="L1780" s="16">
        <f t="shared" si="136"/>
        <v>60.787551020408166</v>
      </c>
      <c r="M1780" s="25" t="str">
        <f t="shared" si="137"/>
        <v>HOLD</v>
      </c>
    </row>
    <row r="1781" spans="2:13">
      <c r="B1781" s="3">
        <v>44636</v>
      </c>
      <c r="C1781" s="5">
        <v>59.46</v>
      </c>
      <c r="D1781" s="5">
        <v>59.78</v>
      </c>
      <c r="E1781" s="5">
        <v>59.94</v>
      </c>
      <c r="F1781" s="5">
        <v>58.6</v>
      </c>
      <c r="G1781" s="18" t="s">
        <v>588</v>
      </c>
      <c r="H1781" s="2">
        <v>-2.7000000000000001E-3</v>
      </c>
      <c r="I1781" s="16">
        <f t="shared" si="138"/>
        <v>-2.6836632002683091E-3</v>
      </c>
      <c r="J1781" s="16">
        <f t="shared" si="139"/>
        <v>0.99731633679973164</v>
      </c>
      <c r="K1781" s="16">
        <f t="shared" si="140"/>
        <v>60.901578947368414</v>
      </c>
      <c r="L1781" s="16">
        <f t="shared" si="136"/>
        <v>60.794081632653061</v>
      </c>
      <c r="M1781" s="25" t="str">
        <f t="shared" si="137"/>
        <v>HOLD</v>
      </c>
    </row>
    <row r="1782" spans="2:13">
      <c r="B1782" s="3">
        <v>44637</v>
      </c>
      <c r="C1782" s="5">
        <v>60.09</v>
      </c>
      <c r="D1782" s="5">
        <v>59.46</v>
      </c>
      <c r="E1782" s="5">
        <v>60.13</v>
      </c>
      <c r="F1782" s="5">
        <v>59.23</v>
      </c>
      <c r="G1782" s="18" t="s">
        <v>383</v>
      </c>
      <c r="H1782" s="2">
        <v>1.06E-2</v>
      </c>
      <c r="I1782" s="16">
        <f t="shared" si="138"/>
        <v>1.0595358224016188E-2</v>
      </c>
      <c r="J1782" s="16">
        <f t="shared" si="139"/>
        <v>1.0105953582240161</v>
      </c>
      <c r="K1782" s="16">
        <f t="shared" si="140"/>
        <v>60.82578947368421</v>
      </c>
      <c r="L1782" s="16">
        <f t="shared" si="136"/>
        <v>60.777142857142849</v>
      </c>
      <c r="M1782" s="25" t="str">
        <f t="shared" si="137"/>
        <v>HOLD</v>
      </c>
    </row>
    <row r="1783" spans="2:13">
      <c r="B1783" s="3">
        <v>44638</v>
      </c>
      <c r="C1783" s="5">
        <v>60.1</v>
      </c>
      <c r="D1783" s="5">
        <v>60.3</v>
      </c>
      <c r="E1783" s="5">
        <v>60.3</v>
      </c>
      <c r="F1783" s="5">
        <v>59.7</v>
      </c>
      <c r="G1783" s="18" t="s">
        <v>587</v>
      </c>
      <c r="H1783" s="2">
        <v>2.0000000000000001E-4</v>
      </c>
      <c r="I1783" s="16">
        <f t="shared" si="138"/>
        <v>1.6641704110497603E-4</v>
      </c>
      <c r="J1783" s="16">
        <f t="shared" si="139"/>
        <v>1.0001664170411049</v>
      </c>
      <c r="K1783" s="16">
        <f t="shared" si="140"/>
        <v>60.718947368421048</v>
      </c>
      <c r="L1783" s="16">
        <f t="shared" si="136"/>
        <v>60.762857142857136</v>
      </c>
      <c r="M1783" s="25" t="str">
        <f t="shared" si="137"/>
        <v>SELL</v>
      </c>
    </row>
    <row r="1784" spans="2:13">
      <c r="B1784" s="3">
        <v>44641</v>
      </c>
      <c r="C1784" s="5">
        <v>60.58</v>
      </c>
      <c r="D1784" s="5">
        <v>60.5</v>
      </c>
      <c r="E1784" s="5">
        <v>61.1</v>
      </c>
      <c r="F1784" s="5">
        <v>60.24</v>
      </c>
      <c r="G1784" s="18" t="s">
        <v>586</v>
      </c>
      <c r="H1784" s="2">
        <v>8.0000000000000002E-3</v>
      </c>
      <c r="I1784" s="16">
        <f t="shared" si="138"/>
        <v>7.9866888519134257E-3</v>
      </c>
      <c r="J1784" s="16">
        <f t="shared" si="139"/>
        <v>1.0079866888519133</v>
      </c>
      <c r="K1784" s="16">
        <f t="shared" si="140"/>
        <v>60.590526315789461</v>
      </c>
      <c r="L1784" s="16">
        <f t="shared" si="136"/>
        <v>60.755306122448964</v>
      </c>
      <c r="M1784" s="25" t="str">
        <f t="shared" si="137"/>
        <v>HOLD</v>
      </c>
    </row>
    <row r="1785" spans="2:13">
      <c r="B1785" s="3">
        <v>44642</v>
      </c>
      <c r="C1785" s="5">
        <v>60.8</v>
      </c>
      <c r="D1785" s="5">
        <v>60.93</v>
      </c>
      <c r="E1785" s="5">
        <v>60.95</v>
      </c>
      <c r="F1785" s="5">
        <v>60.05</v>
      </c>
      <c r="G1785" s="18" t="s">
        <v>585</v>
      </c>
      <c r="H1785" s="2">
        <v>3.5999999999999999E-3</v>
      </c>
      <c r="I1785" s="16">
        <f t="shared" si="138"/>
        <v>3.6315615714757159E-3</v>
      </c>
      <c r="J1785" s="16">
        <f t="shared" si="139"/>
        <v>1.0036315615714757</v>
      </c>
      <c r="K1785" s="16">
        <f t="shared" si="140"/>
        <v>60.501052631578936</v>
      </c>
      <c r="L1785" s="16">
        <f t="shared" ref="L1785:L1848" si="141">AVERAGE(C1736:C1784)</f>
        <v>60.760408163265289</v>
      </c>
      <c r="M1785" s="25" t="str">
        <f t="shared" ref="M1785:M1848" si="142">IF(AND(K1785&gt;L1785,K1784&lt;=L1784),"BUY",IF(AND(K1785&lt;L1785,K1784&gt;=L1784),"SELL","HOLD"))</f>
        <v>HOLD</v>
      </c>
    </row>
    <row r="1786" spans="2:13">
      <c r="B1786" s="3">
        <v>44643</v>
      </c>
      <c r="C1786" s="5">
        <v>60.4</v>
      </c>
      <c r="D1786" s="5">
        <v>60.75</v>
      </c>
      <c r="E1786" s="5">
        <v>60.98</v>
      </c>
      <c r="F1786" s="5">
        <v>59.99</v>
      </c>
      <c r="G1786" s="18" t="s">
        <v>405</v>
      </c>
      <c r="H1786" s="2">
        <v>-6.6E-3</v>
      </c>
      <c r="I1786" s="16">
        <f t="shared" si="138"/>
        <v>-6.5789473684210297E-3</v>
      </c>
      <c r="J1786" s="16">
        <f t="shared" si="139"/>
        <v>0.99342105263157898</v>
      </c>
      <c r="K1786" s="16">
        <f t="shared" si="140"/>
        <v>60.459473684210515</v>
      </c>
      <c r="L1786" s="16">
        <f t="shared" si="141"/>
        <v>60.767959183673462</v>
      </c>
      <c r="M1786" s="25" t="str">
        <f t="shared" si="142"/>
        <v>HOLD</v>
      </c>
    </row>
    <row r="1787" spans="2:13">
      <c r="B1787" s="3">
        <v>44644</v>
      </c>
      <c r="C1787" s="5">
        <v>60.98</v>
      </c>
      <c r="D1787" s="5">
        <v>60.64</v>
      </c>
      <c r="E1787" s="5">
        <v>61.02</v>
      </c>
      <c r="F1787" s="5">
        <v>60.45</v>
      </c>
      <c r="G1787" s="18" t="s">
        <v>534</v>
      </c>
      <c r="H1787" s="2">
        <v>9.5999999999999992E-3</v>
      </c>
      <c r="I1787" s="16">
        <f t="shared" si="138"/>
        <v>9.6026490066224886E-3</v>
      </c>
      <c r="J1787" s="16">
        <f t="shared" si="139"/>
        <v>1.0096026490066226</v>
      </c>
      <c r="K1787" s="16">
        <f t="shared" si="140"/>
        <v>60.453684210526319</v>
      </c>
      <c r="L1787" s="16">
        <f t="shared" si="141"/>
        <v>60.766938775510205</v>
      </c>
      <c r="M1787" s="25" t="str">
        <f t="shared" si="142"/>
        <v>HOLD</v>
      </c>
    </row>
    <row r="1788" spans="2:13">
      <c r="B1788" s="3">
        <v>44645</v>
      </c>
      <c r="C1788" s="5">
        <v>61.53</v>
      </c>
      <c r="D1788" s="5">
        <v>61.12</v>
      </c>
      <c r="E1788" s="5">
        <v>61.61</v>
      </c>
      <c r="F1788" s="5">
        <v>61.05</v>
      </c>
      <c r="G1788" s="18" t="s">
        <v>264</v>
      </c>
      <c r="H1788" s="2">
        <v>8.9999999999999993E-3</v>
      </c>
      <c r="I1788" s="16">
        <f t="shared" si="138"/>
        <v>9.0193506067563836E-3</v>
      </c>
      <c r="J1788" s="16">
        <f t="shared" si="139"/>
        <v>1.0090193506067564</v>
      </c>
      <c r="K1788" s="16">
        <f t="shared" si="140"/>
        <v>60.355263157894747</v>
      </c>
      <c r="L1788" s="16">
        <f t="shared" si="141"/>
        <v>60.775918367346939</v>
      </c>
      <c r="M1788" s="25" t="str">
        <f t="shared" si="142"/>
        <v>HOLD</v>
      </c>
    </row>
    <row r="1789" spans="2:13">
      <c r="B1789" s="3">
        <v>44648</v>
      </c>
      <c r="C1789" s="5">
        <v>61.92</v>
      </c>
      <c r="D1789" s="5">
        <v>61.53</v>
      </c>
      <c r="E1789" s="5">
        <v>61.94</v>
      </c>
      <c r="F1789" s="5">
        <v>61.21</v>
      </c>
      <c r="G1789" s="18" t="s">
        <v>584</v>
      </c>
      <c r="H1789" s="2">
        <v>6.3E-3</v>
      </c>
      <c r="I1789" s="16">
        <f t="shared" si="138"/>
        <v>6.3383715260848456E-3</v>
      </c>
      <c r="J1789" s="16">
        <f t="shared" si="139"/>
        <v>1.0063383715260847</v>
      </c>
      <c r="K1789" s="16">
        <f t="shared" si="140"/>
        <v>60.317894736842106</v>
      </c>
      <c r="L1789" s="16">
        <f t="shared" si="141"/>
        <v>60.78877551020409</v>
      </c>
      <c r="M1789" s="25" t="str">
        <f t="shared" si="142"/>
        <v>HOLD</v>
      </c>
    </row>
    <row r="1790" spans="2:13">
      <c r="B1790" s="3">
        <v>44649</v>
      </c>
      <c r="C1790" s="5">
        <v>62.16</v>
      </c>
      <c r="D1790" s="5">
        <v>62.21</v>
      </c>
      <c r="E1790" s="5">
        <v>62.53</v>
      </c>
      <c r="F1790" s="5">
        <v>61.74</v>
      </c>
      <c r="G1790" s="18" t="s">
        <v>80</v>
      </c>
      <c r="H1790" s="2">
        <v>3.8999999999999998E-3</v>
      </c>
      <c r="I1790" s="16">
        <f t="shared" si="138"/>
        <v>3.8759689922479791E-3</v>
      </c>
      <c r="J1790" s="16">
        <f t="shared" si="139"/>
        <v>1.0038759689922481</v>
      </c>
      <c r="K1790" s="16">
        <f t="shared" si="140"/>
        <v>60.315263157894748</v>
      </c>
      <c r="L1790" s="16">
        <f t="shared" si="141"/>
        <v>60.799591836734706</v>
      </c>
      <c r="M1790" s="25" t="str">
        <f t="shared" si="142"/>
        <v>HOLD</v>
      </c>
    </row>
    <row r="1791" spans="2:13">
      <c r="B1791" s="3">
        <v>44650</v>
      </c>
      <c r="C1791" s="5">
        <v>62.21</v>
      </c>
      <c r="D1791" s="5">
        <v>62.01</v>
      </c>
      <c r="E1791" s="5">
        <v>62.21</v>
      </c>
      <c r="F1791" s="5">
        <v>61.55</v>
      </c>
      <c r="G1791" s="18" t="s">
        <v>114</v>
      </c>
      <c r="H1791" s="2">
        <v>8.0000000000000004E-4</v>
      </c>
      <c r="I1791" s="16">
        <f t="shared" si="138"/>
        <v>8.0437580437587295E-4</v>
      </c>
      <c r="J1791" s="16">
        <f t="shared" si="139"/>
        <v>1.0008043758043759</v>
      </c>
      <c r="K1791" s="16">
        <f t="shared" si="140"/>
        <v>60.301052631578962</v>
      </c>
      <c r="L1791" s="16">
        <f t="shared" si="141"/>
        <v>60.825306122448993</v>
      </c>
      <c r="M1791" s="25" t="str">
        <f t="shared" si="142"/>
        <v>HOLD</v>
      </c>
    </row>
    <row r="1792" spans="2:13">
      <c r="B1792" s="3">
        <v>44651</v>
      </c>
      <c r="C1792" s="5">
        <v>62</v>
      </c>
      <c r="D1792" s="5">
        <v>62.22</v>
      </c>
      <c r="E1792" s="5">
        <v>62.64</v>
      </c>
      <c r="F1792" s="5">
        <v>62</v>
      </c>
      <c r="G1792" s="18" t="s">
        <v>384</v>
      </c>
      <c r="H1792" s="2">
        <v>-3.3999999999999998E-3</v>
      </c>
      <c r="I1792" s="16">
        <f t="shared" si="138"/>
        <v>-3.3756630766757891E-3</v>
      </c>
      <c r="J1792" s="16">
        <f t="shared" si="139"/>
        <v>0.99662433692332419</v>
      </c>
      <c r="K1792" s="16">
        <f t="shared" si="140"/>
        <v>60.287368421052633</v>
      </c>
      <c r="L1792" s="16">
        <f t="shared" si="141"/>
        <v>60.85</v>
      </c>
      <c r="M1792" s="25" t="str">
        <f t="shared" si="142"/>
        <v>HOLD</v>
      </c>
    </row>
    <row r="1793" spans="2:13">
      <c r="B1793" s="3">
        <v>44652</v>
      </c>
      <c r="C1793" s="5">
        <v>62.87</v>
      </c>
      <c r="D1793" s="5">
        <v>62.33</v>
      </c>
      <c r="E1793" s="5">
        <v>62.95</v>
      </c>
      <c r="F1793" s="5">
        <v>62.09</v>
      </c>
      <c r="G1793" s="18" t="s">
        <v>330</v>
      </c>
      <c r="H1793" s="2">
        <v>1.4E-2</v>
      </c>
      <c r="I1793" s="16">
        <f t="shared" si="138"/>
        <v>1.4032258064516087E-2</v>
      </c>
      <c r="J1793" s="16">
        <f t="shared" si="139"/>
        <v>1.014032258064516</v>
      </c>
      <c r="K1793" s="16">
        <f t="shared" si="140"/>
        <v>60.257368421052625</v>
      </c>
      <c r="L1793" s="16">
        <f t="shared" si="141"/>
        <v>60.875510204081635</v>
      </c>
      <c r="M1793" s="25" t="str">
        <f t="shared" si="142"/>
        <v>HOLD</v>
      </c>
    </row>
    <row r="1794" spans="2:13">
      <c r="B1794" s="3">
        <v>44655</v>
      </c>
      <c r="C1794" s="5">
        <v>62.54</v>
      </c>
      <c r="D1794" s="5">
        <v>62.6</v>
      </c>
      <c r="E1794" s="5">
        <v>62.78</v>
      </c>
      <c r="F1794" s="5">
        <v>61.72</v>
      </c>
      <c r="G1794" s="18" t="s">
        <v>583</v>
      </c>
      <c r="H1794" s="2">
        <v>-5.1999999999999998E-3</v>
      </c>
      <c r="I1794" s="16">
        <f t="shared" si="138"/>
        <v>-5.2489263559726152E-3</v>
      </c>
      <c r="J1794" s="16">
        <f t="shared" si="139"/>
        <v>0.99475107364402737</v>
      </c>
      <c r="K1794" s="16">
        <f t="shared" si="140"/>
        <v>60.351578947368409</v>
      </c>
      <c r="L1794" s="16">
        <f t="shared" si="141"/>
        <v>60.924897959183674</v>
      </c>
      <c r="M1794" s="25" t="str">
        <f t="shared" si="142"/>
        <v>HOLD</v>
      </c>
    </row>
    <row r="1795" spans="2:13">
      <c r="B1795" s="3">
        <v>44656</v>
      </c>
      <c r="C1795" s="5">
        <v>62.47</v>
      </c>
      <c r="D1795" s="5">
        <v>62.4</v>
      </c>
      <c r="E1795" s="5">
        <v>63.23</v>
      </c>
      <c r="F1795" s="5">
        <v>62.37</v>
      </c>
      <c r="G1795" s="18" t="s">
        <v>582</v>
      </c>
      <c r="H1795" s="2">
        <v>-1.1000000000000001E-3</v>
      </c>
      <c r="I1795" s="16">
        <f t="shared" si="138"/>
        <v>-1.119283658458591E-3</v>
      </c>
      <c r="J1795" s="16">
        <f t="shared" si="139"/>
        <v>0.99888071634154141</v>
      </c>
      <c r="K1795" s="16">
        <f t="shared" si="140"/>
        <v>60.555789473684193</v>
      </c>
      <c r="L1795" s="16">
        <f t="shared" si="141"/>
        <v>60.977551020408164</v>
      </c>
      <c r="M1795" s="25" t="str">
        <f t="shared" si="142"/>
        <v>HOLD</v>
      </c>
    </row>
    <row r="1796" spans="2:13">
      <c r="B1796" s="3">
        <v>44657</v>
      </c>
      <c r="C1796" s="5">
        <v>63.1</v>
      </c>
      <c r="D1796" s="5">
        <v>62.77</v>
      </c>
      <c r="E1796" s="5">
        <v>63.26</v>
      </c>
      <c r="F1796" s="5">
        <v>62.3</v>
      </c>
      <c r="G1796" s="18" t="s">
        <v>581</v>
      </c>
      <c r="H1796" s="2">
        <v>1.01E-2</v>
      </c>
      <c r="I1796" s="16">
        <f t="shared" si="138"/>
        <v>1.0084840723547343E-2</v>
      </c>
      <c r="J1796" s="16">
        <f t="shared" si="139"/>
        <v>1.0100848407235474</v>
      </c>
      <c r="K1796" s="16">
        <f t="shared" si="140"/>
        <v>60.740526315789474</v>
      </c>
      <c r="L1796" s="16">
        <f t="shared" si="141"/>
        <v>61.031632653061216</v>
      </c>
      <c r="M1796" s="25" t="str">
        <f t="shared" si="142"/>
        <v>HOLD</v>
      </c>
    </row>
    <row r="1797" spans="2:13">
      <c r="B1797" s="3">
        <v>44658</v>
      </c>
      <c r="C1797" s="5">
        <v>63.44</v>
      </c>
      <c r="D1797" s="5">
        <v>63.13</v>
      </c>
      <c r="E1797" s="5">
        <v>63.67</v>
      </c>
      <c r="F1797" s="5">
        <v>62.71</v>
      </c>
      <c r="G1797" s="18" t="s">
        <v>301</v>
      </c>
      <c r="H1797" s="2">
        <v>5.4000000000000003E-3</v>
      </c>
      <c r="I1797" s="16">
        <f t="shared" si="138"/>
        <v>5.3882725832012091E-3</v>
      </c>
      <c r="J1797" s="16">
        <f t="shared" si="139"/>
        <v>1.0053882725832013</v>
      </c>
      <c r="K1797" s="16">
        <f t="shared" si="140"/>
        <v>61.015263157894736</v>
      </c>
      <c r="L1797" s="16">
        <f t="shared" si="141"/>
        <v>61.103061224489792</v>
      </c>
      <c r="M1797" s="25" t="str">
        <f t="shared" si="142"/>
        <v>HOLD</v>
      </c>
    </row>
    <row r="1798" spans="2:13">
      <c r="B1798" s="3">
        <v>44659</v>
      </c>
      <c r="C1798" s="5">
        <v>63.83</v>
      </c>
      <c r="D1798" s="5">
        <v>63.48</v>
      </c>
      <c r="E1798" s="5">
        <v>64.040000000000006</v>
      </c>
      <c r="F1798" s="5">
        <v>63.16</v>
      </c>
      <c r="G1798" s="18" t="s">
        <v>295</v>
      </c>
      <c r="H1798" s="2">
        <v>6.1000000000000004E-3</v>
      </c>
      <c r="I1798" s="16">
        <f t="shared" si="138"/>
        <v>6.1475409836065668E-3</v>
      </c>
      <c r="J1798" s="16">
        <f t="shared" si="139"/>
        <v>1.0061475409836065</v>
      </c>
      <c r="K1798" s="16">
        <f t="shared" si="140"/>
        <v>61.305789473684193</v>
      </c>
      <c r="L1798" s="16">
        <f t="shared" si="141"/>
        <v>61.180408163265298</v>
      </c>
      <c r="M1798" s="25" t="str">
        <f t="shared" si="142"/>
        <v>BUY</v>
      </c>
    </row>
    <row r="1799" spans="2:13">
      <c r="B1799" s="3">
        <v>44662</v>
      </c>
      <c r="C1799" s="5">
        <v>63.81</v>
      </c>
      <c r="D1799" s="5">
        <v>63.91</v>
      </c>
      <c r="E1799" s="5">
        <v>64.3</v>
      </c>
      <c r="F1799" s="5">
        <v>63.63</v>
      </c>
      <c r="G1799" s="18" t="s">
        <v>580</v>
      </c>
      <c r="H1799" s="2">
        <v>-2.9999999999999997E-4</v>
      </c>
      <c r="I1799" s="16">
        <f t="shared" si="138"/>
        <v>-3.1333228889230801E-4</v>
      </c>
      <c r="J1799" s="16">
        <f t="shared" si="139"/>
        <v>0.9996866677111077</v>
      </c>
      <c r="K1799" s="16">
        <f t="shared" si="140"/>
        <v>61.584210526315786</v>
      </c>
      <c r="L1799" s="16">
        <f t="shared" si="141"/>
        <v>61.241428571428571</v>
      </c>
      <c r="M1799" s="25" t="str">
        <f t="shared" si="142"/>
        <v>HOLD</v>
      </c>
    </row>
    <row r="1800" spans="2:13">
      <c r="B1800" s="3">
        <v>44663</v>
      </c>
      <c r="C1800" s="5">
        <v>64.56</v>
      </c>
      <c r="D1800" s="5">
        <v>64.38</v>
      </c>
      <c r="E1800" s="5">
        <v>64.81</v>
      </c>
      <c r="F1800" s="5">
        <v>63.89</v>
      </c>
      <c r="G1800" s="18" t="s">
        <v>579</v>
      </c>
      <c r="H1800" s="2">
        <v>1.18E-2</v>
      </c>
      <c r="I1800" s="16">
        <f t="shared" si="138"/>
        <v>1.1753643629525152E-2</v>
      </c>
      <c r="J1800" s="16">
        <f t="shared" si="139"/>
        <v>1.0117536436295251</v>
      </c>
      <c r="K1800" s="16">
        <f t="shared" si="140"/>
        <v>61.804736842105264</v>
      </c>
      <c r="L1800" s="16">
        <f t="shared" si="141"/>
        <v>61.298571428571421</v>
      </c>
      <c r="M1800" s="25" t="str">
        <f t="shared" si="142"/>
        <v>HOLD</v>
      </c>
    </row>
    <row r="1801" spans="2:13">
      <c r="B1801" s="3">
        <v>44664</v>
      </c>
      <c r="C1801" s="5">
        <v>64.73</v>
      </c>
      <c r="D1801" s="5">
        <v>64.44</v>
      </c>
      <c r="E1801" s="5">
        <v>64.87</v>
      </c>
      <c r="F1801" s="5">
        <v>64.23</v>
      </c>
      <c r="G1801" s="18" t="s">
        <v>444</v>
      </c>
      <c r="H1801" s="2">
        <v>2.5999999999999999E-3</v>
      </c>
      <c r="I1801" s="16">
        <f t="shared" ref="I1801:I1864" si="143">(C1801-C1800)/C1800</f>
        <v>2.6332094175960611E-3</v>
      </c>
      <c r="J1801" s="16">
        <f t="shared" ref="J1801:J1864" si="144">C1801/C1800</f>
        <v>1.002633209417596</v>
      </c>
      <c r="K1801" s="16">
        <f t="shared" si="140"/>
        <v>62.073157894736838</v>
      </c>
      <c r="L1801" s="16">
        <f t="shared" si="141"/>
        <v>61.380204081632648</v>
      </c>
      <c r="M1801" s="25" t="str">
        <f t="shared" si="142"/>
        <v>HOLD</v>
      </c>
    </row>
    <row r="1802" spans="2:13">
      <c r="B1802" s="3">
        <v>44665</v>
      </c>
      <c r="C1802" s="5">
        <v>65.02</v>
      </c>
      <c r="D1802" s="5">
        <v>64.959999999999994</v>
      </c>
      <c r="E1802" s="5">
        <v>65.569999999999993</v>
      </c>
      <c r="F1802" s="5">
        <v>64.819999999999993</v>
      </c>
      <c r="G1802" s="18" t="s">
        <v>578</v>
      </c>
      <c r="H1802" s="2">
        <v>4.4999999999999997E-3</v>
      </c>
      <c r="I1802" s="16">
        <f t="shared" si="143"/>
        <v>4.4801483083576708E-3</v>
      </c>
      <c r="J1802" s="16">
        <f t="shared" si="144"/>
        <v>1.0044801483083576</v>
      </c>
      <c r="K1802" s="16">
        <f t="shared" si="140"/>
        <v>62.317368421052642</v>
      </c>
      <c r="L1802" s="16">
        <f t="shared" si="141"/>
        <v>61.452653061224474</v>
      </c>
      <c r="M1802" s="25" t="str">
        <f t="shared" si="142"/>
        <v>HOLD</v>
      </c>
    </row>
    <row r="1803" spans="2:13">
      <c r="B1803" s="3">
        <v>44669</v>
      </c>
      <c r="C1803" s="5">
        <v>64.44</v>
      </c>
      <c r="D1803" s="5">
        <v>64.77</v>
      </c>
      <c r="E1803" s="5">
        <v>65.180000000000007</v>
      </c>
      <c r="F1803" s="5">
        <v>64.180000000000007</v>
      </c>
      <c r="G1803" s="18" t="s">
        <v>297</v>
      </c>
      <c r="H1803" s="2">
        <v>-8.8999999999999999E-3</v>
      </c>
      <c r="I1803" s="16">
        <f t="shared" si="143"/>
        <v>-8.9203322054752128E-3</v>
      </c>
      <c r="J1803" s="16">
        <f t="shared" si="144"/>
        <v>0.99107966779452483</v>
      </c>
      <c r="K1803" s="16">
        <f t="shared" si="140"/>
        <v>62.576315789473689</v>
      </c>
      <c r="L1803" s="16">
        <f t="shared" si="141"/>
        <v>61.522244897959169</v>
      </c>
      <c r="M1803" s="25" t="str">
        <f t="shared" si="142"/>
        <v>HOLD</v>
      </c>
    </row>
    <row r="1804" spans="2:13">
      <c r="B1804" s="3">
        <v>44670</v>
      </c>
      <c r="C1804" s="5">
        <v>65.069999999999993</v>
      </c>
      <c r="D1804" s="5">
        <v>64.5</v>
      </c>
      <c r="E1804" s="5">
        <v>65.25</v>
      </c>
      <c r="F1804" s="5">
        <v>64.44</v>
      </c>
      <c r="G1804" s="18" t="s">
        <v>577</v>
      </c>
      <c r="H1804" s="2">
        <v>9.7999999999999997E-3</v>
      </c>
      <c r="I1804" s="16">
        <f t="shared" si="143"/>
        <v>9.776536312849091E-3</v>
      </c>
      <c r="J1804" s="16">
        <f t="shared" si="144"/>
        <v>1.009776536312849</v>
      </c>
      <c r="K1804" s="16">
        <f t="shared" si="140"/>
        <v>62.779473684210522</v>
      </c>
      <c r="L1804" s="16">
        <f t="shared" si="141"/>
        <v>61.593265306122433</v>
      </c>
      <c r="M1804" s="25" t="str">
        <f t="shared" si="142"/>
        <v>HOLD</v>
      </c>
    </row>
    <row r="1805" spans="2:13">
      <c r="B1805" s="3">
        <v>44671</v>
      </c>
      <c r="C1805" s="5">
        <v>65.959999999999994</v>
      </c>
      <c r="D1805" s="5">
        <v>65.44</v>
      </c>
      <c r="E1805" s="5">
        <v>66.239999999999995</v>
      </c>
      <c r="F1805" s="5">
        <v>65.400000000000006</v>
      </c>
      <c r="G1805" s="18" t="s">
        <v>268</v>
      </c>
      <c r="H1805" s="2">
        <v>1.37E-2</v>
      </c>
      <c r="I1805" s="16">
        <f t="shared" si="143"/>
        <v>1.3677577992930701E-2</v>
      </c>
      <c r="J1805" s="16">
        <f t="shared" si="144"/>
        <v>1.0136775779929308</v>
      </c>
      <c r="K1805" s="16">
        <f t="shared" si="140"/>
        <v>63.004210526315795</v>
      </c>
      <c r="L1805" s="16">
        <f t="shared" si="141"/>
        <v>61.664081632653044</v>
      </c>
      <c r="M1805" s="25" t="str">
        <f t="shared" si="142"/>
        <v>HOLD</v>
      </c>
    </row>
    <row r="1806" spans="2:13">
      <c r="B1806" s="3">
        <v>44672</v>
      </c>
      <c r="C1806" s="5">
        <v>66.209999999999994</v>
      </c>
      <c r="D1806" s="5">
        <v>65.98</v>
      </c>
      <c r="E1806" s="5">
        <v>67</v>
      </c>
      <c r="F1806" s="5">
        <v>65.72</v>
      </c>
      <c r="G1806" s="18" t="s">
        <v>576</v>
      </c>
      <c r="H1806" s="2">
        <v>3.8E-3</v>
      </c>
      <c r="I1806" s="16">
        <f t="shared" si="143"/>
        <v>3.7901758641600974E-3</v>
      </c>
      <c r="J1806" s="16">
        <f t="shared" si="144"/>
        <v>1.0037901758641601</v>
      </c>
      <c r="K1806" s="16">
        <f t="shared" si="140"/>
        <v>63.29684210526316</v>
      </c>
      <c r="L1806" s="16">
        <f t="shared" si="141"/>
        <v>61.744897959183668</v>
      </c>
      <c r="M1806" s="25" t="str">
        <f t="shared" si="142"/>
        <v>HOLD</v>
      </c>
    </row>
    <row r="1807" spans="2:13">
      <c r="B1807" s="3">
        <v>44673</v>
      </c>
      <c r="C1807" s="5">
        <v>65.25</v>
      </c>
      <c r="D1807" s="5">
        <v>66.08</v>
      </c>
      <c r="E1807" s="5">
        <v>66.34</v>
      </c>
      <c r="F1807" s="5">
        <v>65.180000000000007</v>
      </c>
      <c r="G1807" s="18" t="s">
        <v>256</v>
      </c>
      <c r="H1807" s="2">
        <v>-1.4500000000000001E-2</v>
      </c>
      <c r="I1807" s="16">
        <f t="shared" si="143"/>
        <v>-1.4499320344358765E-2</v>
      </c>
      <c r="J1807" s="16">
        <f t="shared" si="144"/>
        <v>0.98550067965564125</v>
      </c>
      <c r="K1807" s="16">
        <f t="shared" si="140"/>
        <v>63.572105263157901</v>
      </c>
      <c r="L1807" s="16">
        <f t="shared" si="141"/>
        <v>61.850408163265307</v>
      </c>
      <c r="M1807" s="25" t="str">
        <f t="shared" si="142"/>
        <v>HOLD</v>
      </c>
    </row>
    <row r="1808" spans="2:13">
      <c r="B1808" s="3">
        <v>44676</v>
      </c>
      <c r="C1808" s="5">
        <v>65.94</v>
      </c>
      <c r="D1808" s="5">
        <v>67</v>
      </c>
      <c r="E1808" s="5">
        <v>67.2</v>
      </c>
      <c r="F1808" s="5">
        <v>64.78</v>
      </c>
      <c r="G1808" s="18" t="s">
        <v>575</v>
      </c>
      <c r="H1808" s="2">
        <v>1.06E-2</v>
      </c>
      <c r="I1808" s="16">
        <f t="shared" si="143"/>
        <v>1.0574712643678126E-2</v>
      </c>
      <c r="J1808" s="16">
        <f t="shared" si="144"/>
        <v>1.0105747126436782</v>
      </c>
      <c r="K1808" s="16">
        <f t="shared" si="140"/>
        <v>63.767894736842116</v>
      </c>
      <c r="L1808" s="16">
        <f t="shared" si="141"/>
        <v>61.929387755102042</v>
      </c>
      <c r="M1808" s="25" t="str">
        <f t="shared" si="142"/>
        <v>HOLD</v>
      </c>
    </row>
    <row r="1809" spans="2:13">
      <c r="B1809" s="3">
        <v>44677</v>
      </c>
      <c r="C1809" s="5">
        <v>65.05</v>
      </c>
      <c r="D1809" s="5">
        <v>65.52</v>
      </c>
      <c r="E1809" s="5">
        <v>66.37</v>
      </c>
      <c r="F1809" s="5">
        <v>65.040000000000006</v>
      </c>
      <c r="G1809" s="18" t="s">
        <v>574</v>
      </c>
      <c r="H1809" s="2">
        <v>-1.35E-2</v>
      </c>
      <c r="I1809" s="16">
        <f t="shared" si="143"/>
        <v>-1.3497118592660003E-2</v>
      </c>
      <c r="J1809" s="16">
        <f t="shared" si="144"/>
        <v>0.98650288140733999</v>
      </c>
      <c r="K1809" s="16">
        <f t="shared" si="140"/>
        <v>63.979473684210532</v>
      </c>
      <c r="L1809" s="16">
        <f t="shared" si="141"/>
        <v>62.044693877551019</v>
      </c>
      <c r="M1809" s="25" t="str">
        <f t="shared" si="142"/>
        <v>HOLD</v>
      </c>
    </row>
    <row r="1810" spans="2:13">
      <c r="B1810" s="3">
        <v>44678</v>
      </c>
      <c r="C1810" s="5">
        <v>65.56</v>
      </c>
      <c r="D1810" s="5">
        <v>65</v>
      </c>
      <c r="E1810" s="5">
        <v>66.28</v>
      </c>
      <c r="F1810" s="5">
        <v>65</v>
      </c>
      <c r="G1810" s="18" t="s">
        <v>573</v>
      </c>
      <c r="H1810" s="2">
        <v>7.7999999999999996E-3</v>
      </c>
      <c r="I1810" s="16">
        <f t="shared" si="143"/>
        <v>7.8401229823213698E-3</v>
      </c>
      <c r="J1810" s="16">
        <f t="shared" si="144"/>
        <v>1.0078401229823213</v>
      </c>
      <c r="K1810" s="16">
        <f t="shared" si="140"/>
        <v>64.131578947368425</v>
      </c>
      <c r="L1810" s="16">
        <f t="shared" si="141"/>
        <v>62.133877551020419</v>
      </c>
      <c r="M1810" s="25" t="str">
        <f t="shared" si="142"/>
        <v>HOLD</v>
      </c>
    </row>
    <row r="1811" spans="2:13">
      <c r="B1811" s="3">
        <v>44679</v>
      </c>
      <c r="C1811" s="5">
        <v>66.19</v>
      </c>
      <c r="D1811" s="5">
        <v>64.66</v>
      </c>
      <c r="E1811" s="5">
        <v>66.28</v>
      </c>
      <c r="F1811" s="5">
        <v>64.5</v>
      </c>
      <c r="G1811" s="18" t="s">
        <v>572</v>
      </c>
      <c r="H1811" s="2">
        <v>9.5999999999999992E-3</v>
      </c>
      <c r="I1811" s="16">
        <f t="shared" si="143"/>
        <v>9.6095179987796733E-3</v>
      </c>
      <c r="J1811" s="16">
        <f t="shared" si="144"/>
        <v>1.0096095179987796</v>
      </c>
      <c r="K1811" s="16">
        <f t="shared" si="140"/>
        <v>64.307894736842101</v>
      </c>
      <c r="L1811" s="16">
        <f t="shared" si="141"/>
        <v>62.22877551020408</v>
      </c>
      <c r="M1811" s="25" t="str">
        <f t="shared" si="142"/>
        <v>HOLD</v>
      </c>
    </row>
    <row r="1812" spans="2:13">
      <c r="B1812" s="3">
        <v>44680</v>
      </c>
      <c r="C1812" s="5">
        <v>64.61</v>
      </c>
      <c r="D1812" s="5">
        <v>65.87</v>
      </c>
      <c r="E1812" s="5">
        <v>66.03</v>
      </c>
      <c r="F1812" s="5">
        <v>64.489999999999995</v>
      </c>
      <c r="G1812" s="18" t="s">
        <v>571</v>
      </c>
      <c r="H1812" s="2">
        <v>-2.3900000000000001E-2</v>
      </c>
      <c r="I1812" s="16">
        <f t="shared" si="143"/>
        <v>-2.3870675328599461E-2</v>
      </c>
      <c r="J1812" s="16">
        <f t="shared" si="144"/>
        <v>0.97612932467140057</v>
      </c>
      <c r="K1812" s="16">
        <f t="shared" si="140"/>
        <v>64.528421052631572</v>
      </c>
      <c r="L1812" s="16">
        <f t="shared" si="141"/>
        <v>62.33673469387756</v>
      </c>
      <c r="M1812" s="25" t="str">
        <f t="shared" si="142"/>
        <v>HOLD</v>
      </c>
    </row>
    <row r="1813" spans="2:13">
      <c r="B1813" s="3">
        <v>44683</v>
      </c>
      <c r="C1813" s="5">
        <v>63.44</v>
      </c>
      <c r="D1813" s="5">
        <v>65.28</v>
      </c>
      <c r="E1813" s="5">
        <v>65.31</v>
      </c>
      <c r="F1813" s="5">
        <v>62.58</v>
      </c>
      <c r="G1813" s="18" t="s">
        <v>570</v>
      </c>
      <c r="H1813" s="2">
        <v>-1.8100000000000002E-2</v>
      </c>
      <c r="I1813" s="16">
        <f t="shared" si="143"/>
        <v>-1.8108651911468838E-2</v>
      </c>
      <c r="J1813" s="16">
        <f t="shared" si="144"/>
        <v>0.98189134808853118</v>
      </c>
      <c r="K1813" s="16">
        <f t="shared" si="140"/>
        <v>64.62</v>
      </c>
      <c r="L1813" s="16">
        <f t="shared" si="141"/>
        <v>62.387551020408168</v>
      </c>
      <c r="M1813" s="25" t="str">
        <f t="shared" si="142"/>
        <v>HOLD</v>
      </c>
    </row>
    <row r="1814" spans="2:13">
      <c r="B1814" s="3">
        <v>44684</v>
      </c>
      <c r="C1814" s="5">
        <v>63.08</v>
      </c>
      <c r="D1814" s="5">
        <v>63.72</v>
      </c>
      <c r="E1814" s="5">
        <v>63.94</v>
      </c>
      <c r="F1814" s="5">
        <v>62.67</v>
      </c>
      <c r="G1814" s="18" t="s">
        <v>569</v>
      </c>
      <c r="H1814" s="2">
        <v>-5.7000000000000002E-3</v>
      </c>
      <c r="I1814" s="16">
        <f t="shared" si="143"/>
        <v>-5.6746532156368131E-3</v>
      </c>
      <c r="J1814" s="16">
        <f t="shared" si="144"/>
        <v>0.99432534678436324</v>
      </c>
      <c r="K1814" s="16">
        <f t="shared" si="140"/>
        <v>64.667368421052629</v>
      </c>
      <c r="L1814" s="16">
        <f t="shared" si="141"/>
        <v>62.405918367346942</v>
      </c>
      <c r="M1814" s="25" t="str">
        <f t="shared" si="142"/>
        <v>HOLD</v>
      </c>
    </row>
    <row r="1815" spans="2:13">
      <c r="B1815" s="3">
        <v>44685</v>
      </c>
      <c r="C1815" s="5">
        <v>65.03</v>
      </c>
      <c r="D1815" s="5">
        <v>63</v>
      </c>
      <c r="E1815" s="5">
        <v>65.12</v>
      </c>
      <c r="F1815" s="5">
        <v>62.94</v>
      </c>
      <c r="G1815" s="18" t="s">
        <v>568</v>
      </c>
      <c r="H1815" s="2">
        <v>3.09E-2</v>
      </c>
      <c r="I1815" s="16">
        <f t="shared" si="143"/>
        <v>3.0913126188966439E-2</v>
      </c>
      <c r="J1815" s="16">
        <f t="shared" si="144"/>
        <v>1.0309131261889664</v>
      </c>
      <c r="K1815" s="16">
        <f t="shared" si="140"/>
        <v>64.699473684210531</v>
      </c>
      <c r="L1815" s="16">
        <f t="shared" si="141"/>
        <v>62.422244897959196</v>
      </c>
      <c r="M1815" s="25" t="str">
        <f t="shared" si="142"/>
        <v>HOLD</v>
      </c>
    </row>
    <row r="1816" spans="2:13">
      <c r="B1816" s="3">
        <v>44686</v>
      </c>
      <c r="C1816" s="5">
        <v>64.510000000000005</v>
      </c>
      <c r="D1816" s="5">
        <v>64.69</v>
      </c>
      <c r="E1816" s="5">
        <v>65.03</v>
      </c>
      <c r="F1816" s="5">
        <v>64.010000000000005</v>
      </c>
      <c r="G1816" s="18" t="s">
        <v>567</v>
      </c>
      <c r="H1816" s="2">
        <v>-8.0000000000000002E-3</v>
      </c>
      <c r="I1816" s="16">
        <f t="shared" si="143"/>
        <v>-7.9963093956634777E-3</v>
      </c>
      <c r="J1816" s="16">
        <f t="shared" si="144"/>
        <v>0.99200369060433657</v>
      </c>
      <c r="K1816" s="16">
        <f t="shared" si="140"/>
        <v>64.801052631578941</v>
      </c>
      <c r="L1816" s="16">
        <f t="shared" si="141"/>
        <v>62.492448979591849</v>
      </c>
      <c r="M1816" s="25" t="str">
        <f t="shared" si="142"/>
        <v>HOLD</v>
      </c>
    </row>
    <row r="1817" spans="2:13">
      <c r="B1817" s="3">
        <v>44687</v>
      </c>
      <c r="C1817" s="5">
        <v>64.739999999999995</v>
      </c>
      <c r="D1817" s="5">
        <v>64.2</v>
      </c>
      <c r="E1817" s="5">
        <v>65.31</v>
      </c>
      <c r="F1817" s="5">
        <v>64.069999999999993</v>
      </c>
      <c r="G1817" s="18" t="s">
        <v>566</v>
      </c>
      <c r="H1817" s="2">
        <v>3.5999999999999999E-3</v>
      </c>
      <c r="I1817" s="16">
        <f t="shared" si="143"/>
        <v>3.565338707177023E-3</v>
      </c>
      <c r="J1817" s="16">
        <f t="shared" si="144"/>
        <v>1.003565338707177</v>
      </c>
      <c r="K1817" s="16">
        <f t="shared" si="140"/>
        <v>64.857368421052612</v>
      </c>
      <c r="L1817" s="16">
        <f t="shared" si="141"/>
        <v>62.574081632653083</v>
      </c>
      <c r="M1817" s="25" t="str">
        <f t="shared" si="142"/>
        <v>HOLD</v>
      </c>
    </row>
    <row r="1818" spans="2:13">
      <c r="B1818" s="3">
        <v>44690</v>
      </c>
      <c r="C1818" s="5">
        <v>64.61</v>
      </c>
      <c r="D1818" s="5">
        <v>64.47</v>
      </c>
      <c r="E1818" s="5">
        <v>65.36</v>
      </c>
      <c r="F1818" s="5">
        <v>64.040000000000006</v>
      </c>
      <c r="G1818" s="18" t="s">
        <v>565</v>
      </c>
      <c r="H1818" s="2">
        <v>-2E-3</v>
      </c>
      <c r="I1818" s="16">
        <f t="shared" si="143"/>
        <v>-2.0080321285139862E-3</v>
      </c>
      <c r="J1818" s="16">
        <f t="shared" si="144"/>
        <v>0.99799196787148603</v>
      </c>
      <c r="K1818" s="16">
        <f t="shared" si="140"/>
        <v>64.905263157894723</v>
      </c>
      <c r="L1818" s="16">
        <f t="shared" si="141"/>
        <v>62.612653061224506</v>
      </c>
      <c r="M1818" s="25" t="str">
        <f t="shared" si="142"/>
        <v>HOLD</v>
      </c>
    </row>
    <row r="1819" spans="2:13">
      <c r="B1819" s="3">
        <v>44691</v>
      </c>
      <c r="C1819" s="5">
        <v>64.010000000000005</v>
      </c>
      <c r="D1819" s="5">
        <v>64.5</v>
      </c>
      <c r="E1819" s="5">
        <v>65.319999999999993</v>
      </c>
      <c r="F1819" s="5">
        <v>63.85</v>
      </c>
      <c r="G1819" s="18" t="s">
        <v>564</v>
      </c>
      <c r="H1819" s="2">
        <v>-9.2999999999999992E-3</v>
      </c>
      <c r="I1819" s="16">
        <f t="shared" si="143"/>
        <v>-9.286488159727508E-3</v>
      </c>
      <c r="J1819" s="16">
        <f t="shared" si="144"/>
        <v>0.99071351184027245</v>
      </c>
      <c r="K1819" s="16">
        <f t="shared" ref="K1819:K1882" si="145">AVERAGE(C1800:C1818)</f>
        <v>64.94736842105263</v>
      </c>
      <c r="L1819" s="16">
        <f t="shared" si="141"/>
        <v>62.661020408163282</v>
      </c>
      <c r="M1819" s="25" t="str">
        <f t="shared" si="142"/>
        <v>HOLD</v>
      </c>
    </row>
    <row r="1820" spans="2:13">
      <c r="B1820" s="3">
        <v>44692</v>
      </c>
      <c r="C1820" s="5">
        <v>64.31</v>
      </c>
      <c r="D1820" s="5">
        <v>64.33</v>
      </c>
      <c r="E1820" s="5">
        <v>65.2</v>
      </c>
      <c r="F1820" s="5">
        <v>63.96</v>
      </c>
      <c r="G1820" s="18" t="s">
        <v>563</v>
      </c>
      <c r="H1820" s="2">
        <v>4.7000000000000002E-3</v>
      </c>
      <c r="I1820" s="16">
        <f t="shared" si="143"/>
        <v>4.6867676925479943E-3</v>
      </c>
      <c r="J1820" s="16">
        <f t="shared" si="144"/>
        <v>1.0046867676925479</v>
      </c>
      <c r="K1820" s="16">
        <f t="shared" si="145"/>
        <v>64.918421052631572</v>
      </c>
      <c r="L1820" s="16">
        <f t="shared" si="141"/>
        <v>62.702653061224517</v>
      </c>
      <c r="M1820" s="25" t="str">
        <f t="shared" si="142"/>
        <v>HOLD</v>
      </c>
    </row>
    <row r="1821" spans="2:13">
      <c r="B1821" s="3">
        <v>44693</v>
      </c>
      <c r="C1821" s="5">
        <v>64.510000000000005</v>
      </c>
      <c r="D1821" s="5">
        <v>64.16</v>
      </c>
      <c r="E1821" s="5">
        <v>64.53</v>
      </c>
      <c r="F1821" s="5">
        <v>63.2</v>
      </c>
      <c r="G1821" s="18" t="s">
        <v>562</v>
      </c>
      <c r="H1821" s="2">
        <v>3.0999999999999999E-3</v>
      </c>
      <c r="I1821" s="16">
        <f t="shared" si="143"/>
        <v>3.109936246306995E-3</v>
      </c>
      <c r="J1821" s="16">
        <f t="shared" si="144"/>
        <v>1.003109936246307</v>
      </c>
      <c r="K1821" s="16">
        <f t="shared" si="145"/>
        <v>64.896315789473675</v>
      </c>
      <c r="L1821" s="16">
        <f t="shared" si="141"/>
        <v>62.74102040816328</v>
      </c>
      <c r="M1821" s="25" t="str">
        <f t="shared" si="142"/>
        <v>HOLD</v>
      </c>
    </row>
    <row r="1822" spans="2:13">
      <c r="B1822" s="3">
        <v>44694</v>
      </c>
      <c r="C1822" s="5">
        <v>65.72</v>
      </c>
      <c r="D1822" s="5">
        <v>64.81</v>
      </c>
      <c r="E1822" s="5">
        <v>65.8</v>
      </c>
      <c r="F1822" s="5">
        <v>64.12</v>
      </c>
      <c r="G1822" s="18" t="s">
        <v>561</v>
      </c>
      <c r="H1822" s="2">
        <v>1.8800000000000001E-2</v>
      </c>
      <c r="I1822" s="16">
        <f t="shared" si="143"/>
        <v>1.8756781894279859E-2</v>
      </c>
      <c r="J1822" s="16">
        <f t="shared" si="144"/>
        <v>1.0187567818942798</v>
      </c>
      <c r="K1822" s="16">
        <f t="shared" si="145"/>
        <v>64.869473684210519</v>
      </c>
      <c r="L1822" s="16">
        <f t="shared" si="141"/>
        <v>62.782653061224508</v>
      </c>
      <c r="M1822" s="25" t="str">
        <f t="shared" si="142"/>
        <v>HOLD</v>
      </c>
    </row>
    <row r="1823" spans="2:13">
      <c r="B1823" s="3">
        <v>44697</v>
      </c>
      <c r="C1823" s="5">
        <v>65.959999999999994</v>
      </c>
      <c r="D1823" s="5">
        <v>65.44</v>
      </c>
      <c r="E1823" s="5">
        <v>66.38</v>
      </c>
      <c r="F1823" s="5">
        <v>65.44</v>
      </c>
      <c r="G1823" s="18" t="s">
        <v>262</v>
      </c>
      <c r="H1823" s="2">
        <v>3.7000000000000002E-3</v>
      </c>
      <c r="I1823" s="16">
        <f t="shared" si="143"/>
        <v>3.6518563603164162E-3</v>
      </c>
      <c r="J1823" s="16">
        <f t="shared" si="144"/>
        <v>1.0036518563603165</v>
      </c>
      <c r="K1823" s="16">
        <f t="shared" si="145"/>
        <v>64.936842105263153</v>
      </c>
      <c r="L1823" s="16">
        <f t="shared" si="141"/>
        <v>62.84693877551021</v>
      </c>
      <c r="M1823" s="25" t="str">
        <f t="shared" si="142"/>
        <v>HOLD</v>
      </c>
    </row>
    <row r="1824" spans="2:13">
      <c r="B1824" s="3">
        <v>44698</v>
      </c>
      <c r="C1824" s="5">
        <v>65.78</v>
      </c>
      <c r="D1824" s="5">
        <v>66.099999999999994</v>
      </c>
      <c r="E1824" s="5">
        <v>66.099999999999994</v>
      </c>
      <c r="F1824" s="5">
        <v>65.010000000000005</v>
      </c>
      <c r="G1824" s="18" t="s">
        <v>53</v>
      </c>
      <c r="H1824" s="2">
        <v>-2.7000000000000001E-3</v>
      </c>
      <c r="I1824" s="16">
        <f t="shared" si="143"/>
        <v>-2.7289266221951583E-3</v>
      </c>
      <c r="J1824" s="16">
        <f t="shared" si="144"/>
        <v>0.99727107337780485</v>
      </c>
      <c r="K1824" s="16">
        <f t="shared" si="145"/>
        <v>64.98368421052632</v>
      </c>
      <c r="L1824" s="16">
        <f t="shared" si="141"/>
        <v>62.946530612244906</v>
      </c>
      <c r="M1824" s="25" t="str">
        <f t="shared" si="142"/>
        <v>HOLD</v>
      </c>
    </row>
    <row r="1825" spans="2:13">
      <c r="B1825" s="3">
        <v>44699</v>
      </c>
      <c r="C1825" s="5">
        <v>61.2</v>
      </c>
      <c r="D1825" s="5">
        <v>65.42</v>
      </c>
      <c r="E1825" s="5">
        <v>65.52</v>
      </c>
      <c r="F1825" s="5">
        <v>60.96</v>
      </c>
      <c r="G1825" s="18" t="s">
        <v>560</v>
      </c>
      <c r="H1825" s="2">
        <v>-6.9599999999999995E-2</v>
      </c>
      <c r="I1825" s="16">
        <f t="shared" si="143"/>
        <v>-6.9626026147765252E-2</v>
      </c>
      <c r="J1825" s="16">
        <f t="shared" si="144"/>
        <v>0.93037397385223475</v>
      </c>
      <c r="K1825" s="16">
        <f t="shared" si="145"/>
        <v>64.974210526315787</v>
      </c>
      <c r="L1825" s="16">
        <f t="shared" si="141"/>
        <v>63.091836734693885</v>
      </c>
      <c r="M1825" s="25" t="str">
        <f t="shared" si="142"/>
        <v>HOLD</v>
      </c>
    </row>
    <row r="1826" spans="2:13">
      <c r="B1826" s="3">
        <v>44700</v>
      </c>
      <c r="C1826" s="5">
        <v>60</v>
      </c>
      <c r="D1826" s="5">
        <v>60.96</v>
      </c>
      <c r="E1826" s="5">
        <v>60.96</v>
      </c>
      <c r="F1826" s="5">
        <v>59.66</v>
      </c>
      <c r="G1826" s="18" t="s">
        <v>559</v>
      </c>
      <c r="H1826" s="2">
        <v>-1.9599999999999999E-2</v>
      </c>
      <c r="I1826" s="16">
        <f t="shared" si="143"/>
        <v>-1.9607843137254947E-2</v>
      </c>
      <c r="J1826" s="16">
        <f t="shared" si="144"/>
        <v>0.98039215686274506</v>
      </c>
      <c r="K1826" s="16">
        <f t="shared" si="145"/>
        <v>64.71052631578948</v>
      </c>
      <c r="L1826" s="16">
        <f t="shared" si="141"/>
        <v>63.137551020408175</v>
      </c>
      <c r="M1826" s="25" t="str">
        <f t="shared" si="142"/>
        <v>HOLD</v>
      </c>
    </row>
    <row r="1827" spans="2:13">
      <c r="B1827" s="3">
        <v>44701</v>
      </c>
      <c r="C1827" s="5">
        <v>60.98</v>
      </c>
      <c r="D1827" s="5">
        <v>60.49</v>
      </c>
      <c r="E1827" s="5">
        <v>61.23</v>
      </c>
      <c r="F1827" s="5">
        <v>59.66</v>
      </c>
      <c r="G1827" s="18" t="s">
        <v>558</v>
      </c>
      <c r="H1827" s="2">
        <v>1.6299999999999999E-2</v>
      </c>
      <c r="I1827" s="16">
        <f t="shared" si="143"/>
        <v>1.633333333333328E-2</v>
      </c>
      <c r="J1827" s="16">
        <f t="shared" si="144"/>
        <v>1.0163333333333333</v>
      </c>
      <c r="K1827" s="16">
        <f t="shared" si="145"/>
        <v>64.434210526315795</v>
      </c>
      <c r="L1827" s="16">
        <f t="shared" si="141"/>
        <v>63.180816326530625</v>
      </c>
      <c r="M1827" s="25" t="str">
        <f t="shared" si="142"/>
        <v>HOLD</v>
      </c>
    </row>
    <row r="1828" spans="2:13">
      <c r="B1828" s="3">
        <v>44704</v>
      </c>
      <c r="C1828" s="5">
        <v>62.86</v>
      </c>
      <c r="D1828" s="5">
        <v>61.65</v>
      </c>
      <c r="E1828" s="5">
        <v>63.1</v>
      </c>
      <c r="F1828" s="5">
        <v>61.59</v>
      </c>
      <c r="G1828" s="18" t="s">
        <v>557</v>
      </c>
      <c r="H1828" s="2">
        <v>3.0800000000000001E-2</v>
      </c>
      <c r="I1828" s="16">
        <f t="shared" si="143"/>
        <v>3.0829780255821625E-2</v>
      </c>
      <c r="J1828" s="16">
        <f t="shared" si="144"/>
        <v>1.0308297802558217</v>
      </c>
      <c r="K1828" s="16">
        <f t="shared" si="145"/>
        <v>64.173157894736846</v>
      </c>
      <c r="L1828" s="16">
        <f t="shared" si="141"/>
        <v>63.243265306122453</v>
      </c>
      <c r="M1828" s="25" t="str">
        <f t="shared" si="142"/>
        <v>HOLD</v>
      </c>
    </row>
    <row r="1829" spans="2:13">
      <c r="B1829" s="3">
        <v>44705</v>
      </c>
      <c r="C1829" s="5">
        <v>64.02</v>
      </c>
      <c r="D1829" s="5">
        <v>62.88</v>
      </c>
      <c r="E1829" s="5">
        <v>64.19</v>
      </c>
      <c r="F1829" s="5">
        <v>62.75</v>
      </c>
      <c r="G1829" s="18" t="s">
        <v>20</v>
      </c>
      <c r="H1829" s="2">
        <v>1.8499999999999999E-2</v>
      </c>
      <c r="I1829" s="16">
        <f t="shared" si="143"/>
        <v>1.8453706649697688E-2</v>
      </c>
      <c r="J1829" s="16">
        <f t="shared" si="144"/>
        <v>1.0184537066496977</v>
      </c>
      <c r="K1829" s="16">
        <f t="shared" si="145"/>
        <v>64.057894736842101</v>
      </c>
      <c r="L1829" s="16">
        <f t="shared" si="141"/>
        <v>63.331428571428589</v>
      </c>
      <c r="M1829" s="25" t="str">
        <f t="shared" si="142"/>
        <v>HOLD</v>
      </c>
    </row>
    <row r="1830" spans="2:13">
      <c r="B1830" s="3">
        <v>44706</v>
      </c>
      <c r="C1830" s="5">
        <v>64.069999999999993</v>
      </c>
      <c r="D1830" s="5">
        <v>64</v>
      </c>
      <c r="E1830" s="5">
        <v>64.47</v>
      </c>
      <c r="F1830" s="5">
        <v>63.6</v>
      </c>
      <c r="G1830" s="18" t="s">
        <v>556</v>
      </c>
      <c r="H1830" s="2">
        <v>8.0000000000000004E-4</v>
      </c>
      <c r="I1830" s="16">
        <f t="shared" si="143"/>
        <v>7.810059356450665E-4</v>
      </c>
      <c r="J1830" s="16">
        <f t="shared" si="144"/>
        <v>1.000781005935645</v>
      </c>
      <c r="K1830" s="16">
        <f t="shared" si="145"/>
        <v>63.976842105263152</v>
      </c>
      <c r="L1830" s="16">
        <f t="shared" si="141"/>
        <v>63.421224489795925</v>
      </c>
      <c r="M1830" s="25" t="str">
        <f t="shared" si="142"/>
        <v>HOLD</v>
      </c>
    </row>
    <row r="1831" spans="2:13">
      <c r="B1831" s="3">
        <v>44707</v>
      </c>
      <c r="C1831" s="5">
        <v>64.3</v>
      </c>
      <c r="D1831" s="5">
        <v>64.069999999999993</v>
      </c>
      <c r="E1831" s="5">
        <v>65.09</v>
      </c>
      <c r="F1831" s="5">
        <v>63.96</v>
      </c>
      <c r="G1831" s="18" t="s">
        <v>555</v>
      </c>
      <c r="H1831" s="2">
        <v>3.5999999999999999E-3</v>
      </c>
      <c r="I1831" s="16">
        <f t="shared" si="143"/>
        <v>3.589823630404308E-3</v>
      </c>
      <c r="J1831" s="16">
        <f t="shared" si="144"/>
        <v>1.0035898236304044</v>
      </c>
      <c r="K1831" s="16">
        <f t="shared" si="145"/>
        <v>63.865263157894731</v>
      </c>
      <c r="L1831" s="16">
        <f t="shared" si="141"/>
        <v>63.515306122448997</v>
      </c>
      <c r="M1831" s="25" t="str">
        <f t="shared" si="142"/>
        <v>HOLD</v>
      </c>
    </row>
    <row r="1832" spans="2:13">
      <c r="B1832" s="3">
        <v>44708</v>
      </c>
      <c r="C1832" s="5">
        <v>64.680000000000007</v>
      </c>
      <c r="D1832" s="5">
        <v>64.260000000000005</v>
      </c>
      <c r="E1832" s="5">
        <v>64.83</v>
      </c>
      <c r="F1832" s="5">
        <v>64.14</v>
      </c>
      <c r="G1832" s="18" t="s">
        <v>542</v>
      </c>
      <c r="H1832" s="2">
        <v>5.8999999999999999E-3</v>
      </c>
      <c r="I1832" s="16">
        <f t="shared" si="143"/>
        <v>5.9097978227062161E-3</v>
      </c>
      <c r="J1832" s="16">
        <f t="shared" si="144"/>
        <v>1.0059097978227063</v>
      </c>
      <c r="K1832" s="16">
        <f t="shared" si="145"/>
        <v>63.848947368421058</v>
      </c>
      <c r="L1832" s="16">
        <f t="shared" si="141"/>
        <v>63.601224489795939</v>
      </c>
      <c r="M1832" s="25" t="str">
        <f t="shared" si="142"/>
        <v>HOLD</v>
      </c>
    </row>
    <row r="1833" spans="2:13">
      <c r="B1833" s="3">
        <v>44712</v>
      </c>
      <c r="C1833" s="5">
        <v>63.38</v>
      </c>
      <c r="D1833" s="5">
        <v>64.08</v>
      </c>
      <c r="E1833" s="5">
        <v>64.31</v>
      </c>
      <c r="F1833" s="5">
        <v>63.05</v>
      </c>
      <c r="G1833" s="18" t="s">
        <v>554</v>
      </c>
      <c r="H1833" s="2">
        <v>-2.01E-2</v>
      </c>
      <c r="I1833" s="16">
        <f t="shared" si="143"/>
        <v>-2.0098948670377304E-2</v>
      </c>
      <c r="J1833" s="16">
        <f t="shared" si="144"/>
        <v>0.97990105132962269</v>
      </c>
      <c r="K1833" s="16">
        <f t="shared" si="145"/>
        <v>63.914210526315799</v>
      </c>
      <c r="L1833" s="16">
        <f t="shared" si="141"/>
        <v>63.694693877551032</v>
      </c>
      <c r="M1833" s="25" t="str">
        <f t="shared" si="142"/>
        <v>HOLD</v>
      </c>
    </row>
    <row r="1834" spans="2:13">
      <c r="B1834" s="3">
        <v>44713</v>
      </c>
      <c r="C1834" s="5">
        <v>63.07</v>
      </c>
      <c r="D1834" s="5">
        <v>63.42</v>
      </c>
      <c r="E1834" s="5">
        <v>63.68</v>
      </c>
      <c r="F1834" s="5">
        <v>62.13</v>
      </c>
      <c r="G1834" s="18" t="s">
        <v>553</v>
      </c>
      <c r="H1834" s="2">
        <v>-4.8999999999999998E-3</v>
      </c>
      <c r="I1834" s="16">
        <f t="shared" si="143"/>
        <v>-4.8911328494793665E-3</v>
      </c>
      <c r="J1834" s="16">
        <f t="shared" si="144"/>
        <v>0.9951088671505206</v>
      </c>
      <c r="K1834" s="16">
        <f t="shared" si="145"/>
        <v>63.930000000000014</v>
      </c>
      <c r="L1834" s="16">
        <f t="shared" si="141"/>
        <v>63.751836734693889</v>
      </c>
      <c r="M1834" s="25" t="str">
        <f t="shared" si="142"/>
        <v>HOLD</v>
      </c>
    </row>
    <row r="1835" spans="2:13">
      <c r="B1835" s="3">
        <v>44714</v>
      </c>
      <c r="C1835" s="5">
        <v>63.73</v>
      </c>
      <c r="D1835" s="5">
        <v>63.18</v>
      </c>
      <c r="E1835" s="5">
        <v>63.73</v>
      </c>
      <c r="F1835" s="5">
        <v>62.11</v>
      </c>
      <c r="G1835" s="18" t="s">
        <v>552</v>
      </c>
      <c r="H1835" s="2">
        <v>1.0500000000000001E-2</v>
      </c>
      <c r="I1835" s="16">
        <f t="shared" si="143"/>
        <v>1.0464563183764018E-2</v>
      </c>
      <c r="J1835" s="16">
        <f t="shared" si="144"/>
        <v>1.0104645631837641</v>
      </c>
      <c r="K1835" s="16">
        <f t="shared" si="145"/>
        <v>63.826842105263161</v>
      </c>
      <c r="L1835" s="16">
        <f t="shared" si="141"/>
        <v>63.798163265306144</v>
      </c>
      <c r="M1835" s="25" t="str">
        <f t="shared" si="142"/>
        <v>HOLD</v>
      </c>
    </row>
    <row r="1836" spans="2:13">
      <c r="B1836" s="3">
        <v>44715</v>
      </c>
      <c r="C1836" s="5">
        <v>62.97</v>
      </c>
      <c r="D1836" s="5">
        <v>63.57</v>
      </c>
      <c r="E1836" s="5">
        <v>63.62</v>
      </c>
      <c r="F1836" s="5">
        <v>62.81</v>
      </c>
      <c r="G1836" s="18" t="s">
        <v>551</v>
      </c>
      <c r="H1836" s="2">
        <v>-1.1900000000000001E-2</v>
      </c>
      <c r="I1836" s="16">
        <f t="shared" si="143"/>
        <v>-1.1925309901145428E-2</v>
      </c>
      <c r="J1836" s="16">
        <f t="shared" si="144"/>
        <v>0.98807469009885462</v>
      </c>
      <c r="K1836" s="16">
        <f t="shared" si="145"/>
        <v>63.785789473684211</v>
      </c>
      <c r="L1836" s="16">
        <f t="shared" si="141"/>
        <v>63.866122448979603</v>
      </c>
      <c r="M1836" s="25" t="str">
        <f t="shared" si="142"/>
        <v>SELL</v>
      </c>
    </row>
    <row r="1837" spans="2:13">
      <c r="B1837" s="3">
        <v>44718</v>
      </c>
      <c r="C1837" s="5">
        <v>62.87</v>
      </c>
      <c r="D1837" s="5">
        <v>63.33</v>
      </c>
      <c r="E1837" s="5">
        <v>63.77</v>
      </c>
      <c r="F1837" s="5">
        <v>62.66</v>
      </c>
      <c r="G1837" s="18" t="s">
        <v>550</v>
      </c>
      <c r="H1837" s="2">
        <v>-1.6000000000000001E-3</v>
      </c>
      <c r="I1837" s="16">
        <f t="shared" si="143"/>
        <v>-1.5880578053041356E-3</v>
      </c>
      <c r="J1837" s="16">
        <f t="shared" si="144"/>
        <v>0.99841194219469587</v>
      </c>
      <c r="K1837" s="16">
        <f t="shared" si="145"/>
        <v>63.69263157894737</v>
      </c>
      <c r="L1837" s="16">
        <f t="shared" si="141"/>
        <v>63.90673469387756</v>
      </c>
      <c r="M1837" s="25" t="str">
        <f t="shared" si="142"/>
        <v>HOLD</v>
      </c>
    </row>
    <row r="1838" spans="2:13">
      <c r="B1838" s="3">
        <v>44719</v>
      </c>
      <c r="C1838" s="5">
        <v>63.25</v>
      </c>
      <c r="D1838" s="5">
        <v>62.38</v>
      </c>
      <c r="E1838" s="5">
        <v>63.37</v>
      </c>
      <c r="F1838" s="5">
        <v>62.22</v>
      </c>
      <c r="G1838" s="18" t="s">
        <v>549</v>
      </c>
      <c r="H1838" s="2">
        <v>6.0000000000000001E-3</v>
      </c>
      <c r="I1838" s="16">
        <f t="shared" si="143"/>
        <v>6.0442182280897499E-3</v>
      </c>
      <c r="J1838" s="16">
        <f t="shared" si="144"/>
        <v>1.0060442182280898</v>
      </c>
      <c r="K1838" s="16">
        <f t="shared" si="145"/>
        <v>63.601052631578938</v>
      </c>
      <c r="L1838" s="16">
        <f t="shared" si="141"/>
        <v>63.934081632653069</v>
      </c>
      <c r="M1838" s="25" t="str">
        <f t="shared" si="142"/>
        <v>HOLD</v>
      </c>
    </row>
    <row r="1839" spans="2:13">
      <c r="B1839" s="3">
        <v>44720</v>
      </c>
      <c r="C1839" s="5">
        <v>62.89</v>
      </c>
      <c r="D1839" s="5">
        <v>62.99</v>
      </c>
      <c r="E1839" s="5">
        <v>63.21</v>
      </c>
      <c r="F1839" s="5">
        <v>62.55</v>
      </c>
      <c r="G1839" s="18" t="s">
        <v>548</v>
      </c>
      <c r="H1839" s="2">
        <v>-5.7000000000000002E-3</v>
      </c>
      <c r="I1839" s="16">
        <f t="shared" si="143"/>
        <v>-5.6916996047430739E-3</v>
      </c>
      <c r="J1839" s="16">
        <f t="shared" si="144"/>
        <v>0.99430830039525697</v>
      </c>
      <c r="K1839" s="16">
        <f t="shared" si="145"/>
        <v>63.561052631578939</v>
      </c>
      <c r="L1839" s="16">
        <f t="shared" si="141"/>
        <v>63.961224489795917</v>
      </c>
      <c r="M1839" s="25" t="str">
        <f t="shared" si="142"/>
        <v>HOLD</v>
      </c>
    </row>
    <row r="1840" spans="2:13">
      <c r="B1840" s="3">
        <v>44721</v>
      </c>
      <c r="C1840" s="5">
        <v>61.8</v>
      </c>
      <c r="D1840" s="5">
        <v>62.87</v>
      </c>
      <c r="E1840" s="5">
        <v>63.35</v>
      </c>
      <c r="F1840" s="5">
        <v>61.78</v>
      </c>
      <c r="G1840" s="18" t="s">
        <v>452</v>
      </c>
      <c r="H1840" s="2">
        <v>-1.7299999999999999E-2</v>
      </c>
      <c r="I1840" s="16">
        <f t="shared" si="143"/>
        <v>-1.7331849260613826E-2</v>
      </c>
      <c r="J1840" s="16">
        <f t="shared" si="144"/>
        <v>0.98266815073938618</v>
      </c>
      <c r="K1840" s="16">
        <f t="shared" si="145"/>
        <v>63.4863157894737</v>
      </c>
      <c r="L1840" s="16">
        <f t="shared" si="141"/>
        <v>63.976122448979588</v>
      </c>
      <c r="M1840" s="25" t="str">
        <f t="shared" si="142"/>
        <v>HOLD</v>
      </c>
    </row>
    <row r="1841" spans="2:13">
      <c r="B1841" s="3">
        <v>44722</v>
      </c>
      <c r="C1841" s="5">
        <v>61.41</v>
      </c>
      <c r="D1841" s="5">
        <v>61.01</v>
      </c>
      <c r="E1841" s="5">
        <v>61.88</v>
      </c>
      <c r="F1841" s="5">
        <v>60.46</v>
      </c>
      <c r="G1841" s="18" t="s">
        <v>547</v>
      </c>
      <c r="H1841" s="2">
        <v>-6.3E-3</v>
      </c>
      <c r="I1841" s="16">
        <f t="shared" si="143"/>
        <v>-6.3106796116504946E-3</v>
      </c>
      <c r="J1841" s="16">
        <f t="shared" si="144"/>
        <v>0.99368932038834945</v>
      </c>
      <c r="K1841" s="16">
        <f t="shared" si="145"/>
        <v>63.343684210526327</v>
      </c>
      <c r="L1841" s="16">
        <f t="shared" si="141"/>
        <v>63.967755102040819</v>
      </c>
      <c r="M1841" s="25" t="str">
        <f t="shared" si="142"/>
        <v>HOLD</v>
      </c>
    </row>
    <row r="1842" spans="2:13">
      <c r="B1842" s="3">
        <v>44725</v>
      </c>
      <c r="C1842" s="5">
        <v>61.34</v>
      </c>
      <c r="D1842" s="5">
        <v>60.75</v>
      </c>
      <c r="E1842" s="5">
        <v>62.29</v>
      </c>
      <c r="F1842" s="5">
        <v>60.67</v>
      </c>
      <c r="G1842" s="18" t="s">
        <v>546</v>
      </c>
      <c r="H1842" s="2">
        <v>-1.1000000000000001E-3</v>
      </c>
      <c r="I1842" s="16">
        <f t="shared" si="143"/>
        <v>-1.1398794984529097E-3</v>
      </c>
      <c r="J1842" s="16">
        <f t="shared" si="144"/>
        <v>0.99886012050154704</v>
      </c>
      <c r="K1842" s="16">
        <f t="shared" si="145"/>
        <v>63.11684210526316</v>
      </c>
      <c r="L1842" s="16">
        <f t="shared" si="141"/>
        <v>63.955714285714286</v>
      </c>
      <c r="M1842" s="25" t="str">
        <f t="shared" si="142"/>
        <v>HOLD</v>
      </c>
    </row>
    <row r="1843" spans="2:13">
      <c r="B1843" s="3">
        <v>44726</v>
      </c>
      <c r="C1843" s="5">
        <v>59.23</v>
      </c>
      <c r="D1843" s="5">
        <v>60.73</v>
      </c>
      <c r="E1843" s="5">
        <v>60.89</v>
      </c>
      <c r="F1843" s="5">
        <v>58.66</v>
      </c>
      <c r="G1843" s="18" t="s">
        <v>545</v>
      </c>
      <c r="H1843" s="2">
        <v>-3.44E-2</v>
      </c>
      <c r="I1843" s="16">
        <f t="shared" si="143"/>
        <v>-3.4398434952722635E-2</v>
      </c>
      <c r="J1843" s="16">
        <f t="shared" si="144"/>
        <v>0.96560156504727734</v>
      </c>
      <c r="K1843" s="16">
        <f t="shared" si="145"/>
        <v>62.873684210526321</v>
      </c>
      <c r="L1843" s="16">
        <f t="shared" si="141"/>
        <v>63.924489795918369</v>
      </c>
      <c r="M1843" s="25" t="str">
        <f t="shared" si="142"/>
        <v>HOLD</v>
      </c>
    </row>
    <row r="1844" spans="2:13">
      <c r="B1844" s="3">
        <v>44727</v>
      </c>
      <c r="C1844" s="5">
        <v>59.67</v>
      </c>
      <c r="D1844" s="5">
        <v>60</v>
      </c>
      <c r="E1844" s="5">
        <v>60.63</v>
      </c>
      <c r="F1844" s="5">
        <v>58.97</v>
      </c>
      <c r="G1844" s="18" t="s">
        <v>448</v>
      </c>
      <c r="H1844" s="2">
        <v>7.4000000000000003E-3</v>
      </c>
      <c r="I1844" s="16">
        <f t="shared" si="143"/>
        <v>7.4286679047780657E-3</v>
      </c>
      <c r="J1844" s="16">
        <f t="shared" si="144"/>
        <v>1.0074286679047781</v>
      </c>
      <c r="K1844" s="16">
        <f t="shared" si="145"/>
        <v>62.528947368421051</v>
      </c>
      <c r="L1844" s="16">
        <f t="shared" si="141"/>
        <v>63.856938775510208</v>
      </c>
      <c r="M1844" s="25" t="str">
        <f t="shared" si="142"/>
        <v>HOLD</v>
      </c>
    </row>
    <row r="1845" spans="2:13">
      <c r="B1845" s="3">
        <v>44728</v>
      </c>
      <c r="C1845" s="5">
        <v>59.07</v>
      </c>
      <c r="D1845" s="5">
        <v>58.64</v>
      </c>
      <c r="E1845" s="5">
        <v>59.52</v>
      </c>
      <c r="F1845" s="5">
        <v>58.25</v>
      </c>
      <c r="G1845" s="18" t="s">
        <v>544</v>
      </c>
      <c r="H1845" s="2">
        <v>-1.01E-2</v>
      </c>
      <c r="I1845" s="16">
        <f t="shared" si="143"/>
        <v>-1.0055304172951255E-2</v>
      </c>
      <c r="J1845" s="16">
        <f t="shared" si="144"/>
        <v>0.98994469582704869</v>
      </c>
      <c r="K1845" s="16">
        <f t="shared" si="145"/>
        <v>62.448421052631581</v>
      </c>
      <c r="L1845" s="16">
        <f t="shared" si="141"/>
        <v>63.799795918367352</v>
      </c>
      <c r="M1845" s="25" t="str">
        <f t="shared" si="142"/>
        <v>HOLD</v>
      </c>
    </row>
    <row r="1846" spans="2:13">
      <c r="B1846" s="3">
        <v>44729</v>
      </c>
      <c r="C1846" s="5">
        <v>59.43</v>
      </c>
      <c r="D1846" s="5">
        <v>59.7</v>
      </c>
      <c r="E1846" s="5">
        <v>60.12</v>
      </c>
      <c r="F1846" s="5">
        <v>59.13</v>
      </c>
      <c r="G1846" s="18" t="s">
        <v>543</v>
      </c>
      <c r="H1846" s="2">
        <v>6.1000000000000004E-3</v>
      </c>
      <c r="I1846" s="16">
        <f t="shared" si="143"/>
        <v>6.0944641950228442E-3</v>
      </c>
      <c r="J1846" s="16">
        <f t="shared" si="144"/>
        <v>1.0060944641950229</v>
      </c>
      <c r="K1846" s="16">
        <f t="shared" si="145"/>
        <v>62.39947368421052</v>
      </c>
      <c r="L1846" s="16">
        <f t="shared" si="141"/>
        <v>63.717551020408166</v>
      </c>
      <c r="M1846" s="25" t="str">
        <f t="shared" si="142"/>
        <v>HOLD</v>
      </c>
    </row>
    <row r="1847" spans="2:13">
      <c r="B1847" s="3">
        <v>44733</v>
      </c>
      <c r="C1847" s="5">
        <v>60.7</v>
      </c>
      <c r="D1847" s="5">
        <v>59.49</v>
      </c>
      <c r="E1847" s="5">
        <v>60.88</v>
      </c>
      <c r="F1847" s="5">
        <v>59.01</v>
      </c>
      <c r="G1847" s="18" t="s">
        <v>542</v>
      </c>
      <c r="H1847" s="2">
        <v>2.1399999999999999E-2</v>
      </c>
      <c r="I1847" s="16">
        <f t="shared" si="143"/>
        <v>2.1369678613494921E-2</v>
      </c>
      <c r="J1847" s="16">
        <f t="shared" si="144"/>
        <v>1.0213696786134949</v>
      </c>
      <c r="K1847" s="16">
        <f t="shared" si="145"/>
        <v>62.317894736842106</v>
      </c>
      <c r="L1847" s="16">
        <f t="shared" si="141"/>
        <v>63.635714285714286</v>
      </c>
      <c r="M1847" s="25" t="str">
        <f t="shared" si="142"/>
        <v>HOLD</v>
      </c>
    </row>
    <row r="1848" spans="2:13">
      <c r="B1848" s="3">
        <v>44734</v>
      </c>
      <c r="C1848" s="5">
        <v>61.15</v>
      </c>
      <c r="D1848" s="5">
        <v>60.6</v>
      </c>
      <c r="E1848" s="5">
        <v>61.45</v>
      </c>
      <c r="F1848" s="5">
        <v>60.31</v>
      </c>
      <c r="G1848" s="18" t="s">
        <v>541</v>
      </c>
      <c r="H1848" s="2">
        <v>7.4000000000000003E-3</v>
      </c>
      <c r="I1848" s="16">
        <f t="shared" si="143"/>
        <v>7.4135090609554486E-3</v>
      </c>
      <c r="J1848" s="16">
        <f t="shared" si="144"/>
        <v>1.0074135090609555</v>
      </c>
      <c r="K1848" s="16">
        <f t="shared" si="145"/>
        <v>62.204210526315798</v>
      </c>
      <c r="L1848" s="16">
        <f t="shared" si="141"/>
        <v>63.571836734693868</v>
      </c>
      <c r="M1848" s="25" t="str">
        <f t="shared" si="142"/>
        <v>HOLD</v>
      </c>
    </row>
    <row r="1849" spans="2:13">
      <c r="B1849" s="3">
        <v>44735</v>
      </c>
      <c r="C1849" s="5">
        <v>61.88</v>
      </c>
      <c r="D1849" s="5">
        <v>61.3</v>
      </c>
      <c r="E1849" s="5">
        <v>61.91</v>
      </c>
      <c r="F1849" s="5">
        <v>61.23</v>
      </c>
      <c r="G1849" s="18" t="s">
        <v>498</v>
      </c>
      <c r="H1849" s="2">
        <v>1.1900000000000001E-2</v>
      </c>
      <c r="I1849" s="16">
        <f t="shared" si="143"/>
        <v>1.1937857726901127E-2</v>
      </c>
      <c r="J1849" s="16">
        <f t="shared" si="144"/>
        <v>1.0119378577269011</v>
      </c>
      <c r="K1849" s="16">
        <f t="shared" si="145"/>
        <v>62.053157894736856</v>
      </c>
      <c r="L1849" s="16">
        <f t="shared" ref="L1849:L1912" si="146">AVERAGE(C1800:C1848)</f>
        <v>63.517551020408156</v>
      </c>
      <c r="M1849" s="25" t="str">
        <f t="shared" ref="M1849:M1912" si="147">IF(AND(K1849&gt;L1849,K1848&lt;=L1848),"BUY",IF(AND(K1849&lt;L1849,K1848&gt;=L1848),"SELL","HOLD"))</f>
        <v>HOLD</v>
      </c>
    </row>
    <row r="1850" spans="2:13">
      <c r="B1850" s="3">
        <v>44736</v>
      </c>
      <c r="C1850" s="5">
        <v>63.04</v>
      </c>
      <c r="D1850" s="5">
        <v>62.11</v>
      </c>
      <c r="E1850" s="5">
        <v>63.06</v>
      </c>
      <c r="F1850" s="5">
        <v>62.11</v>
      </c>
      <c r="G1850" s="18" t="s">
        <v>235</v>
      </c>
      <c r="H1850" s="2">
        <v>1.8700000000000001E-2</v>
      </c>
      <c r="I1850" s="16">
        <f t="shared" si="143"/>
        <v>1.8745959922430454E-2</v>
      </c>
      <c r="J1850" s="16">
        <f t="shared" si="144"/>
        <v>1.0187459599224304</v>
      </c>
      <c r="K1850" s="16">
        <f t="shared" si="145"/>
        <v>61.937894736842111</v>
      </c>
      <c r="L1850" s="16">
        <f t="shared" si="146"/>
        <v>63.462857142857139</v>
      </c>
      <c r="M1850" s="25" t="str">
        <f t="shared" si="147"/>
        <v>HOLD</v>
      </c>
    </row>
    <row r="1851" spans="2:13">
      <c r="B1851" s="3">
        <v>44739</v>
      </c>
      <c r="C1851" s="5">
        <v>62.91</v>
      </c>
      <c r="D1851" s="5">
        <v>62.98</v>
      </c>
      <c r="E1851" s="5">
        <v>63.29</v>
      </c>
      <c r="F1851" s="5">
        <v>62.63</v>
      </c>
      <c r="G1851" s="18" t="s">
        <v>146</v>
      </c>
      <c r="H1851" s="2">
        <v>-2.0999999999999999E-3</v>
      </c>
      <c r="I1851" s="16">
        <f t="shared" si="143"/>
        <v>-2.0621827411167917E-3</v>
      </c>
      <c r="J1851" s="16">
        <f t="shared" si="144"/>
        <v>0.9979378172588832</v>
      </c>
      <c r="K1851" s="16">
        <f t="shared" si="145"/>
        <v>61.871578947368427</v>
      </c>
      <c r="L1851" s="16">
        <f t="shared" si="146"/>
        <v>63.428367346938771</v>
      </c>
      <c r="M1851" s="25" t="str">
        <f t="shared" si="147"/>
        <v>HOLD</v>
      </c>
    </row>
    <row r="1852" spans="2:13">
      <c r="B1852" s="3">
        <v>44740</v>
      </c>
      <c r="C1852" s="5">
        <v>62.28</v>
      </c>
      <c r="D1852" s="5">
        <v>63.08</v>
      </c>
      <c r="E1852" s="5">
        <v>63.76</v>
      </c>
      <c r="F1852" s="5">
        <v>62.1</v>
      </c>
      <c r="G1852" s="18" t="s">
        <v>21</v>
      </c>
      <c r="H1852" s="2">
        <v>-0.01</v>
      </c>
      <c r="I1852" s="16">
        <f t="shared" si="143"/>
        <v>-1.0014306151645136E-2</v>
      </c>
      <c r="J1852" s="16">
        <f t="shared" si="144"/>
        <v>0.98998569384835489</v>
      </c>
      <c r="K1852" s="16">
        <f t="shared" si="145"/>
        <v>61.778421052631586</v>
      </c>
      <c r="L1852" s="16">
        <f t="shared" si="146"/>
        <v>63.385306122448974</v>
      </c>
      <c r="M1852" s="25" t="str">
        <f t="shared" si="147"/>
        <v>HOLD</v>
      </c>
    </row>
    <row r="1853" spans="2:13">
      <c r="B1853" s="3">
        <v>44741</v>
      </c>
      <c r="C1853" s="5">
        <v>62.73</v>
      </c>
      <c r="D1853" s="5">
        <v>62.54</v>
      </c>
      <c r="E1853" s="5">
        <v>63.11</v>
      </c>
      <c r="F1853" s="5">
        <v>62.43</v>
      </c>
      <c r="G1853" s="18" t="s">
        <v>525</v>
      </c>
      <c r="H1853" s="2">
        <v>7.1999999999999998E-3</v>
      </c>
      <c r="I1853" s="16">
        <f t="shared" si="143"/>
        <v>7.225433526011492E-3</v>
      </c>
      <c r="J1853" s="16">
        <f t="shared" si="144"/>
        <v>1.0072254335260116</v>
      </c>
      <c r="K1853" s="16">
        <f t="shared" si="145"/>
        <v>61.720526315789478</v>
      </c>
      <c r="L1853" s="16">
        <f t="shared" si="146"/>
        <v>63.341224489795913</v>
      </c>
      <c r="M1853" s="25" t="str">
        <f t="shared" si="147"/>
        <v>HOLD</v>
      </c>
    </row>
    <row r="1854" spans="2:13">
      <c r="B1854" s="3">
        <v>44742</v>
      </c>
      <c r="C1854" s="5">
        <v>62.91</v>
      </c>
      <c r="D1854" s="5">
        <v>62.32</v>
      </c>
      <c r="E1854" s="5">
        <v>63.11</v>
      </c>
      <c r="F1854" s="5">
        <v>62.16</v>
      </c>
      <c r="G1854" s="18" t="s">
        <v>540</v>
      </c>
      <c r="H1854" s="2">
        <v>2.8999999999999998E-3</v>
      </c>
      <c r="I1854" s="16">
        <f t="shared" si="143"/>
        <v>2.8694404591104693E-3</v>
      </c>
      <c r="J1854" s="16">
        <f t="shared" si="144"/>
        <v>1.0028694404591105</v>
      </c>
      <c r="K1854" s="16">
        <f t="shared" si="145"/>
        <v>61.702631578947361</v>
      </c>
      <c r="L1854" s="16">
        <f t="shared" si="146"/>
        <v>63.293469387755103</v>
      </c>
      <c r="M1854" s="25" t="str">
        <f t="shared" si="147"/>
        <v>HOLD</v>
      </c>
    </row>
    <row r="1855" spans="2:13">
      <c r="B1855" s="3">
        <v>44743</v>
      </c>
      <c r="C1855" s="5">
        <v>64.38</v>
      </c>
      <c r="D1855" s="5">
        <v>63.12</v>
      </c>
      <c r="E1855" s="5">
        <v>64.45</v>
      </c>
      <c r="F1855" s="5">
        <v>62.82</v>
      </c>
      <c r="G1855" s="18" t="s">
        <v>539</v>
      </c>
      <c r="H1855" s="2">
        <v>2.3400000000000001E-2</v>
      </c>
      <c r="I1855" s="16">
        <f t="shared" si="143"/>
        <v>2.3366714353838802E-2</v>
      </c>
      <c r="J1855" s="16">
        <f t="shared" si="144"/>
        <v>1.0233667143538387</v>
      </c>
      <c r="K1855" s="16">
        <f t="shared" si="145"/>
        <v>61.659473684210539</v>
      </c>
      <c r="L1855" s="16">
        <f t="shared" si="146"/>
        <v>63.23122448979592</v>
      </c>
      <c r="M1855" s="25" t="str">
        <f t="shared" si="147"/>
        <v>HOLD</v>
      </c>
    </row>
    <row r="1856" spans="2:13">
      <c r="B1856" s="3">
        <v>44747</v>
      </c>
      <c r="C1856" s="5">
        <v>63.28</v>
      </c>
      <c r="D1856" s="5">
        <v>64.180000000000007</v>
      </c>
      <c r="E1856" s="5">
        <v>64.180000000000007</v>
      </c>
      <c r="F1856" s="5">
        <v>62.41</v>
      </c>
      <c r="G1856" s="18" t="s">
        <v>538</v>
      </c>
      <c r="H1856" s="2">
        <v>-1.7100000000000001E-2</v>
      </c>
      <c r="I1856" s="16">
        <f t="shared" si="143"/>
        <v>-1.7086051568810101E-2</v>
      </c>
      <c r="J1856" s="16">
        <f t="shared" si="144"/>
        <v>0.98291394843118984</v>
      </c>
      <c r="K1856" s="16">
        <f t="shared" si="145"/>
        <v>61.73368421052632</v>
      </c>
      <c r="L1856" s="16">
        <f t="shared" si="146"/>
        <v>63.193877551020407</v>
      </c>
      <c r="M1856" s="25" t="str">
        <f t="shared" si="147"/>
        <v>HOLD</v>
      </c>
    </row>
    <row r="1857" spans="2:13">
      <c r="B1857" s="3">
        <v>44748</v>
      </c>
      <c r="C1857" s="5">
        <v>63.41</v>
      </c>
      <c r="D1857" s="5">
        <v>63.6</v>
      </c>
      <c r="E1857" s="5">
        <v>64.09</v>
      </c>
      <c r="F1857" s="5">
        <v>63.19</v>
      </c>
      <c r="G1857" s="18" t="s">
        <v>537</v>
      </c>
      <c r="H1857" s="2">
        <v>2.0999999999999999E-3</v>
      </c>
      <c r="I1857" s="16">
        <f t="shared" si="143"/>
        <v>2.0543615676358322E-3</v>
      </c>
      <c r="J1857" s="16">
        <f t="shared" si="144"/>
        <v>1.0020543615676358</v>
      </c>
      <c r="K1857" s="16">
        <f t="shared" si="145"/>
        <v>61.755263157894746</v>
      </c>
      <c r="L1857" s="16">
        <f t="shared" si="146"/>
        <v>63.153673469387762</v>
      </c>
      <c r="M1857" s="25" t="str">
        <f t="shared" si="147"/>
        <v>HOLD</v>
      </c>
    </row>
    <row r="1858" spans="2:13">
      <c r="B1858" s="3">
        <v>44749</v>
      </c>
      <c r="C1858" s="5">
        <v>62.91</v>
      </c>
      <c r="D1858" s="5">
        <v>63.26</v>
      </c>
      <c r="E1858" s="5">
        <v>63.58</v>
      </c>
      <c r="F1858" s="5">
        <v>62.7</v>
      </c>
      <c r="G1858" s="18" t="s">
        <v>268</v>
      </c>
      <c r="H1858" s="2">
        <v>-7.9000000000000008E-3</v>
      </c>
      <c r="I1858" s="16">
        <f t="shared" si="143"/>
        <v>-7.8851916101561267E-3</v>
      </c>
      <c r="J1858" s="16">
        <f t="shared" si="144"/>
        <v>0.99211480838984389</v>
      </c>
      <c r="K1858" s="16">
        <f t="shared" si="145"/>
        <v>61.763684210526314</v>
      </c>
      <c r="L1858" s="16">
        <f t="shared" si="146"/>
        <v>63.102040816326543</v>
      </c>
      <c r="M1858" s="25" t="str">
        <f t="shared" si="147"/>
        <v>HOLD</v>
      </c>
    </row>
    <row r="1859" spans="2:13">
      <c r="B1859" s="3">
        <v>44750</v>
      </c>
      <c r="C1859" s="5">
        <v>63.14</v>
      </c>
      <c r="D1859" s="5">
        <v>63.03</v>
      </c>
      <c r="E1859" s="5">
        <v>63.42</v>
      </c>
      <c r="F1859" s="5">
        <v>62.88</v>
      </c>
      <c r="G1859" s="18" t="s">
        <v>536</v>
      </c>
      <c r="H1859" s="2">
        <v>3.7000000000000002E-3</v>
      </c>
      <c r="I1859" s="16">
        <f t="shared" si="143"/>
        <v>3.6560165315530756E-3</v>
      </c>
      <c r="J1859" s="16">
        <f t="shared" si="144"/>
        <v>1.0036560165315531</v>
      </c>
      <c r="K1859" s="16">
        <f t="shared" si="145"/>
        <v>61.764736842105265</v>
      </c>
      <c r="L1859" s="16">
        <f t="shared" si="146"/>
        <v>63.05836734693878</v>
      </c>
      <c r="M1859" s="25" t="str">
        <f t="shared" si="147"/>
        <v>HOLD</v>
      </c>
    </row>
    <row r="1860" spans="2:13">
      <c r="B1860" s="3">
        <v>44753</v>
      </c>
      <c r="C1860" s="5">
        <v>62.94</v>
      </c>
      <c r="D1860" s="5">
        <v>62.99</v>
      </c>
      <c r="E1860" s="5">
        <v>63.46</v>
      </c>
      <c r="F1860" s="5">
        <v>62.59</v>
      </c>
      <c r="G1860" s="18" t="s">
        <v>295</v>
      </c>
      <c r="H1860" s="2">
        <v>-3.2000000000000002E-3</v>
      </c>
      <c r="I1860" s="16">
        <f t="shared" si="143"/>
        <v>-3.1675641431739444E-3</v>
      </c>
      <c r="J1860" s="16">
        <f t="shared" si="144"/>
        <v>0.99683243585682602</v>
      </c>
      <c r="K1860" s="16">
        <f t="shared" si="145"/>
        <v>61.835263157894744</v>
      </c>
      <c r="L1860" s="16">
        <f t="shared" si="146"/>
        <v>63.008979591836727</v>
      </c>
      <c r="M1860" s="25" t="str">
        <f t="shared" si="147"/>
        <v>HOLD</v>
      </c>
    </row>
    <row r="1861" spans="2:13">
      <c r="B1861" s="3">
        <v>44754</v>
      </c>
      <c r="C1861" s="5">
        <v>62.67</v>
      </c>
      <c r="D1861" s="5">
        <v>63</v>
      </c>
      <c r="E1861" s="5">
        <v>63.45</v>
      </c>
      <c r="F1861" s="5">
        <v>62.47</v>
      </c>
      <c r="G1861" s="18" t="s">
        <v>535</v>
      </c>
      <c r="H1861" s="2">
        <v>-4.3E-3</v>
      </c>
      <c r="I1861" s="16">
        <f t="shared" si="143"/>
        <v>-4.2897998093421675E-3</v>
      </c>
      <c r="J1861" s="16">
        <f t="shared" si="144"/>
        <v>0.99571020019065781</v>
      </c>
      <c r="K1861" s="16">
        <f t="shared" si="145"/>
        <v>61.915789473684214</v>
      </c>
      <c r="L1861" s="16">
        <f t="shared" si="146"/>
        <v>62.942653061224483</v>
      </c>
      <c r="M1861" s="25" t="str">
        <f t="shared" si="147"/>
        <v>HOLD</v>
      </c>
    </row>
    <row r="1862" spans="2:13">
      <c r="B1862" s="3">
        <v>44755</v>
      </c>
      <c r="C1862" s="5">
        <v>62.38</v>
      </c>
      <c r="D1862" s="5">
        <v>62.33</v>
      </c>
      <c r="E1862" s="5">
        <v>63</v>
      </c>
      <c r="F1862" s="5">
        <v>61.98</v>
      </c>
      <c r="G1862" s="18" t="s">
        <v>534</v>
      </c>
      <c r="H1862" s="2">
        <v>-4.5999999999999999E-3</v>
      </c>
      <c r="I1862" s="16">
        <f t="shared" si="143"/>
        <v>-4.627413435455547E-3</v>
      </c>
      <c r="J1862" s="16">
        <f t="shared" si="144"/>
        <v>0.99537258656454441</v>
      </c>
      <c r="K1862" s="16">
        <f t="shared" si="145"/>
        <v>61.985789473684214</v>
      </c>
      <c r="L1862" s="16">
        <f t="shared" si="146"/>
        <v>62.903061224489797</v>
      </c>
      <c r="M1862" s="25" t="str">
        <f t="shared" si="147"/>
        <v>HOLD</v>
      </c>
    </row>
    <row r="1863" spans="2:13">
      <c r="B1863" s="3">
        <v>44756</v>
      </c>
      <c r="C1863" s="5">
        <v>62.18</v>
      </c>
      <c r="D1863" s="5">
        <v>61.33</v>
      </c>
      <c r="E1863" s="5">
        <v>62.25</v>
      </c>
      <c r="F1863" s="5">
        <v>61.3</v>
      </c>
      <c r="G1863" s="18" t="s">
        <v>533</v>
      </c>
      <c r="H1863" s="2">
        <v>-3.2000000000000002E-3</v>
      </c>
      <c r="I1863" s="16">
        <f t="shared" si="143"/>
        <v>-3.2061558191728572E-3</v>
      </c>
      <c r="J1863" s="16">
        <f t="shared" si="144"/>
        <v>0.99679384418082717</v>
      </c>
      <c r="K1863" s="16">
        <f t="shared" si="145"/>
        <v>62.151578947368428</v>
      </c>
      <c r="L1863" s="16">
        <f t="shared" si="146"/>
        <v>62.881428571428572</v>
      </c>
      <c r="M1863" s="25" t="str">
        <f t="shared" si="147"/>
        <v>HOLD</v>
      </c>
    </row>
    <row r="1864" spans="2:13">
      <c r="B1864" s="3">
        <v>44757</v>
      </c>
      <c r="C1864" s="5">
        <v>62.5</v>
      </c>
      <c r="D1864" s="5">
        <v>62.75</v>
      </c>
      <c r="E1864" s="5">
        <v>62.97</v>
      </c>
      <c r="F1864" s="5">
        <v>62.07</v>
      </c>
      <c r="G1864" s="18" t="s">
        <v>532</v>
      </c>
      <c r="H1864" s="2">
        <v>5.1000000000000004E-3</v>
      </c>
      <c r="I1864" s="16">
        <f t="shared" si="143"/>
        <v>5.146349308459316E-3</v>
      </c>
      <c r="J1864" s="16">
        <f t="shared" si="144"/>
        <v>1.0051463493084594</v>
      </c>
      <c r="K1864" s="16">
        <f t="shared" si="145"/>
        <v>62.283684210526324</v>
      </c>
      <c r="L1864" s="16">
        <f t="shared" si="146"/>
        <v>62.863061224489805</v>
      </c>
      <c r="M1864" s="25" t="str">
        <f t="shared" si="147"/>
        <v>HOLD</v>
      </c>
    </row>
    <row r="1865" spans="2:13">
      <c r="B1865" s="3">
        <v>44760</v>
      </c>
      <c r="C1865" s="5">
        <v>61.65</v>
      </c>
      <c r="D1865" s="5">
        <v>62.52</v>
      </c>
      <c r="E1865" s="5">
        <v>62.56</v>
      </c>
      <c r="F1865" s="5">
        <v>61.51</v>
      </c>
      <c r="G1865" s="18" t="s">
        <v>531</v>
      </c>
      <c r="H1865" s="2">
        <v>-1.3599999999999999E-2</v>
      </c>
      <c r="I1865" s="16">
        <f t="shared" ref="I1865:I1928" si="148">(C1865-C1864)/C1864</f>
        <v>-1.3600000000000024E-2</v>
      </c>
      <c r="J1865" s="16">
        <f t="shared" ref="J1865:J1928" si="149">C1865/C1864</f>
        <v>0.98639999999999994</v>
      </c>
      <c r="K1865" s="16">
        <f t="shared" si="145"/>
        <v>62.464210526315789</v>
      </c>
      <c r="L1865" s="16">
        <f t="shared" si="146"/>
        <v>62.811428571428578</v>
      </c>
      <c r="M1865" s="25" t="str">
        <f t="shared" si="147"/>
        <v>HOLD</v>
      </c>
    </row>
    <row r="1866" spans="2:13">
      <c r="B1866" s="3">
        <v>44761</v>
      </c>
      <c r="C1866" s="5">
        <v>62.53</v>
      </c>
      <c r="D1866" s="5">
        <v>62.09</v>
      </c>
      <c r="E1866" s="5">
        <v>62.65</v>
      </c>
      <c r="F1866" s="5">
        <v>61.92</v>
      </c>
      <c r="G1866" s="18" t="s">
        <v>189</v>
      </c>
      <c r="H1866" s="2">
        <v>1.43E-2</v>
      </c>
      <c r="I1866" s="16">
        <f t="shared" si="148"/>
        <v>1.4274128142741323E-2</v>
      </c>
      <c r="J1866" s="16">
        <f t="shared" si="149"/>
        <v>1.0142741281427414</v>
      </c>
      <c r="K1866" s="16">
        <f t="shared" si="145"/>
        <v>62.581052631578949</v>
      </c>
      <c r="L1866" s="16">
        <f t="shared" si="146"/>
        <v>62.753061224489798</v>
      </c>
      <c r="M1866" s="25" t="str">
        <f t="shared" si="147"/>
        <v>HOLD</v>
      </c>
    </row>
    <row r="1867" spans="2:13">
      <c r="B1867" s="3">
        <v>44762</v>
      </c>
      <c r="C1867" s="5">
        <v>61.5</v>
      </c>
      <c r="D1867" s="5">
        <v>62.4</v>
      </c>
      <c r="E1867" s="5">
        <v>62.58</v>
      </c>
      <c r="F1867" s="5">
        <v>61.15</v>
      </c>
      <c r="G1867" s="18" t="s">
        <v>140</v>
      </c>
      <c r="H1867" s="2">
        <v>-1.6500000000000001E-2</v>
      </c>
      <c r="I1867" s="16">
        <f t="shared" si="148"/>
        <v>-1.6472093395170338E-2</v>
      </c>
      <c r="J1867" s="16">
        <f t="shared" si="149"/>
        <v>0.98352790660482969</v>
      </c>
      <c r="K1867" s="16">
        <f t="shared" si="145"/>
        <v>62.677368421052613</v>
      </c>
      <c r="L1867" s="16">
        <f t="shared" si="146"/>
        <v>62.707959183673481</v>
      </c>
      <c r="M1867" s="25" t="str">
        <f t="shared" si="147"/>
        <v>HOLD</v>
      </c>
    </row>
    <row r="1868" spans="2:13">
      <c r="B1868" s="3">
        <v>44763</v>
      </c>
      <c r="C1868" s="5">
        <v>61.36</v>
      </c>
      <c r="D1868" s="5">
        <v>61.26</v>
      </c>
      <c r="E1868" s="5">
        <v>61.88</v>
      </c>
      <c r="F1868" s="5">
        <v>60.79</v>
      </c>
      <c r="G1868" s="18" t="s">
        <v>134</v>
      </c>
      <c r="H1868" s="2">
        <v>-2.3E-3</v>
      </c>
      <c r="I1868" s="16">
        <f t="shared" si="148"/>
        <v>-2.2764227642276514E-3</v>
      </c>
      <c r="J1868" s="16">
        <f t="shared" si="149"/>
        <v>0.99772357723577232</v>
      </c>
      <c r="K1868" s="16">
        <f t="shared" si="145"/>
        <v>62.695789473684201</v>
      </c>
      <c r="L1868" s="16">
        <f t="shared" si="146"/>
        <v>62.644489795918375</v>
      </c>
      <c r="M1868" s="25" t="str">
        <f t="shared" si="147"/>
        <v>BUY</v>
      </c>
    </row>
    <row r="1869" spans="2:13">
      <c r="B1869" s="3">
        <v>44764</v>
      </c>
      <c r="C1869" s="5">
        <v>61.59</v>
      </c>
      <c r="D1869" s="5">
        <v>61.38</v>
      </c>
      <c r="E1869" s="5">
        <v>61.87</v>
      </c>
      <c r="F1869" s="5">
        <v>61.32</v>
      </c>
      <c r="G1869" s="18" t="s">
        <v>530</v>
      </c>
      <c r="H1869" s="2">
        <v>3.7000000000000002E-3</v>
      </c>
      <c r="I1869" s="16">
        <f t="shared" si="148"/>
        <v>3.7483702737940673E-3</v>
      </c>
      <c r="J1869" s="16">
        <f t="shared" si="149"/>
        <v>1.0037483702737942</v>
      </c>
      <c r="K1869" s="16">
        <f t="shared" si="145"/>
        <v>62.668421052631558</v>
      </c>
      <c r="L1869" s="16">
        <f t="shared" si="146"/>
        <v>62.590408163265323</v>
      </c>
      <c r="M1869" s="25" t="str">
        <f t="shared" si="147"/>
        <v>HOLD</v>
      </c>
    </row>
    <row r="1870" spans="2:13">
      <c r="B1870" s="3">
        <v>44767</v>
      </c>
      <c r="C1870" s="5">
        <v>62.19</v>
      </c>
      <c r="D1870" s="5">
        <v>61.55</v>
      </c>
      <c r="E1870" s="5">
        <v>62.3</v>
      </c>
      <c r="F1870" s="5">
        <v>61.31</v>
      </c>
      <c r="G1870" s="18" t="s">
        <v>285</v>
      </c>
      <c r="H1870" s="2">
        <v>9.7000000000000003E-3</v>
      </c>
      <c r="I1870" s="16">
        <f t="shared" si="148"/>
        <v>9.7418412079882163E-3</v>
      </c>
      <c r="J1870" s="16">
        <f t="shared" si="149"/>
        <v>1.0097418412079882</v>
      </c>
      <c r="K1870" s="16">
        <f t="shared" si="145"/>
        <v>62.592105263157869</v>
      </c>
      <c r="L1870" s="16">
        <f t="shared" si="146"/>
        <v>62.534897959183695</v>
      </c>
      <c r="M1870" s="25" t="str">
        <f t="shared" si="147"/>
        <v>HOLD</v>
      </c>
    </row>
    <row r="1871" spans="2:13">
      <c r="B1871" s="3">
        <v>44768</v>
      </c>
      <c r="C1871" s="5">
        <v>63.21</v>
      </c>
      <c r="D1871" s="5">
        <v>62.75</v>
      </c>
      <c r="E1871" s="5">
        <v>63.8</v>
      </c>
      <c r="F1871" s="5">
        <v>62.53</v>
      </c>
      <c r="G1871" s="18" t="s">
        <v>529</v>
      </c>
      <c r="H1871" s="2">
        <v>1.6400000000000001E-2</v>
      </c>
      <c r="I1871" s="16">
        <f t="shared" si="148"/>
        <v>1.6401350699469418E-2</v>
      </c>
      <c r="J1871" s="16">
        <f t="shared" si="149"/>
        <v>1.0164013506994694</v>
      </c>
      <c r="K1871" s="16">
        <f t="shared" si="145"/>
        <v>62.554210526315778</v>
      </c>
      <c r="L1871" s="16">
        <f t="shared" si="146"/>
        <v>62.487551020408191</v>
      </c>
      <c r="M1871" s="25" t="str">
        <f t="shared" si="147"/>
        <v>HOLD</v>
      </c>
    </row>
    <row r="1872" spans="2:13">
      <c r="B1872" s="3">
        <v>44769</v>
      </c>
      <c r="C1872" s="5">
        <v>63.01</v>
      </c>
      <c r="D1872" s="5">
        <v>62.88</v>
      </c>
      <c r="E1872" s="5">
        <v>63.19</v>
      </c>
      <c r="F1872" s="5">
        <v>61.78</v>
      </c>
      <c r="G1872" s="18" t="s">
        <v>146</v>
      </c>
      <c r="H1872" s="2">
        <v>-3.2000000000000002E-3</v>
      </c>
      <c r="I1872" s="16">
        <f t="shared" si="148"/>
        <v>-3.1640563202025443E-3</v>
      </c>
      <c r="J1872" s="16">
        <f t="shared" si="149"/>
        <v>0.99683594367979744</v>
      </c>
      <c r="K1872" s="16">
        <f t="shared" si="145"/>
        <v>62.603157894736846</v>
      </c>
      <c r="L1872" s="16">
        <f t="shared" si="146"/>
        <v>62.436326530612263</v>
      </c>
      <c r="M1872" s="25" t="str">
        <f t="shared" si="147"/>
        <v>HOLD</v>
      </c>
    </row>
    <row r="1873" spans="2:13">
      <c r="B1873" s="3">
        <v>44770</v>
      </c>
      <c r="C1873" s="5">
        <v>64.06</v>
      </c>
      <c r="D1873" s="5">
        <v>62.92</v>
      </c>
      <c r="E1873" s="5">
        <v>64.25</v>
      </c>
      <c r="F1873" s="5">
        <v>62.89</v>
      </c>
      <c r="G1873" s="18" t="s">
        <v>528</v>
      </c>
      <c r="H1873" s="2">
        <v>1.67E-2</v>
      </c>
      <c r="I1873" s="16">
        <f t="shared" si="148"/>
        <v>1.6664021583875643E-2</v>
      </c>
      <c r="J1873" s="16">
        <f t="shared" si="149"/>
        <v>1.0166640215838756</v>
      </c>
      <c r="K1873" s="16">
        <f t="shared" si="145"/>
        <v>62.617894736842103</v>
      </c>
      <c r="L1873" s="16">
        <f t="shared" si="146"/>
        <v>62.376122448979615</v>
      </c>
      <c r="M1873" s="25" t="str">
        <f t="shared" si="147"/>
        <v>HOLD</v>
      </c>
    </row>
    <row r="1874" spans="2:13">
      <c r="B1874" s="3">
        <v>44771</v>
      </c>
      <c r="C1874" s="5">
        <v>64.17</v>
      </c>
      <c r="D1874" s="5">
        <v>63.71</v>
      </c>
      <c r="E1874" s="5">
        <v>64.290000000000006</v>
      </c>
      <c r="F1874" s="5">
        <v>63.63</v>
      </c>
      <c r="G1874" s="18" t="s">
        <v>527</v>
      </c>
      <c r="H1874" s="2">
        <v>1.6999999999999999E-3</v>
      </c>
      <c r="I1874" s="16">
        <f t="shared" si="148"/>
        <v>1.7171401810802283E-3</v>
      </c>
      <c r="J1874" s="16">
        <f t="shared" si="149"/>
        <v>1.0017171401810803</v>
      </c>
      <c r="K1874" s="16">
        <f t="shared" si="145"/>
        <v>62.67842105263157</v>
      </c>
      <c r="L1874" s="16">
        <f t="shared" si="146"/>
        <v>62.341020408163281</v>
      </c>
      <c r="M1874" s="25" t="str">
        <f t="shared" si="147"/>
        <v>HOLD</v>
      </c>
    </row>
    <row r="1875" spans="2:13">
      <c r="B1875" s="3">
        <v>44774</v>
      </c>
      <c r="C1875" s="5">
        <v>64.52</v>
      </c>
      <c r="D1875" s="5">
        <v>64.09</v>
      </c>
      <c r="E1875" s="5">
        <v>65.040000000000006</v>
      </c>
      <c r="F1875" s="5">
        <v>64.03</v>
      </c>
      <c r="G1875" s="18" t="s">
        <v>463</v>
      </c>
      <c r="H1875" s="2">
        <v>5.4999999999999997E-3</v>
      </c>
      <c r="I1875" s="16">
        <f t="shared" si="148"/>
        <v>5.4542621162536123E-3</v>
      </c>
      <c r="J1875" s="16">
        <f t="shared" si="149"/>
        <v>1.0054542621162537</v>
      </c>
      <c r="K1875" s="16">
        <f t="shared" si="145"/>
        <v>62.667368421052636</v>
      </c>
      <c r="L1875" s="16">
        <f t="shared" si="146"/>
        <v>62.401632653061249</v>
      </c>
      <c r="M1875" s="25" t="str">
        <f t="shared" si="147"/>
        <v>HOLD</v>
      </c>
    </row>
    <row r="1876" spans="2:13">
      <c r="B1876" s="3">
        <v>44775</v>
      </c>
      <c r="C1876" s="5">
        <v>63.64</v>
      </c>
      <c r="D1876" s="5">
        <v>64.59</v>
      </c>
      <c r="E1876" s="5">
        <v>64.599999999999994</v>
      </c>
      <c r="F1876" s="5">
        <v>63.43</v>
      </c>
      <c r="G1876" s="18" t="s">
        <v>142</v>
      </c>
      <c r="H1876" s="2">
        <v>-1.3599999999999999E-2</v>
      </c>
      <c r="I1876" s="16">
        <f t="shared" si="148"/>
        <v>-1.3639181649100985E-2</v>
      </c>
      <c r="J1876" s="16">
        <f t="shared" si="149"/>
        <v>0.98636081835089906</v>
      </c>
      <c r="K1876" s="16">
        <f t="shared" si="145"/>
        <v>62.73263157894737</v>
      </c>
      <c r="L1876" s="16">
        <f t="shared" si="146"/>
        <v>62.493877551020439</v>
      </c>
      <c r="M1876" s="25" t="str">
        <f t="shared" si="147"/>
        <v>HOLD</v>
      </c>
    </row>
    <row r="1877" spans="2:13">
      <c r="B1877" s="3">
        <v>44776</v>
      </c>
      <c r="C1877" s="5">
        <v>63.92</v>
      </c>
      <c r="D1877" s="5">
        <v>63.55</v>
      </c>
      <c r="E1877" s="5">
        <v>64.09</v>
      </c>
      <c r="F1877" s="5">
        <v>63.31</v>
      </c>
      <c r="G1877" s="18" t="s">
        <v>526</v>
      </c>
      <c r="H1877" s="2">
        <v>4.4000000000000003E-3</v>
      </c>
      <c r="I1877" s="16">
        <f t="shared" si="148"/>
        <v>4.3997485857951149E-3</v>
      </c>
      <c r="J1877" s="16">
        <f t="shared" si="149"/>
        <v>1.0043997485857952</v>
      </c>
      <c r="K1877" s="16">
        <f t="shared" si="145"/>
        <v>62.744736842105269</v>
      </c>
      <c r="L1877" s="16">
        <f t="shared" si="146"/>
        <v>62.548163265306151</v>
      </c>
      <c r="M1877" s="25" t="str">
        <f t="shared" si="147"/>
        <v>HOLD</v>
      </c>
    </row>
    <row r="1878" spans="2:13">
      <c r="B1878" s="3">
        <v>44777</v>
      </c>
      <c r="C1878" s="5">
        <v>63.67</v>
      </c>
      <c r="D1878" s="5">
        <v>63.64</v>
      </c>
      <c r="E1878" s="5">
        <v>63.73</v>
      </c>
      <c r="F1878" s="5">
        <v>62.92</v>
      </c>
      <c r="G1878" s="18" t="s">
        <v>525</v>
      </c>
      <c r="H1878" s="2">
        <v>-3.8999999999999998E-3</v>
      </c>
      <c r="I1878" s="16">
        <f t="shared" si="148"/>
        <v>-3.9111389236545684E-3</v>
      </c>
      <c r="J1878" s="16">
        <f t="shared" si="149"/>
        <v>0.99608886107634542</v>
      </c>
      <c r="K1878" s="16">
        <f t="shared" si="145"/>
        <v>62.797894736842125</v>
      </c>
      <c r="L1878" s="16">
        <f t="shared" si="146"/>
        <v>62.569795918367376</v>
      </c>
      <c r="M1878" s="25" t="str">
        <f t="shared" si="147"/>
        <v>HOLD</v>
      </c>
    </row>
    <row r="1879" spans="2:13">
      <c r="B1879" s="3">
        <v>44778</v>
      </c>
      <c r="C1879" s="5">
        <v>63.38</v>
      </c>
      <c r="D1879" s="5">
        <v>63.63</v>
      </c>
      <c r="E1879" s="5">
        <v>63.63</v>
      </c>
      <c r="F1879" s="5">
        <v>62.67</v>
      </c>
      <c r="G1879" s="18" t="s">
        <v>299</v>
      </c>
      <c r="H1879" s="2">
        <v>-4.5999999999999999E-3</v>
      </c>
      <c r="I1879" s="16">
        <f t="shared" si="148"/>
        <v>-4.554735354169925E-3</v>
      </c>
      <c r="J1879" s="16">
        <f t="shared" si="149"/>
        <v>0.99544526464583005</v>
      </c>
      <c r="K1879" s="16">
        <f t="shared" si="145"/>
        <v>62.82578947368421</v>
      </c>
      <c r="L1879" s="16">
        <f t="shared" si="146"/>
        <v>62.562653061224523</v>
      </c>
      <c r="M1879" s="25" t="str">
        <f t="shared" si="147"/>
        <v>HOLD</v>
      </c>
    </row>
    <row r="1880" spans="2:13">
      <c r="B1880" s="3">
        <v>44781</v>
      </c>
      <c r="C1880" s="5">
        <v>62.97</v>
      </c>
      <c r="D1880" s="5">
        <v>63.5</v>
      </c>
      <c r="E1880" s="5">
        <v>63.81</v>
      </c>
      <c r="F1880" s="5">
        <v>62.75</v>
      </c>
      <c r="G1880" s="18" t="s">
        <v>524</v>
      </c>
      <c r="H1880" s="2">
        <v>-6.4999999999999997E-3</v>
      </c>
      <c r="I1880" s="16">
        <f t="shared" si="148"/>
        <v>-6.4689176396340118E-3</v>
      </c>
      <c r="J1880" s="16">
        <f t="shared" si="149"/>
        <v>0.99353108236036602</v>
      </c>
      <c r="K1880" s="16">
        <f t="shared" si="145"/>
        <v>62.848947368421058</v>
      </c>
      <c r="L1880" s="16">
        <f t="shared" si="146"/>
        <v>62.548571428571456</v>
      </c>
      <c r="M1880" s="25" t="str">
        <f t="shared" si="147"/>
        <v>HOLD</v>
      </c>
    </row>
    <row r="1881" spans="2:13">
      <c r="B1881" s="3">
        <v>44782</v>
      </c>
      <c r="C1881" s="5">
        <v>63.05</v>
      </c>
      <c r="D1881" s="5">
        <v>63.18</v>
      </c>
      <c r="E1881" s="5">
        <v>63.31</v>
      </c>
      <c r="F1881" s="5">
        <v>62.85</v>
      </c>
      <c r="G1881" s="18" t="s">
        <v>514</v>
      </c>
      <c r="H1881" s="2">
        <v>1.2999999999999999E-3</v>
      </c>
      <c r="I1881" s="16">
        <f t="shared" si="148"/>
        <v>1.2704462442432634E-3</v>
      </c>
      <c r="J1881" s="16">
        <f t="shared" si="149"/>
        <v>1.0012704462442432</v>
      </c>
      <c r="K1881" s="16">
        <f t="shared" si="145"/>
        <v>62.864736842105266</v>
      </c>
      <c r="L1881" s="16">
        <f t="shared" si="146"/>
        <v>62.521428571428615</v>
      </c>
      <c r="M1881" s="25" t="str">
        <f t="shared" si="147"/>
        <v>HOLD</v>
      </c>
    </row>
    <row r="1882" spans="2:13">
      <c r="B1882" s="3">
        <v>44783</v>
      </c>
      <c r="C1882" s="5">
        <v>63.65</v>
      </c>
      <c r="D1882" s="5">
        <v>63.63</v>
      </c>
      <c r="E1882" s="5">
        <v>63.79</v>
      </c>
      <c r="F1882" s="5">
        <v>63.1</v>
      </c>
      <c r="G1882" s="18" t="s">
        <v>523</v>
      </c>
      <c r="H1882" s="2">
        <v>9.4999999999999998E-3</v>
      </c>
      <c r="I1882" s="16">
        <f t="shared" si="148"/>
        <v>9.5162569389373747E-3</v>
      </c>
      <c r="J1882" s="16">
        <f t="shared" si="149"/>
        <v>1.0095162569389373</v>
      </c>
      <c r="K1882" s="16">
        <f t="shared" si="145"/>
        <v>62.9</v>
      </c>
      <c r="L1882" s="16">
        <f t="shared" si="146"/>
        <v>62.488163265306149</v>
      </c>
      <c r="M1882" s="25" t="str">
        <f t="shared" si="147"/>
        <v>HOLD</v>
      </c>
    </row>
    <row r="1883" spans="2:13">
      <c r="B1883" s="3">
        <v>44784</v>
      </c>
      <c r="C1883" s="5">
        <v>63.22</v>
      </c>
      <c r="D1883" s="5">
        <v>63.69</v>
      </c>
      <c r="E1883" s="5">
        <v>63.99</v>
      </c>
      <c r="F1883" s="5">
        <v>63.08</v>
      </c>
      <c r="G1883" s="18" t="s">
        <v>522</v>
      </c>
      <c r="H1883" s="2">
        <v>-6.7999999999999996E-3</v>
      </c>
      <c r="I1883" s="16">
        <f t="shared" si="148"/>
        <v>-6.7556952081696733E-3</v>
      </c>
      <c r="J1883" s="16">
        <f t="shared" si="149"/>
        <v>0.99324430479183035</v>
      </c>
      <c r="K1883" s="16">
        <f t="shared" ref="K1883:K1946" si="150">AVERAGE(C1864:C1882)</f>
        <v>62.977368421052617</v>
      </c>
      <c r="L1883" s="16">
        <f t="shared" si="146"/>
        <v>62.493673469387787</v>
      </c>
      <c r="M1883" s="25" t="str">
        <f t="shared" si="147"/>
        <v>HOLD</v>
      </c>
    </row>
    <row r="1884" spans="2:13">
      <c r="B1884" s="3">
        <v>44785</v>
      </c>
      <c r="C1884" s="5">
        <v>63.7</v>
      </c>
      <c r="D1884" s="5">
        <v>63.43</v>
      </c>
      <c r="E1884" s="5">
        <v>63.76</v>
      </c>
      <c r="F1884" s="5">
        <v>63.09</v>
      </c>
      <c r="G1884" s="18" t="s">
        <v>521</v>
      </c>
      <c r="H1884" s="2">
        <v>7.6E-3</v>
      </c>
      <c r="I1884" s="16">
        <f t="shared" si="148"/>
        <v>7.5925340082253082E-3</v>
      </c>
      <c r="J1884" s="16">
        <f t="shared" si="149"/>
        <v>1.0075925340082252</v>
      </c>
      <c r="K1884" s="16">
        <f t="shared" si="150"/>
        <v>63.015263157894736</v>
      </c>
      <c r="L1884" s="16">
        <f t="shared" si="146"/>
        <v>62.496734693877571</v>
      </c>
      <c r="M1884" s="25" t="str">
        <f t="shared" si="147"/>
        <v>HOLD</v>
      </c>
    </row>
    <row r="1885" spans="2:13">
      <c r="B1885" s="3">
        <v>44788</v>
      </c>
      <c r="C1885" s="5">
        <v>64.5</v>
      </c>
      <c r="D1885" s="5">
        <v>63.64</v>
      </c>
      <c r="E1885" s="5">
        <v>64.69</v>
      </c>
      <c r="F1885" s="5">
        <v>63.57</v>
      </c>
      <c r="G1885" s="18" t="s">
        <v>520</v>
      </c>
      <c r="H1885" s="2">
        <v>1.26E-2</v>
      </c>
      <c r="I1885" s="16">
        <f t="shared" si="148"/>
        <v>1.25588697017268E-2</v>
      </c>
      <c r="J1885" s="16">
        <f t="shared" si="149"/>
        <v>1.0125588697017267</v>
      </c>
      <c r="K1885" s="16">
        <f t="shared" si="150"/>
        <v>63.123157894736835</v>
      </c>
      <c r="L1885" s="16">
        <f t="shared" si="146"/>
        <v>62.496122448979619</v>
      </c>
      <c r="M1885" s="25" t="str">
        <f t="shared" si="147"/>
        <v>HOLD</v>
      </c>
    </row>
    <row r="1886" spans="2:13">
      <c r="B1886" s="3">
        <v>44789</v>
      </c>
      <c r="C1886" s="5">
        <v>65.03</v>
      </c>
      <c r="D1886" s="5">
        <v>64.569999999999993</v>
      </c>
      <c r="E1886" s="5">
        <v>65.23</v>
      </c>
      <c r="F1886" s="5">
        <v>64.33</v>
      </c>
      <c r="G1886" s="18" t="s">
        <v>175</v>
      </c>
      <c r="H1886" s="2">
        <v>8.2000000000000007E-3</v>
      </c>
      <c r="I1886" s="16">
        <f t="shared" si="148"/>
        <v>8.2170542635659084E-3</v>
      </c>
      <c r="J1886" s="16">
        <f t="shared" si="149"/>
        <v>1.008217054263566</v>
      </c>
      <c r="K1886" s="16">
        <f t="shared" si="150"/>
        <v>63.226842105263152</v>
      </c>
      <c r="L1886" s="16">
        <f t="shared" si="146"/>
        <v>62.527346938775523</v>
      </c>
      <c r="M1886" s="25" t="str">
        <f t="shared" si="147"/>
        <v>HOLD</v>
      </c>
    </row>
    <row r="1887" spans="2:13">
      <c r="B1887" s="3">
        <v>44790</v>
      </c>
      <c r="C1887" s="5">
        <v>64.88</v>
      </c>
      <c r="D1887" s="5">
        <v>64.83</v>
      </c>
      <c r="E1887" s="5">
        <v>65.22</v>
      </c>
      <c r="F1887" s="5">
        <v>64.760000000000005</v>
      </c>
      <c r="G1887" s="18" t="s">
        <v>519</v>
      </c>
      <c r="H1887" s="2">
        <v>-2.3E-3</v>
      </c>
      <c r="I1887" s="16">
        <f t="shared" si="148"/>
        <v>-2.3066277102876472E-3</v>
      </c>
      <c r="J1887" s="16">
        <f t="shared" si="149"/>
        <v>0.99769337228971233</v>
      </c>
      <c r="K1887" s="16">
        <f t="shared" si="150"/>
        <v>63.412631578947362</v>
      </c>
      <c r="L1887" s="16">
        <f t="shared" si="146"/>
        <v>62.571428571428591</v>
      </c>
      <c r="M1887" s="25" t="str">
        <f t="shared" si="147"/>
        <v>HOLD</v>
      </c>
    </row>
    <row r="1888" spans="2:13">
      <c r="B1888" s="3">
        <v>44791</v>
      </c>
      <c r="C1888" s="5">
        <v>65.22</v>
      </c>
      <c r="D1888" s="5">
        <v>64.959999999999994</v>
      </c>
      <c r="E1888" s="5">
        <v>65.349999999999994</v>
      </c>
      <c r="F1888" s="5">
        <v>64.709999999999994</v>
      </c>
      <c r="G1888" s="18" t="s">
        <v>518</v>
      </c>
      <c r="H1888" s="2">
        <v>5.1999999999999998E-3</v>
      </c>
      <c r="I1888" s="16">
        <f t="shared" si="148"/>
        <v>5.2404438964242205E-3</v>
      </c>
      <c r="J1888" s="16">
        <f t="shared" si="149"/>
        <v>1.0052404438964242</v>
      </c>
      <c r="K1888" s="16">
        <f t="shared" si="150"/>
        <v>63.597894736842086</v>
      </c>
      <c r="L1888" s="16">
        <f t="shared" si="146"/>
        <v>62.604693877551028</v>
      </c>
      <c r="M1888" s="25" t="str">
        <f t="shared" si="147"/>
        <v>HOLD</v>
      </c>
    </row>
    <row r="1889" spans="2:13">
      <c r="B1889" s="3">
        <v>44792</v>
      </c>
      <c r="C1889" s="5">
        <v>65.17</v>
      </c>
      <c r="D1889" s="5">
        <v>65.209999999999994</v>
      </c>
      <c r="E1889" s="5">
        <v>65.47</v>
      </c>
      <c r="F1889" s="5">
        <v>64.959999999999994</v>
      </c>
      <c r="G1889" s="18" t="s">
        <v>517</v>
      </c>
      <c r="H1889" s="2">
        <v>-8.0000000000000004E-4</v>
      </c>
      <c r="I1889" s="16">
        <f t="shared" si="148"/>
        <v>-7.6663600122657408E-4</v>
      </c>
      <c r="J1889" s="16">
        <f t="shared" si="149"/>
        <v>0.99923336399877338</v>
      </c>
      <c r="K1889" s="16">
        <f t="shared" si="150"/>
        <v>63.788947368421056</v>
      </c>
      <c r="L1889" s="16">
        <f t="shared" si="146"/>
        <v>62.652244897959193</v>
      </c>
      <c r="M1889" s="25" t="str">
        <f t="shared" si="147"/>
        <v>HOLD</v>
      </c>
    </row>
    <row r="1890" spans="2:13">
      <c r="B1890" s="3">
        <v>44795</v>
      </c>
      <c r="C1890" s="5">
        <v>64.2</v>
      </c>
      <c r="D1890" s="5">
        <v>64.84</v>
      </c>
      <c r="E1890" s="5">
        <v>64.92</v>
      </c>
      <c r="F1890" s="5">
        <v>63.99</v>
      </c>
      <c r="G1890" s="18" t="s">
        <v>403</v>
      </c>
      <c r="H1890" s="2">
        <v>-1.49E-2</v>
      </c>
      <c r="I1890" s="16">
        <f t="shared" si="148"/>
        <v>-1.488414914838114E-2</v>
      </c>
      <c r="J1890" s="16">
        <f t="shared" si="149"/>
        <v>0.9851158508516189</v>
      </c>
      <c r="K1890" s="16">
        <f t="shared" si="150"/>
        <v>63.945789473684215</v>
      </c>
      <c r="L1890" s="16">
        <f t="shared" si="146"/>
        <v>62.72102040816327</v>
      </c>
      <c r="M1890" s="25" t="str">
        <f t="shared" si="147"/>
        <v>HOLD</v>
      </c>
    </row>
    <row r="1891" spans="2:13">
      <c r="B1891" s="3">
        <v>44796</v>
      </c>
      <c r="C1891" s="5">
        <v>64.27</v>
      </c>
      <c r="D1891" s="5">
        <v>63.82</v>
      </c>
      <c r="E1891" s="5">
        <v>64.37</v>
      </c>
      <c r="F1891" s="5">
        <v>63.68</v>
      </c>
      <c r="G1891" s="18" t="s">
        <v>516</v>
      </c>
      <c r="H1891" s="2">
        <v>1.1000000000000001E-3</v>
      </c>
      <c r="I1891" s="16">
        <f t="shared" si="148"/>
        <v>1.0903426791276196E-3</v>
      </c>
      <c r="J1891" s="16">
        <f t="shared" si="149"/>
        <v>1.0010903426791276</v>
      </c>
      <c r="K1891" s="16">
        <f t="shared" si="150"/>
        <v>63.997894736842106</v>
      </c>
      <c r="L1891" s="16">
        <f t="shared" si="146"/>
        <v>62.777959183673467</v>
      </c>
      <c r="M1891" s="25" t="str">
        <f t="shared" si="147"/>
        <v>HOLD</v>
      </c>
    </row>
    <row r="1892" spans="2:13">
      <c r="B1892" s="3">
        <v>44797</v>
      </c>
      <c r="C1892" s="5">
        <v>64.36</v>
      </c>
      <c r="D1892" s="5">
        <v>64.239999999999995</v>
      </c>
      <c r="E1892" s="5">
        <v>64.569999999999993</v>
      </c>
      <c r="F1892" s="5">
        <v>64.05</v>
      </c>
      <c r="G1892" s="18" t="s">
        <v>515</v>
      </c>
      <c r="H1892" s="2">
        <v>1.4E-3</v>
      </c>
      <c r="I1892" s="16">
        <f t="shared" si="148"/>
        <v>1.4003423058970503E-3</v>
      </c>
      <c r="J1892" s="16">
        <f t="shared" si="149"/>
        <v>1.001400342305897</v>
      </c>
      <c r="K1892" s="16">
        <f t="shared" si="150"/>
        <v>64.06421052631579</v>
      </c>
      <c r="L1892" s="16">
        <f t="shared" si="146"/>
        <v>62.837755102040823</v>
      </c>
      <c r="M1892" s="25" t="str">
        <f t="shared" si="147"/>
        <v>HOLD</v>
      </c>
    </row>
    <row r="1893" spans="2:13">
      <c r="B1893" s="3">
        <v>44798</v>
      </c>
      <c r="C1893" s="5">
        <v>64.67</v>
      </c>
      <c r="D1893" s="5">
        <v>64.36</v>
      </c>
      <c r="E1893" s="5">
        <v>64.709999999999994</v>
      </c>
      <c r="F1893" s="5">
        <v>63.9</v>
      </c>
      <c r="G1893" s="18" t="s">
        <v>514</v>
      </c>
      <c r="H1893" s="2">
        <v>4.7999999999999996E-3</v>
      </c>
      <c r="I1893" s="16">
        <f t="shared" si="148"/>
        <v>4.8166563082660393E-3</v>
      </c>
      <c r="J1893" s="16">
        <f t="shared" si="149"/>
        <v>1.0048166563082661</v>
      </c>
      <c r="K1893" s="16">
        <f t="shared" si="150"/>
        <v>64.08</v>
      </c>
      <c r="L1893" s="16">
        <f t="shared" si="146"/>
        <v>62.942448979591845</v>
      </c>
      <c r="M1893" s="25" t="str">
        <f t="shared" si="147"/>
        <v>HOLD</v>
      </c>
    </row>
    <row r="1894" spans="2:13">
      <c r="B1894" s="3">
        <v>44799</v>
      </c>
      <c r="C1894" s="5">
        <v>63.11</v>
      </c>
      <c r="D1894" s="5">
        <v>64.73</v>
      </c>
      <c r="E1894" s="5">
        <v>64.8</v>
      </c>
      <c r="F1894" s="5">
        <v>62.98</v>
      </c>
      <c r="G1894" s="18" t="s">
        <v>513</v>
      </c>
      <c r="H1894" s="2">
        <v>-2.41E-2</v>
      </c>
      <c r="I1894" s="16">
        <f t="shared" si="148"/>
        <v>-2.4122467914025086E-2</v>
      </c>
      <c r="J1894" s="16">
        <f t="shared" si="149"/>
        <v>0.97587753208597494</v>
      </c>
      <c r="K1894" s="16">
        <f t="shared" si="150"/>
        <v>64.106315789473683</v>
      </c>
      <c r="L1894" s="16">
        <f t="shared" si="146"/>
        <v>63.044489795918373</v>
      </c>
      <c r="M1894" s="25" t="str">
        <f t="shared" si="147"/>
        <v>HOLD</v>
      </c>
    </row>
    <row r="1895" spans="2:13">
      <c r="B1895" s="3">
        <v>44802</v>
      </c>
      <c r="C1895" s="5">
        <v>62.73</v>
      </c>
      <c r="D1895" s="5">
        <v>62.69</v>
      </c>
      <c r="E1895" s="5">
        <v>63.03</v>
      </c>
      <c r="F1895" s="5">
        <v>62.41</v>
      </c>
      <c r="G1895" s="18" t="s">
        <v>512</v>
      </c>
      <c r="H1895" s="2">
        <v>-6.0000000000000001E-3</v>
      </c>
      <c r="I1895" s="16">
        <f t="shared" si="148"/>
        <v>-6.0212327681825788E-3</v>
      </c>
      <c r="J1895" s="16">
        <f t="shared" si="149"/>
        <v>0.99397876723181744</v>
      </c>
      <c r="K1895" s="16">
        <f t="shared" si="150"/>
        <v>64.032105263157888</v>
      </c>
      <c r="L1895" s="16">
        <f t="shared" si="146"/>
        <v>63.126938775510212</v>
      </c>
      <c r="M1895" s="25" t="str">
        <f t="shared" si="147"/>
        <v>HOLD</v>
      </c>
    </row>
    <row r="1896" spans="2:13">
      <c r="B1896" s="3">
        <v>44803</v>
      </c>
      <c r="C1896" s="5">
        <v>62.15</v>
      </c>
      <c r="D1896" s="5">
        <v>62.91</v>
      </c>
      <c r="E1896" s="5">
        <v>62.91</v>
      </c>
      <c r="F1896" s="5">
        <v>61.99</v>
      </c>
      <c r="G1896" s="18" t="s">
        <v>511</v>
      </c>
      <c r="H1896" s="2">
        <v>-9.1999999999999998E-3</v>
      </c>
      <c r="I1896" s="16">
        <f t="shared" si="148"/>
        <v>-9.2459748126892758E-3</v>
      </c>
      <c r="J1896" s="16">
        <f t="shared" si="149"/>
        <v>0.99075402518731071</v>
      </c>
      <c r="K1896" s="16">
        <f t="shared" si="150"/>
        <v>63.984210526315778</v>
      </c>
      <c r="L1896" s="16">
        <f t="shared" si="146"/>
        <v>63.194285714285712</v>
      </c>
      <c r="M1896" s="25" t="str">
        <f t="shared" si="147"/>
        <v>HOLD</v>
      </c>
    </row>
    <row r="1897" spans="2:13">
      <c r="B1897" s="3">
        <v>44804</v>
      </c>
      <c r="C1897" s="5">
        <v>61.71</v>
      </c>
      <c r="D1897" s="5">
        <v>62.38</v>
      </c>
      <c r="E1897" s="5">
        <v>62.53</v>
      </c>
      <c r="F1897" s="5">
        <v>61.7</v>
      </c>
      <c r="G1897" s="18" t="s">
        <v>510</v>
      </c>
      <c r="H1897" s="2">
        <v>-7.1000000000000004E-3</v>
      </c>
      <c r="I1897" s="16">
        <f t="shared" si="148"/>
        <v>-7.0796460176990785E-3</v>
      </c>
      <c r="J1897" s="16">
        <f t="shared" si="149"/>
        <v>0.99292035398230094</v>
      </c>
      <c r="K1897" s="16">
        <f t="shared" si="150"/>
        <v>63.891052631578951</v>
      </c>
      <c r="L1897" s="16">
        <f t="shared" si="146"/>
        <v>63.223877551020415</v>
      </c>
      <c r="M1897" s="25" t="str">
        <f t="shared" si="147"/>
        <v>HOLD</v>
      </c>
    </row>
    <row r="1898" spans="2:13">
      <c r="B1898" s="3">
        <v>44805</v>
      </c>
      <c r="C1898" s="5">
        <v>62</v>
      </c>
      <c r="D1898" s="5">
        <v>61.58</v>
      </c>
      <c r="E1898" s="5">
        <v>62.04</v>
      </c>
      <c r="F1898" s="5">
        <v>61.29</v>
      </c>
      <c r="G1898" s="18" t="s">
        <v>285</v>
      </c>
      <c r="H1898" s="2">
        <v>4.7000000000000002E-3</v>
      </c>
      <c r="I1898" s="16">
        <f t="shared" si="148"/>
        <v>4.6994004213255407E-3</v>
      </c>
      <c r="J1898" s="16">
        <f t="shared" si="149"/>
        <v>1.0046994004213254</v>
      </c>
      <c r="K1898" s="16">
        <f t="shared" si="150"/>
        <v>63.787894736842105</v>
      </c>
      <c r="L1898" s="16">
        <f t="shared" si="146"/>
        <v>63.235306122448982</v>
      </c>
      <c r="M1898" s="25" t="str">
        <f t="shared" si="147"/>
        <v>HOLD</v>
      </c>
    </row>
    <row r="1899" spans="2:13">
      <c r="B1899" s="3">
        <v>44806</v>
      </c>
      <c r="C1899" s="5">
        <v>61.15</v>
      </c>
      <c r="D1899" s="5">
        <v>62.39</v>
      </c>
      <c r="E1899" s="5">
        <v>62.77</v>
      </c>
      <c r="F1899" s="5">
        <v>60.9</v>
      </c>
      <c r="G1899" s="18" t="s">
        <v>150</v>
      </c>
      <c r="H1899" s="2">
        <v>-1.37E-2</v>
      </c>
      <c r="I1899" s="16">
        <f t="shared" si="148"/>
        <v>-1.3709677419354862E-2</v>
      </c>
      <c r="J1899" s="16">
        <f t="shared" si="149"/>
        <v>0.98629032258064508</v>
      </c>
      <c r="K1899" s="16">
        <f t="shared" si="150"/>
        <v>63.715263157894746</v>
      </c>
      <c r="L1899" s="16">
        <f t="shared" si="146"/>
        <v>63.237755102040815</v>
      </c>
      <c r="M1899" s="25" t="str">
        <f t="shared" si="147"/>
        <v>HOLD</v>
      </c>
    </row>
    <row r="1900" spans="2:13">
      <c r="B1900" s="3">
        <v>44810</v>
      </c>
      <c r="C1900" s="5">
        <v>61.18</v>
      </c>
      <c r="D1900" s="5">
        <v>61.29</v>
      </c>
      <c r="E1900" s="5">
        <v>61.97</v>
      </c>
      <c r="F1900" s="5">
        <v>60.99</v>
      </c>
      <c r="G1900" s="18" t="s">
        <v>453</v>
      </c>
      <c r="H1900" s="2">
        <v>5.0000000000000001E-4</v>
      </c>
      <c r="I1900" s="16">
        <f t="shared" si="148"/>
        <v>4.9059689288636363E-4</v>
      </c>
      <c r="J1900" s="16">
        <f t="shared" si="149"/>
        <v>1.0004905968928863</v>
      </c>
      <c r="K1900" s="16">
        <f t="shared" si="150"/>
        <v>63.619473684210526</v>
      </c>
      <c r="L1900" s="16">
        <f t="shared" si="146"/>
        <v>63.199183673469392</v>
      </c>
      <c r="M1900" s="25" t="str">
        <f t="shared" si="147"/>
        <v>HOLD</v>
      </c>
    </row>
    <row r="1901" spans="2:13">
      <c r="B1901" s="3">
        <v>44811</v>
      </c>
      <c r="C1901" s="5">
        <v>62.31</v>
      </c>
      <c r="D1901" s="5">
        <v>61.32</v>
      </c>
      <c r="E1901" s="5">
        <v>62.49</v>
      </c>
      <c r="F1901" s="5">
        <v>61.32</v>
      </c>
      <c r="G1901" s="18" t="s">
        <v>107</v>
      </c>
      <c r="H1901" s="2">
        <v>1.8499999999999999E-2</v>
      </c>
      <c r="I1901" s="16">
        <f t="shared" si="148"/>
        <v>1.8470088264138651E-2</v>
      </c>
      <c r="J1901" s="16">
        <f t="shared" si="149"/>
        <v>1.0184700882641387</v>
      </c>
      <c r="K1901" s="16">
        <f t="shared" si="150"/>
        <v>63.521052631578961</v>
      </c>
      <c r="L1901" s="16">
        <f t="shared" si="146"/>
        <v>63.16387755102042</v>
      </c>
      <c r="M1901" s="25" t="str">
        <f t="shared" si="147"/>
        <v>HOLD</v>
      </c>
    </row>
    <row r="1902" spans="2:13">
      <c r="B1902" s="3">
        <v>44812</v>
      </c>
      <c r="C1902" s="5">
        <v>62.12</v>
      </c>
      <c r="D1902" s="5">
        <v>62.08</v>
      </c>
      <c r="E1902" s="5">
        <v>62.3</v>
      </c>
      <c r="F1902" s="5">
        <v>61.34</v>
      </c>
      <c r="G1902" s="18" t="s">
        <v>498</v>
      </c>
      <c r="H1902" s="2">
        <v>-3.0000000000000001E-3</v>
      </c>
      <c r="I1902" s="16">
        <f t="shared" si="148"/>
        <v>-3.0492697801316774E-3</v>
      </c>
      <c r="J1902" s="16">
        <f t="shared" si="149"/>
        <v>0.99695073021986835</v>
      </c>
      <c r="K1902" s="16">
        <f t="shared" si="150"/>
        <v>63.450526315789482</v>
      </c>
      <c r="L1902" s="16">
        <f t="shared" si="146"/>
        <v>63.164489795918385</v>
      </c>
      <c r="M1902" s="25" t="str">
        <f t="shared" si="147"/>
        <v>HOLD</v>
      </c>
    </row>
    <row r="1903" spans="2:13">
      <c r="B1903" s="3">
        <v>44813</v>
      </c>
      <c r="C1903" s="5">
        <v>62.32</v>
      </c>
      <c r="D1903" s="5">
        <v>62.17</v>
      </c>
      <c r="E1903" s="5">
        <v>62.88</v>
      </c>
      <c r="F1903" s="5">
        <v>61.85</v>
      </c>
      <c r="G1903" s="18" t="s">
        <v>183</v>
      </c>
      <c r="H1903" s="2">
        <v>3.2000000000000002E-3</v>
      </c>
      <c r="I1903" s="16">
        <f t="shared" si="148"/>
        <v>3.2195750160979209E-3</v>
      </c>
      <c r="J1903" s="16">
        <f t="shared" si="149"/>
        <v>1.0032195750160979</v>
      </c>
      <c r="K1903" s="16">
        <f t="shared" si="150"/>
        <v>63.392631578947359</v>
      </c>
      <c r="L1903" s="16">
        <f t="shared" si="146"/>
        <v>63.152040816326547</v>
      </c>
      <c r="M1903" s="25" t="str">
        <f t="shared" si="147"/>
        <v>HOLD</v>
      </c>
    </row>
    <row r="1904" spans="2:13">
      <c r="B1904" s="3">
        <v>44816</v>
      </c>
      <c r="C1904" s="5">
        <v>62.5</v>
      </c>
      <c r="D1904" s="5">
        <v>62.43</v>
      </c>
      <c r="E1904" s="5">
        <v>62.81</v>
      </c>
      <c r="F1904" s="5">
        <v>62.27</v>
      </c>
      <c r="G1904" s="18" t="s">
        <v>255</v>
      </c>
      <c r="H1904" s="2">
        <v>2.8999999999999998E-3</v>
      </c>
      <c r="I1904" s="16">
        <f t="shared" si="148"/>
        <v>2.8883183568677744E-3</v>
      </c>
      <c r="J1904" s="16">
        <f t="shared" si="149"/>
        <v>1.0028883183568678</v>
      </c>
      <c r="K1904" s="16">
        <f t="shared" si="150"/>
        <v>63.319999999999986</v>
      </c>
      <c r="L1904" s="16">
        <f t="shared" si="146"/>
        <v>63.140000000000015</v>
      </c>
      <c r="M1904" s="25" t="str">
        <f t="shared" si="147"/>
        <v>HOLD</v>
      </c>
    </row>
    <row r="1905" spans="2:13">
      <c r="B1905" s="3">
        <v>44817</v>
      </c>
      <c r="C1905" s="5">
        <v>60.47</v>
      </c>
      <c r="D1905" s="5">
        <v>62.2</v>
      </c>
      <c r="E1905" s="5">
        <v>62.22</v>
      </c>
      <c r="F1905" s="5">
        <v>60.28</v>
      </c>
      <c r="G1905" s="18" t="s">
        <v>509</v>
      </c>
      <c r="H1905" s="2">
        <v>-3.2500000000000001E-2</v>
      </c>
      <c r="I1905" s="16">
        <f t="shared" si="148"/>
        <v>-3.2480000000000016E-2</v>
      </c>
      <c r="J1905" s="16">
        <f t="shared" si="149"/>
        <v>0.96751999999999994</v>
      </c>
      <c r="K1905" s="16">
        <f t="shared" si="150"/>
        <v>63.214736842105246</v>
      </c>
      <c r="L1905" s="16">
        <f t="shared" si="146"/>
        <v>63.101632653061237</v>
      </c>
      <c r="M1905" s="25" t="str">
        <f t="shared" si="147"/>
        <v>HOLD</v>
      </c>
    </row>
    <row r="1906" spans="2:13">
      <c r="B1906" s="3">
        <v>44818</v>
      </c>
      <c r="C1906" s="5">
        <v>60.79</v>
      </c>
      <c r="D1906" s="5">
        <v>60.64</v>
      </c>
      <c r="E1906" s="5">
        <v>61.08</v>
      </c>
      <c r="F1906" s="5">
        <v>60.44</v>
      </c>
      <c r="G1906" s="18" t="s">
        <v>508</v>
      </c>
      <c r="H1906" s="2">
        <v>5.3E-3</v>
      </c>
      <c r="I1906" s="16">
        <f t="shared" si="148"/>
        <v>5.2918802712088684E-3</v>
      </c>
      <c r="J1906" s="16">
        <f t="shared" si="149"/>
        <v>1.005291880271209</v>
      </c>
      <c r="K1906" s="16">
        <f t="shared" si="150"/>
        <v>62.974736842105266</v>
      </c>
      <c r="L1906" s="16">
        <f t="shared" si="146"/>
        <v>63.044285714285728</v>
      </c>
      <c r="M1906" s="25" t="str">
        <f t="shared" si="147"/>
        <v>SELL</v>
      </c>
    </row>
    <row r="1907" spans="2:13">
      <c r="B1907" s="3">
        <v>44819</v>
      </c>
      <c r="C1907" s="5">
        <v>59.53</v>
      </c>
      <c r="D1907" s="5">
        <v>60.4</v>
      </c>
      <c r="E1907" s="5">
        <v>60.4</v>
      </c>
      <c r="F1907" s="5">
        <v>59.36</v>
      </c>
      <c r="G1907" s="18" t="s">
        <v>507</v>
      </c>
      <c r="H1907" s="2">
        <v>-2.07E-2</v>
      </c>
      <c r="I1907" s="16">
        <f t="shared" si="148"/>
        <v>-2.072709327191969E-2</v>
      </c>
      <c r="J1907" s="16">
        <f t="shared" si="149"/>
        <v>0.97927290672808032</v>
      </c>
      <c r="K1907" s="16">
        <f t="shared" si="150"/>
        <v>62.759473684210526</v>
      </c>
      <c r="L1907" s="16">
        <f t="shared" si="146"/>
        <v>62.990816326530627</v>
      </c>
      <c r="M1907" s="25" t="str">
        <f t="shared" si="147"/>
        <v>HOLD</v>
      </c>
    </row>
    <row r="1908" spans="2:13">
      <c r="B1908" s="3">
        <v>44820</v>
      </c>
      <c r="C1908" s="5">
        <v>59.54</v>
      </c>
      <c r="D1908" s="5">
        <v>59.66</v>
      </c>
      <c r="E1908" s="5">
        <v>59.79</v>
      </c>
      <c r="F1908" s="5">
        <v>59.11</v>
      </c>
      <c r="G1908" s="18" t="s">
        <v>506</v>
      </c>
      <c r="H1908" s="2">
        <v>2.0000000000000001E-4</v>
      </c>
      <c r="I1908" s="16">
        <f t="shared" si="148"/>
        <v>1.6798252981686562E-4</v>
      </c>
      <c r="J1908" s="16">
        <f t="shared" si="149"/>
        <v>1.0001679825298169</v>
      </c>
      <c r="K1908" s="16">
        <f t="shared" si="150"/>
        <v>62.46</v>
      </c>
      <c r="L1908" s="16">
        <f t="shared" si="146"/>
        <v>62.921836734693898</v>
      </c>
      <c r="M1908" s="25" t="str">
        <f t="shared" si="147"/>
        <v>HOLD</v>
      </c>
    </row>
    <row r="1909" spans="2:13">
      <c r="B1909" s="3">
        <v>44823</v>
      </c>
      <c r="C1909" s="5">
        <v>59.99</v>
      </c>
      <c r="D1909" s="5">
        <v>59.39</v>
      </c>
      <c r="E1909" s="5">
        <v>60.1</v>
      </c>
      <c r="F1909" s="5">
        <v>59.22</v>
      </c>
      <c r="G1909" s="18" t="s">
        <v>368</v>
      </c>
      <c r="H1909" s="2">
        <v>7.6E-3</v>
      </c>
      <c r="I1909" s="16">
        <f t="shared" si="148"/>
        <v>7.5579442391669948E-3</v>
      </c>
      <c r="J1909" s="16">
        <f t="shared" si="149"/>
        <v>1.0075579442391669</v>
      </c>
      <c r="K1909" s="16">
        <f t="shared" si="150"/>
        <v>62.163684210526313</v>
      </c>
      <c r="L1909" s="16">
        <f t="shared" si="146"/>
        <v>62.848367346938787</v>
      </c>
      <c r="M1909" s="25" t="str">
        <f t="shared" si="147"/>
        <v>HOLD</v>
      </c>
    </row>
    <row r="1910" spans="2:13">
      <c r="B1910" s="3">
        <v>44824</v>
      </c>
      <c r="C1910" s="5">
        <v>59.9</v>
      </c>
      <c r="D1910" s="5">
        <v>59.68</v>
      </c>
      <c r="E1910" s="5">
        <v>60.03</v>
      </c>
      <c r="F1910" s="5">
        <v>59.31</v>
      </c>
      <c r="G1910" s="18" t="s">
        <v>93</v>
      </c>
      <c r="H1910" s="2">
        <v>-1.5E-3</v>
      </c>
      <c r="I1910" s="16">
        <f t="shared" si="148"/>
        <v>-1.5002500416736691E-3</v>
      </c>
      <c r="J1910" s="16">
        <f t="shared" si="149"/>
        <v>0.99849974995832635</v>
      </c>
      <c r="K1910" s="16">
        <f t="shared" si="150"/>
        <v>61.942105263157885</v>
      </c>
      <c r="L1910" s="16">
        <f t="shared" si="146"/>
        <v>62.788163265306117</v>
      </c>
      <c r="M1910" s="25" t="str">
        <f t="shared" si="147"/>
        <v>HOLD</v>
      </c>
    </row>
    <row r="1911" spans="2:13">
      <c r="B1911" s="3">
        <v>44825</v>
      </c>
      <c r="C1911" s="5">
        <v>59.4</v>
      </c>
      <c r="D1911" s="5">
        <v>60.14</v>
      </c>
      <c r="E1911" s="5">
        <v>60.7</v>
      </c>
      <c r="F1911" s="5">
        <v>59.39</v>
      </c>
      <c r="G1911" s="18" t="s">
        <v>505</v>
      </c>
      <c r="H1911" s="2">
        <v>-8.3000000000000001E-3</v>
      </c>
      <c r="I1911" s="16">
        <f t="shared" si="148"/>
        <v>-8.3472454090150246E-3</v>
      </c>
      <c r="J1911" s="16">
        <f t="shared" si="149"/>
        <v>0.99165275459098501</v>
      </c>
      <c r="K1911" s="16">
        <f t="shared" si="150"/>
        <v>61.712105263157895</v>
      </c>
      <c r="L1911" s="16">
        <f t="shared" si="146"/>
        <v>62.731632653061226</v>
      </c>
      <c r="M1911" s="25" t="str">
        <f t="shared" si="147"/>
        <v>HOLD</v>
      </c>
    </row>
    <row r="1912" spans="2:13">
      <c r="B1912" s="3">
        <v>44826</v>
      </c>
      <c r="C1912" s="5">
        <v>59.26</v>
      </c>
      <c r="D1912" s="5">
        <v>59.55</v>
      </c>
      <c r="E1912" s="5">
        <v>59.73</v>
      </c>
      <c r="F1912" s="5">
        <v>59.2</v>
      </c>
      <c r="G1912" s="18" t="s">
        <v>159</v>
      </c>
      <c r="H1912" s="2">
        <v>-2.3999999999999998E-3</v>
      </c>
      <c r="I1912" s="16">
        <f t="shared" si="148"/>
        <v>-2.3569023569023667E-3</v>
      </c>
      <c r="J1912" s="16">
        <f t="shared" si="149"/>
        <v>0.99764309764309766</v>
      </c>
      <c r="K1912" s="16">
        <f t="shared" si="150"/>
        <v>61.451052631578953</v>
      </c>
      <c r="L1912" s="16">
        <f t="shared" si="146"/>
        <v>62.670816326530613</v>
      </c>
      <c r="M1912" s="25" t="str">
        <f t="shared" si="147"/>
        <v>HOLD</v>
      </c>
    </row>
    <row r="1913" spans="2:13">
      <c r="B1913" s="3">
        <v>44827</v>
      </c>
      <c r="C1913" s="5">
        <v>58.6</v>
      </c>
      <c r="D1913" s="5">
        <v>58.96</v>
      </c>
      <c r="E1913" s="5">
        <v>59.1</v>
      </c>
      <c r="F1913" s="5">
        <v>58</v>
      </c>
      <c r="G1913" s="18" t="s">
        <v>504</v>
      </c>
      <c r="H1913" s="2">
        <v>-1.11E-2</v>
      </c>
      <c r="I1913" s="16">
        <f t="shared" si="148"/>
        <v>-1.1137360782990156E-2</v>
      </c>
      <c r="J1913" s="16">
        <f t="shared" si="149"/>
        <v>0.9888626392170099</v>
      </c>
      <c r="K1913" s="16">
        <f t="shared" si="150"/>
        <v>61.166315789473686</v>
      </c>
      <c r="L1913" s="16">
        <f t="shared" ref="L1913:L1976" si="151">AVERAGE(C1864:C1912)</f>
        <v>62.611224489795916</v>
      </c>
      <c r="M1913" s="25" t="str">
        <f t="shared" ref="M1913:M1976" si="152">IF(AND(K1913&gt;L1913,K1912&lt;=L1912),"BUY",IF(AND(K1913&lt;L1913,K1912&gt;=L1912),"SELL","HOLD"))</f>
        <v>HOLD</v>
      </c>
    </row>
    <row r="1914" spans="2:13">
      <c r="B1914" s="3">
        <v>44830</v>
      </c>
      <c r="C1914" s="5">
        <v>57.87</v>
      </c>
      <c r="D1914" s="5">
        <v>58.49</v>
      </c>
      <c r="E1914" s="5">
        <v>58.57</v>
      </c>
      <c r="F1914" s="5">
        <v>57.69</v>
      </c>
      <c r="G1914" s="18" t="s">
        <v>503</v>
      </c>
      <c r="H1914" s="2">
        <v>-1.2500000000000001E-2</v>
      </c>
      <c r="I1914" s="16">
        <f t="shared" si="148"/>
        <v>-1.2457337883959111E-2</v>
      </c>
      <c r="J1914" s="16">
        <f t="shared" si="149"/>
        <v>0.98754266211604091</v>
      </c>
      <c r="K1914" s="16">
        <f t="shared" si="150"/>
        <v>60.928947368421042</v>
      </c>
      <c r="L1914" s="16">
        <f t="shared" si="151"/>
        <v>62.53163265306123</v>
      </c>
      <c r="M1914" s="25" t="str">
        <f t="shared" si="152"/>
        <v>HOLD</v>
      </c>
    </row>
    <row r="1915" spans="2:13">
      <c r="B1915" s="3">
        <v>44831</v>
      </c>
      <c r="C1915" s="5">
        <v>56.38</v>
      </c>
      <c r="D1915" s="5">
        <v>58.08</v>
      </c>
      <c r="E1915" s="5">
        <v>58.37</v>
      </c>
      <c r="F1915" s="5">
        <v>56.31</v>
      </c>
      <c r="G1915" s="18" t="s">
        <v>502</v>
      </c>
      <c r="H1915" s="2">
        <v>-2.5700000000000001E-2</v>
      </c>
      <c r="I1915" s="16">
        <f t="shared" si="148"/>
        <v>-2.5747364783134524E-2</v>
      </c>
      <c r="J1915" s="16">
        <f t="shared" si="149"/>
        <v>0.97425263521686545</v>
      </c>
      <c r="K1915" s="16">
        <f t="shared" si="150"/>
        <v>60.673157894736825</v>
      </c>
      <c r="L1915" s="16">
        <f t="shared" si="151"/>
        <v>62.45448979591837</v>
      </c>
      <c r="M1915" s="25" t="str">
        <f t="shared" si="152"/>
        <v>HOLD</v>
      </c>
    </row>
    <row r="1916" spans="2:13">
      <c r="B1916" s="3">
        <v>44832</v>
      </c>
      <c r="C1916" s="5">
        <v>56.98</v>
      </c>
      <c r="D1916" s="5">
        <v>56.66</v>
      </c>
      <c r="E1916" s="5">
        <v>57.25</v>
      </c>
      <c r="F1916" s="5">
        <v>55.91</v>
      </c>
      <c r="G1916" s="18" t="s">
        <v>501</v>
      </c>
      <c r="H1916" s="2">
        <v>1.06E-2</v>
      </c>
      <c r="I1916" s="16">
        <f t="shared" si="148"/>
        <v>1.064207165661572E-2</v>
      </c>
      <c r="J1916" s="16">
        <f t="shared" si="149"/>
        <v>1.0106420716566158</v>
      </c>
      <c r="K1916" s="16">
        <f t="shared" si="150"/>
        <v>60.369473684210512</v>
      </c>
      <c r="L1916" s="16">
        <f t="shared" si="151"/>
        <v>62.328979591836735</v>
      </c>
      <c r="M1916" s="25" t="str">
        <f t="shared" si="152"/>
        <v>HOLD</v>
      </c>
    </row>
    <row r="1917" spans="2:13">
      <c r="B1917" s="3">
        <v>44833</v>
      </c>
      <c r="C1917" s="5">
        <v>56.57</v>
      </c>
      <c r="D1917" s="5">
        <v>57.09</v>
      </c>
      <c r="E1917" s="5">
        <v>57.29</v>
      </c>
      <c r="F1917" s="5">
        <v>56</v>
      </c>
      <c r="G1917" s="18" t="s">
        <v>367</v>
      </c>
      <c r="H1917" s="2">
        <v>-7.1999999999999998E-3</v>
      </c>
      <c r="I1917" s="16">
        <f t="shared" si="148"/>
        <v>-7.1955071955071359E-3</v>
      </c>
      <c r="J1917" s="16">
        <f t="shared" si="149"/>
        <v>0.9928044928044929</v>
      </c>
      <c r="K1917" s="16">
        <f t="shared" si="150"/>
        <v>60.120526315789469</v>
      </c>
      <c r="L1917" s="16">
        <f t="shared" si="151"/>
        <v>62.236734693877551</v>
      </c>
      <c r="M1917" s="25" t="str">
        <f t="shared" si="152"/>
        <v>HOLD</v>
      </c>
    </row>
    <row r="1918" spans="2:13">
      <c r="B1918" s="3">
        <v>44834</v>
      </c>
      <c r="C1918" s="5">
        <v>56.02</v>
      </c>
      <c r="D1918" s="5">
        <v>56.87</v>
      </c>
      <c r="E1918" s="5">
        <v>57.13</v>
      </c>
      <c r="F1918" s="5">
        <v>56</v>
      </c>
      <c r="G1918" s="18" t="s">
        <v>500</v>
      </c>
      <c r="H1918" s="2">
        <v>-9.7000000000000003E-3</v>
      </c>
      <c r="I1918" s="16">
        <f t="shared" si="148"/>
        <v>-9.7224677390842697E-3</v>
      </c>
      <c r="J1918" s="16">
        <f t="shared" si="149"/>
        <v>0.99027753226091575</v>
      </c>
      <c r="K1918" s="16">
        <f t="shared" si="150"/>
        <v>59.834736842105258</v>
      </c>
      <c r="L1918" s="16">
        <f t="shared" si="151"/>
        <v>62.138979591836744</v>
      </c>
      <c r="M1918" s="25" t="str">
        <f t="shared" si="152"/>
        <v>HOLD</v>
      </c>
    </row>
    <row r="1919" spans="2:13">
      <c r="B1919" s="3">
        <v>44837</v>
      </c>
      <c r="C1919" s="5">
        <v>56.65</v>
      </c>
      <c r="D1919" s="5">
        <v>56.36</v>
      </c>
      <c r="E1919" s="5">
        <v>56.85</v>
      </c>
      <c r="F1919" s="5">
        <v>56.06</v>
      </c>
      <c r="G1919" s="18" t="s">
        <v>424</v>
      </c>
      <c r="H1919" s="2">
        <v>1.12E-2</v>
      </c>
      <c r="I1919" s="16">
        <f t="shared" si="148"/>
        <v>1.1245983577293742E-2</v>
      </c>
      <c r="J1919" s="16">
        <f t="shared" si="149"/>
        <v>1.0112459835772938</v>
      </c>
      <c r="K1919" s="16">
        <f t="shared" si="150"/>
        <v>59.564736842105262</v>
      </c>
      <c r="L1919" s="16">
        <f t="shared" si="151"/>
        <v>62.025306122448995</v>
      </c>
      <c r="M1919" s="25" t="str">
        <f t="shared" si="152"/>
        <v>HOLD</v>
      </c>
    </row>
    <row r="1920" spans="2:13">
      <c r="B1920" s="3">
        <v>44838</v>
      </c>
      <c r="C1920" s="5">
        <v>56.78</v>
      </c>
      <c r="D1920" s="5">
        <v>56.95</v>
      </c>
      <c r="E1920" s="5">
        <v>57.81</v>
      </c>
      <c r="F1920" s="5">
        <v>56.46</v>
      </c>
      <c r="G1920" s="18" t="s">
        <v>499</v>
      </c>
      <c r="H1920" s="2">
        <v>2.3E-3</v>
      </c>
      <c r="I1920" s="16">
        <f t="shared" si="148"/>
        <v>2.2947925860547671E-3</v>
      </c>
      <c r="J1920" s="16">
        <f t="shared" si="149"/>
        <v>1.0022947925860548</v>
      </c>
      <c r="K1920" s="16">
        <f t="shared" si="150"/>
        <v>59.326315789473696</v>
      </c>
      <c r="L1920" s="16">
        <f t="shared" si="151"/>
        <v>61.912244897959191</v>
      </c>
      <c r="M1920" s="25" t="str">
        <f t="shared" si="152"/>
        <v>HOLD</v>
      </c>
    </row>
    <row r="1921" spans="2:13">
      <c r="B1921" s="3">
        <v>44839</v>
      </c>
      <c r="C1921" s="5">
        <v>56.24</v>
      </c>
      <c r="D1921" s="5">
        <v>56.5</v>
      </c>
      <c r="E1921" s="5">
        <v>56.65</v>
      </c>
      <c r="F1921" s="5">
        <v>55.51</v>
      </c>
      <c r="G1921" s="18" t="s">
        <v>213</v>
      </c>
      <c r="H1921" s="2">
        <v>-9.4999999999999998E-3</v>
      </c>
      <c r="I1921" s="16">
        <f t="shared" si="148"/>
        <v>-9.5103909827403861E-3</v>
      </c>
      <c r="J1921" s="16">
        <f t="shared" si="149"/>
        <v>0.99048960901725958</v>
      </c>
      <c r="K1921" s="16">
        <f t="shared" si="150"/>
        <v>59.03526315789474</v>
      </c>
      <c r="L1921" s="16">
        <f t="shared" si="151"/>
        <v>61.781020408163272</v>
      </c>
      <c r="M1921" s="25" t="str">
        <f t="shared" si="152"/>
        <v>HOLD</v>
      </c>
    </row>
    <row r="1922" spans="2:13">
      <c r="B1922" s="3">
        <v>44840</v>
      </c>
      <c r="C1922" s="5">
        <v>55.03</v>
      </c>
      <c r="D1922" s="5">
        <v>56</v>
      </c>
      <c r="E1922" s="5">
        <v>56.1</v>
      </c>
      <c r="F1922" s="5">
        <v>54.87</v>
      </c>
      <c r="G1922" s="18" t="s">
        <v>498</v>
      </c>
      <c r="H1922" s="2">
        <v>-2.1499999999999998E-2</v>
      </c>
      <c r="I1922" s="16">
        <f t="shared" si="148"/>
        <v>-2.1514935988620212E-2</v>
      </c>
      <c r="J1922" s="16">
        <f t="shared" si="149"/>
        <v>0.9784850640113798</v>
      </c>
      <c r="K1922" s="16">
        <f t="shared" si="150"/>
        <v>58.725789473684223</v>
      </c>
      <c r="L1922" s="16">
        <f t="shared" si="151"/>
        <v>61.642857142857153</v>
      </c>
      <c r="M1922" s="25" t="str">
        <f t="shared" si="152"/>
        <v>HOLD</v>
      </c>
    </row>
    <row r="1923" spans="2:13">
      <c r="B1923" s="3">
        <v>44841</v>
      </c>
      <c r="C1923" s="5">
        <v>54.51</v>
      </c>
      <c r="D1923" s="5">
        <v>54.99</v>
      </c>
      <c r="E1923" s="5">
        <v>55.09</v>
      </c>
      <c r="F1923" s="5">
        <v>54.25</v>
      </c>
      <c r="G1923" s="18" t="s">
        <v>497</v>
      </c>
      <c r="H1923" s="2">
        <v>-9.4000000000000004E-3</v>
      </c>
      <c r="I1923" s="16">
        <f t="shared" si="148"/>
        <v>-9.4493912411412525E-3</v>
      </c>
      <c r="J1923" s="16">
        <f t="shared" si="149"/>
        <v>0.9905506087588587</v>
      </c>
      <c r="K1923" s="16">
        <f t="shared" si="150"/>
        <v>58.342105263157897</v>
      </c>
      <c r="L1923" s="16">
        <f t="shared" si="151"/>
        <v>61.458571428571446</v>
      </c>
      <c r="M1923" s="25" t="str">
        <f t="shared" si="152"/>
        <v>HOLD</v>
      </c>
    </row>
    <row r="1924" spans="2:13">
      <c r="B1924" s="3">
        <v>44844</v>
      </c>
      <c r="C1924" s="5">
        <v>54.39</v>
      </c>
      <c r="D1924" s="5">
        <v>54.6</v>
      </c>
      <c r="E1924" s="5">
        <v>54.96</v>
      </c>
      <c r="F1924" s="5">
        <v>54.01</v>
      </c>
      <c r="G1924" s="18" t="s">
        <v>496</v>
      </c>
      <c r="H1924" s="2">
        <v>-2.2000000000000001E-3</v>
      </c>
      <c r="I1924" s="16">
        <f t="shared" si="148"/>
        <v>-2.2014309301045211E-3</v>
      </c>
      <c r="J1924" s="16">
        <f t="shared" si="149"/>
        <v>0.9977985690698955</v>
      </c>
      <c r="K1924" s="16">
        <f t="shared" si="150"/>
        <v>57.921578947368424</v>
      </c>
      <c r="L1924" s="16">
        <f t="shared" si="151"/>
        <v>61.261428571428588</v>
      </c>
      <c r="M1924" s="25" t="str">
        <f t="shared" si="152"/>
        <v>HOLD</v>
      </c>
    </row>
    <row r="1925" spans="2:13">
      <c r="B1925" s="3">
        <v>44845</v>
      </c>
      <c r="C1925" s="5">
        <v>54.48</v>
      </c>
      <c r="D1925" s="5">
        <v>54.46</v>
      </c>
      <c r="E1925" s="5">
        <v>55.22</v>
      </c>
      <c r="F1925" s="5">
        <v>54.24</v>
      </c>
      <c r="G1925" s="18" t="s">
        <v>495</v>
      </c>
      <c r="H1925" s="2">
        <v>1.6999999999999999E-3</v>
      </c>
      <c r="I1925" s="16">
        <f t="shared" si="148"/>
        <v>1.6547159404301582E-3</v>
      </c>
      <c r="J1925" s="16">
        <f t="shared" si="149"/>
        <v>1.0016547159404301</v>
      </c>
      <c r="K1925" s="16">
        <f t="shared" si="150"/>
        <v>57.601578947368424</v>
      </c>
      <c r="L1925" s="16">
        <f t="shared" si="151"/>
        <v>61.054693877551038</v>
      </c>
      <c r="M1925" s="25" t="str">
        <f t="shared" si="152"/>
        <v>HOLD</v>
      </c>
    </row>
    <row r="1926" spans="2:13">
      <c r="B1926" s="3">
        <v>44846</v>
      </c>
      <c r="C1926" s="5">
        <v>55.14</v>
      </c>
      <c r="D1926" s="5">
        <v>55.23</v>
      </c>
      <c r="E1926" s="5">
        <v>56.04</v>
      </c>
      <c r="F1926" s="5">
        <v>55.04</v>
      </c>
      <c r="G1926" s="18" t="s">
        <v>494</v>
      </c>
      <c r="H1926" s="2">
        <v>1.21E-2</v>
      </c>
      <c r="I1926" s="16">
        <f t="shared" si="148"/>
        <v>1.2114537444933989E-2</v>
      </c>
      <c r="J1926" s="16">
        <f t="shared" si="149"/>
        <v>1.0121145374449341</v>
      </c>
      <c r="K1926" s="16">
        <f t="shared" si="150"/>
        <v>57.269473684210531</v>
      </c>
      <c r="L1926" s="16">
        <f t="shared" si="151"/>
        <v>60.867755102040825</v>
      </c>
      <c r="M1926" s="25" t="str">
        <f t="shared" si="152"/>
        <v>HOLD</v>
      </c>
    </row>
    <row r="1927" spans="2:13">
      <c r="B1927" s="3">
        <v>44847</v>
      </c>
      <c r="C1927" s="5">
        <v>55.87</v>
      </c>
      <c r="D1927" s="5">
        <v>54.48</v>
      </c>
      <c r="E1927" s="5">
        <v>56.08</v>
      </c>
      <c r="F1927" s="5">
        <v>54.26</v>
      </c>
      <c r="G1927" s="18" t="s">
        <v>493</v>
      </c>
      <c r="H1927" s="2">
        <v>1.32E-2</v>
      </c>
      <c r="I1927" s="16">
        <f t="shared" si="148"/>
        <v>1.3239027928908177E-2</v>
      </c>
      <c r="J1927" s="16">
        <f t="shared" si="149"/>
        <v>1.0132390279289081</v>
      </c>
      <c r="K1927" s="16">
        <f t="shared" si="150"/>
        <v>57.038421052631577</v>
      </c>
      <c r="L1927" s="16">
        <f t="shared" si="151"/>
        <v>60.688571428571443</v>
      </c>
      <c r="M1927" s="25" t="str">
        <f t="shared" si="152"/>
        <v>HOLD</v>
      </c>
    </row>
    <row r="1928" spans="2:13">
      <c r="B1928" s="3">
        <v>44848</v>
      </c>
      <c r="C1928" s="5">
        <v>54.98</v>
      </c>
      <c r="D1928" s="5">
        <v>56.29</v>
      </c>
      <c r="E1928" s="5">
        <v>56.47</v>
      </c>
      <c r="F1928" s="5">
        <v>54.94</v>
      </c>
      <c r="G1928" s="18" t="s">
        <v>492</v>
      </c>
      <c r="H1928" s="2">
        <v>-1.5900000000000001E-2</v>
      </c>
      <c r="I1928" s="16">
        <f t="shared" si="148"/>
        <v>-1.5929837121890111E-2</v>
      </c>
      <c r="J1928" s="16">
        <f t="shared" si="149"/>
        <v>0.98407016287810989</v>
      </c>
      <c r="K1928" s="16">
        <f t="shared" si="150"/>
        <v>56.845263157894735</v>
      </c>
      <c r="L1928" s="16">
        <f t="shared" si="151"/>
        <v>60.52938775510205</v>
      </c>
      <c r="M1928" s="25" t="str">
        <f t="shared" si="152"/>
        <v>HOLD</v>
      </c>
    </row>
    <row r="1929" spans="2:13">
      <c r="B1929" s="3">
        <v>44851</v>
      </c>
      <c r="C1929" s="5">
        <v>55.69</v>
      </c>
      <c r="D1929" s="5">
        <v>55.63</v>
      </c>
      <c r="E1929" s="5">
        <v>56.22</v>
      </c>
      <c r="F1929" s="5">
        <v>55.57</v>
      </c>
      <c r="G1929" s="18" t="s">
        <v>417</v>
      </c>
      <c r="H1929" s="2">
        <v>1.29E-2</v>
      </c>
      <c r="I1929" s="16">
        <f t="shared" ref="I1929:I1992" si="153">(C1929-C1928)/C1928</f>
        <v>1.2913786831575135E-2</v>
      </c>
      <c r="J1929" s="16">
        <f t="shared" ref="J1929:J1992" si="154">C1929/C1928</f>
        <v>1.0129137868315752</v>
      </c>
      <c r="K1929" s="16">
        <f t="shared" si="150"/>
        <v>56.581578947368421</v>
      </c>
      <c r="L1929" s="16">
        <f t="shared" si="151"/>
        <v>60.357959183673479</v>
      </c>
      <c r="M1929" s="25" t="str">
        <f t="shared" si="152"/>
        <v>HOLD</v>
      </c>
    </row>
    <row r="1930" spans="2:13">
      <c r="B1930" s="3">
        <v>44852</v>
      </c>
      <c r="C1930" s="5">
        <v>56.44</v>
      </c>
      <c r="D1930" s="5">
        <v>56.31</v>
      </c>
      <c r="E1930" s="5">
        <v>56.78</v>
      </c>
      <c r="F1930" s="5">
        <v>56.1</v>
      </c>
      <c r="G1930" s="18" t="s">
        <v>491</v>
      </c>
      <c r="H1930" s="2">
        <v>1.35E-2</v>
      </c>
      <c r="I1930" s="16">
        <f t="shared" si="153"/>
        <v>1.3467408870533311E-2</v>
      </c>
      <c r="J1930" s="16">
        <f t="shared" si="154"/>
        <v>1.0134674088705333</v>
      </c>
      <c r="K1930" s="16">
        <f t="shared" si="150"/>
        <v>56.359999999999992</v>
      </c>
      <c r="L1930" s="16">
        <f t="shared" si="151"/>
        <v>60.209387755102043</v>
      </c>
      <c r="M1930" s="25" t="str">
        <f t="shared" si="152"/>
        <v>HOLD</v>
      </c>
    </row>
    <row r="1931" spans="2:13">
      <c r="B1931" s="3">
        <v>44853</v>
      </c>
      <c r="C1931" s="5">
        <v>55.96</v>
      </c>
      <c r="D1931" s="5">
        <v>56.31</v>
      </c>
      <c r="E1931" s="5">
        <v>56.54</v>
      </c>
      <c r="F1931" s="5">
        <v>55.73</v>
      </c>
      <c r="G1931" s="18" t="s">
        <v>490</v>
      </c>
      <c r="H1931" s="2">
        <v>-8.5000000000000006E-3</v>
      </c>
      <c r="I1931" s="16">
        <f t="shared" si="153"/>
        <v>-8.5046066619418308E-3</v>
      </c>
      <c r="J1931" s="16">
        <f t="shared" si="154"/>
        <v>0.99149539333805814</v>
      </c>
      <c r="K1931" s="16">
        <f t="shared" si="150"/>
        <v>56.204210526315784</v>
      </c>
      <c r="L1931" s="16">
        <f t="shared" si="151"/>
        <v>60.074489795918382</v>
      </c>
      <c r="M1931" s="25" t="str">
        <f t="shared" si="152"/>
        <v>HOLD</v>
      </c>
    </row>
    <row r="1932" spans="2:13">
      <c r="B1932" s="3">
        <v>44854</v>
      </c>
      <c r="C1932" s="5">
        <v>55.08</v>
      </c>
      <c r="D1932" s="5">
        <v>55.77</v>
      </c>
      <c r="E1932" s="5">
        <v>55.92</v>
      </c>
      <c r="F1932" s="5">
        <v>54.96</v>
      </c>
      <c r="G1932" s="18" t="s">
        <v>489</v>
      </c>
      <c r="H1932" s="2">
        <v>-1.5699999999999999E-2</v>
      </c>
      <c r="I1932" s="16">
        <f t="shared" si="153"/>
        <v>-1.5725518227305262E-2</v>
      </c>
      <c r="J1932" s="16">
        <f t="shared" si="154"/>
        <v>0.98427448177269472</v>
      </c>
      <c r="K1932" s="16">
        <f t="shared" si="150"/>
        <v>56.030526315789473</v>
      </c>
      <c r="L1932" s="16">
        <f t="shared" si="151"/>
        <v>59.917551020408176</v>
      </c>
      <c r="M1932" s="25" t="str">
        <f t="shared" si="152"/>
        <v>HOLD</v>
      </c>
    </row>
    <row r="1933" spans="2:13">
      <c r="B1933" s="3">
        <v>44855</v>
      </c>
      <c r="C1933" s="5">
        <v>55.96</v>
      </c>
      <c r="D1933" s="5">
        <v>55</v>
      </c>
      <c r="E1933" s="5">
        <v>56.1</v>
      </c>
      <c r="F1933" s="5">
        <v>54.99</v>
      </c>
      <c r="G1933" s="18" t="s">
        <v>224</v>
      </c>
      <c r="H1933" s="2">
        <v>1.6E-2</v>
      </c>
      <c r="I1933" s="16">
        <f t="shared" si="153"/>
        <v>1.5976761074800339E-2</v>
      </c>
      <c r="J1933" s="16">
        <f t="shared" si="154"/>
        <v>1.0159767610748003</v>
      </c>
      <c r="K1933" s="16">
        <f t="shared" si="150"/>
        <v>55.845263157894735</v>
      </c>
      <c r="L1933" s="16">
        <f t="shared" si="151"/>
        <v>59.751428571428576</v>
      </c>
      <c r="M1933" s="25" t="str">
        <f t="shared" si="152"/>
        <v>HOLD</v>
      </c>
    </row>
    <row r="1934" spans="2:13">
      <c r="B1934" s="3">
        <v>44858</v>
      </c>
      <c r="C1934" s="5">
        <v>57.57</v>
      </c>
      <c r="D1934" s="5">
        <v>56.64</v>
      </c>
      <c r="E1934" s="5">
        <v>57.73</v>
      </c>
      <c r="F1934" s="5">
        <v>56.57</v>
      </c>
      <c r="G1934" s="18" t="s">
        <v>488</v>
      </c>
      <c r="H1934" s="2">
        <v>2.8799999999999999E-2</v>
      </c>
      <c r="I1934" s="16">
        <f t="shared" si="153"/>
        <v>2.8770550393137945E-2</v>
      </c>
      <c r="J1934" s="16">
        <f t="shared" si="154"/>
        <v>1.0287705503931379</v>
      </c>
      <c r="K1934" s="16">
        <f t="shared" si="150"/>
        <v>55.744736842105269</v>
      </c>
      <c r="L1934" s="16">
        <f t="shared" si="151"/>
        <v>59.5934693877551</v>
      </c>
      <c r="M1934" s="25" t="str">
        <f t="shared" si="152"/>
        <v>HOLD</v>
      </c>
    </row>
    <row r="1935" spans="2:13">
      <c r="B1935" s="3">
        <v>44859</v>
      </c>
      <c r="C1935" s="5">
        <v>58.95</v>
      </c>
      <c r="D1935" s="5">
        <v>59.04</v>
      </c>
      <c r="E1935" s="5">
        <v>59.11</v>
      </c>
      <c r="F1935" s="5">
        <v>57.75</v>
      </c>
      <c r="G1935" s="18" t="s">
        <v>487</v>
      </c>
      <c r="H1935" s="2">
        <v>2.4E-2</v>
      </c>
      <c r="I1935" s="16">
        <f t="shared" si="153"/>
        <v>2.3970818134445068E-2</v>
      </c>
      <c r="J1935" s="16">
        <f t="shared" si="154"/>
        <v>1.0239708181344451</v>
      </c>
      <c r="K1935" s="16">
        <f t="shared" si="150"/>
        <v>55.807368421052637</v>
      </c>
      <c r="L1935" s="16">
        <f t="shared" si="151"/>
        <v>59.45204081632653</v>
      </c>
      <c r="M1935" s="25" t="str">
        <f t="shared" si="152"/>
        <v>HOLD</v>
      </c>
    </row>
    <row r="1936" spans="2:13">
      <c r="B1936" s="3">
        <v>44860</v>
      </c>
      <c r="C1936" s="5">
        <v>59.39</v>
      </c>
      <c r="D1936" s="5">
        <v>59.01</v>
      </c>
      <c r="E1936" s="5">
        <v>59.78</v>
      </c>
      <c r="F1936" s="5">
        <v>58.86</v>
      </c>
      <c r="G1936" s="18" t="s">
        <v>486</v>
      </c>
      <c r="H1936" s="2">
        <v>7.4999999999999997E-3</v>
      </c>
      <c r="I1936" s="16">
        <f t="shared" si="153"/>
        <v>7.4639525021204019E-3</v>
      </c>
      <c r="J1936" s="16">
        <f t="shared" si="154"/>
        <v>1.0074639525021205</v>
      </c>
      <c r="K1936" s="16">
        <f t="shared" si="150"/>
        <v>55.911052631578954</v>
      </c>
      <c r="L1936" s="16">
        <f t="shared" si="151"/>
        <v>59.327959183673471</v>
      </c>
      <c r="M1936" s="25" t="str">
        <f t="shared" si="152"/>
        <v>HOLD</v>
      </c>
    </row>
    <row r="1937" spans="2:13">
      <c r="B1937" s="3">
        <v>44861</v>
      </c>
      <c r="C1937" s="5">
        <v>59.53</v>
      </c>
      <c r="D1937" s="5">
        <v>59.77</v>
      </c>
      <c r="E1937" s="5">
        <v>59.84</v>
      </c>
      <c r="F1937" s="5">
        <v>59.38</v>
      </c>
      <c r="G1937" s="18" t="s">
        <v>14</v>
      </c>
      <c r="H1937" s="2">
        <v>2.3999999999999998E-3</v>
      </c>
      <c r="I1937" s="16">
        <f t="shared" si="153"/>
        <v>2.3572992086209896E-3</v>
      </c>
      <c r="J1937" s="16">
        <f t="shared" si="154"/>
        <v>1.0023572992086209</v>
      </c>
      <c r="K1937" s="16">
        <f t="shared" si="150"/>
        <v>56.059473684210545</v>
      </c>
      <c r="L1937" s="16">
        <f t="shared" si="151"/>
        <v>59.215918367346937</v>
      </c>
      <c r="M1937" s="25" t="str">
        <f t="shared" si="152"/>
        <v>HOLD</v>
      </c>
    </row>
    <row r="1938" spans="2:13">
      <c r="B1938" s="3">
        <v>44862</v>
      </c>
      <c r="C1938" s="5">
        <v>60.76</v>
      </c>
      <c r="D1938" s="5">
        <v>59.57</v>
      </c>
      <c r="E1938" s="5">
        <v>60.91</v>
      </c>
      <c r="F1938" s="5">
        <v>59.47</v>
      </c>
      <c r="G1938" s="18" t="s">
        <v>485</v>
      </c>
      <c r="H1938" s="2">
        <v>2.07E-2</v>
      </c>
      <c r="I1938" s="16">
        <f t="shared" si="153"/>
        <v>2.0661851167478529E-2</v>
      </c>
      <c r="J1938" s="16">
        <f t="shared" si="154"/>
        <v>1.0206618511674785</v>
      </c>
      <c r="K1938" s="16">
        <f t="shared" si="150"/>
        <v>56.244210526315804</v>
      </c>
      <c r="L1938" s="16">
        <f t="shared" si="151"/>
        <v>59.099795918367356</v>
      </c>
      <c r="M1938" s="25" t="str">
        <f t="shared" si="152"/>
        <v>HOLD</v>
      </c>
    </row>
    <row r="1939" spans="2:13">
      <c r="B1939" s="3">
        <v>44865</v>
      </c>
      <c r="C1939" s="5">
        <v>59.85</v>
      </c>
      <c r="D1939" s="5">
        <v>60.51</v>
      </c>
      <c r="E1939" s="5">
        <v>60.57</v>
      </c>
      <c r="F1939" s="5">
        <v>59.67</v>
      </c>
      <c r="G1939" s="18" t="s">
        <v>484</v>
      </c>
      <c r="H1939" s="2">
        <v>-1.4999999999999999E-2</v>
      </c>
      <c r="I1939" s="16">
        <f t="shared" si="153"/>
        <v>-1.4976958525345566E-2</v>
      </c>
      <c r="J1939" s="16">
        <f t="shared" si="154"/>
        <v>0.98502304147465447</v>
      </c>
      <c r="K1939" s="16">
        <f t="shared" si="150"/>
        <v>56.460526315789487</v>
      </c>
      <c r="L1939" s="16">
        <f t="shared" si="151"/>
        <v>59.009795918367345</v>
      </c>
      <c r="M1939" s="25" t="str">
        <f t="shared" si="152"/>
        <v>HOLD</v>
      </c>
    </row>
    <row r="1940" spans="2:13">
      <c r="B1940" s="3">
        <v>44866</v>
      </c>
      <c r="C1940" s="5">
        <v>59.64</v>
      </c>
      <c r="D1940" s="5">
        <v>60.03</v>
      </c>
      <c r="E1940" s="5">
        <v>60.29</v>
      </c>
      <c r="F1940" s="5">
        <v>59.37</v>
      </c>
      <c r="G1940" s="18" t="s">
        <v>483</v>
      </c>
      <c r="H1940" s="2">
        <v>-3.5000000000000001E-3</v>
      </c>
      <c r="I1940" s="16">
        <f t="shared" si="153"/>
        <v>-3.5087719298245758E-3</v>
      </c>
      <c r="J1940" s="16">
        <f t="shared" si="154"/>
        <v>0.99649122807017543</v>
      </c>
      <c r="K1940" s="16">
        <f t="shared" si="150"/>
        <v>56.622105263157906</v>
      </c>
      <c r="L1940" s="16">
        <f t="shared" si="151"/>
        <v>58.921020408163265</v>
      </c>
      <c r="M1940" s="25" t="str">
        <f t="shared" si="152"/>
        <v>HOLD</v>
      </c>
    </row>
    <row r="1941" spans="2:13">
      <c r="B1941" s="3">
        <v>44867</v>
      </c>
      <c r="C1941" s="5">
        <v>58.81</v>
      </c>
      <c r="D1941" s="5">
        <v>59.64</v>
      </c>
      <c r="E1941" s="5">
        <v>60.23</v>
      </c>
      <c r="F1941" s="5">
        <v>58.77</v>
      </c>
      <c r="G1941" s="18" t="s">
        <v>254</v>
      </c>
      <c r="H1941" s="2">
        <v>-1.3899999999999999E-2</v>
      </c>
      <c r="I1941" s="16">
        <f t="shared" si="153"/>
        <v>-1.3916834339369522E-2</v>
      </c>
      <c r="J1941" s="16">
        <f t="shared" si="154"/>
        <v>0.98608316566063048</v>
      </c>
      <c r="K1941" s="16">
        <f t="shared" si="150"/>
        <v>56.801052631578962</v>
      </c>
      <c r="L1941" s="16">
        <f t="shared" si="151"/>
        <v>58.826530612244895</v>
      </c>
      <c r="M1941" s="25" t="str">
        <f t="shared" si="152"/>
        <v>HOLD</v>
      </c>
    </row>
    <row r="1942" spans="2:13">
      <c r="B1942" s="3">
        <v>44868</v>
      </c>
      <c r="C1942" s="5">
        <v>58.78</v>
      </c>
      <c r="D1942" s="5">
        <v>58.11</v>
      </c>
      <c r="E1942" s="5">
        <v>59</v>
      </c>
      <c r="F1942" s="5">
        <v>58.1</v>
      </c>
      <c r="G1942" s="18" t="s">
        <v>467</v>
      </c>
      <c r="H1942" s="2">
        <v>-5.0000000000000001E-4</v>
      </c>
      <c r="I1942" s="16">
        <f t="shared" si="153"/>
        <v>-5.1011732698522593E-4</v>
      </c>
      <c r="J1942" s="16">
        <f t="shared" si="154"/>
        <v>0.99948988267301475</v>
      </c>
      <c r="K1942" s="16">
        <f t="shared" si="150"/>
        <v>57</v>
      </c>
      <c r="L1942" s="16">
        <f t="shared" si="151"/>
        <v>58.713265306122452</v>
      </c>
      <c r="M1942" s="25" t="str">
        <f t="shared" si="152"/>
        <v>HOLD</v>
      </c>
    </row>
    <row r="1943" spans="2:13">
      <c r="B1943" s="3">
        <v>44869</v>
      </c>
      <c r="C1943" s="5">
        <v>59.26</v>
      </c>
      <c r="D1943" s="5">
        <v>59.3</v>
      </c>
      <c r="E1943" s="5">
        <v>59.58</v>
      </c>
      <c r="F1943" s="5">
        <v>58.56</v>
      </c>
      <c r="G1943" s="18" t="s">
        <v>482</v>
      </c>
      <c r="H1943" s="2">
        <v>8.2000000000000007E-3</v>
      </c>
      <c r="I1943" s="16">
        <f t="shared" si="153"/>
        <v>8.1660428717250239E-3</v>
      </c>
      <c r="J1943" s="16">
        <f t="shared" si="154"/>
        <v>1.008166042871725</v>
      </c>
      <c r="K1943" s="16">
        <f t="shared" si="150"/>
        <v>57.224736842105266</v>
      </c>
      <c r="L1943" s="16">
        <f t="shared" si="151"/>
        <v>58.593061224489801</v>
      </c>
      <c r="M1943" s="25" t="str">
        <f t="shared" si="152"/>
        <v>HOLD</v>
      </c>
    </row>
    <row r="1944" spans="2:13">
      <c r="B1944" s="3">
        <v>44872</v>
      </c>
      <c r="C1944" s="5">
        <v>59.49</v>
      </c>
      <c r="D1944" s="5">
        <v>59.26</v>
      </c>
      <c r="E1944" s="5">
        <v>59.77</v>
      </c>
      <c r="F1944" s="5">
        <v>59.24</v>
      </c>
      <c r="G1944" s="18" t="s">
        <v>427</v>
      </c>
      <c r="H1944" s="2">
        <v>3.8999999999999998E-3</v>
      </c>
      <c r="I1944" s="16">
        <f t="shared" si="153"/>
        <v>3.881201484981505E-3</v>
      </c>
      <c r="J1944" s="16">
        <f t="shared" si="154"/>
        <v>1.0038812014849816</v>
      </c>
      <c r="K1944" s="16">
        <f t="shared" si="150"/>
        <v>57.48105263157894</v>
      </c>
      <c r="L1944" s="16">
        <f t="shared" si="151"/>
        <v>58.514489795918379</v>
      </c>
      <c r="M1944" s="25" t="str">
        <f t="shared" si="152"/>
        <v>HOLD</v>
      </c>
    </row>
    <row r="1945" spans="2:13">
      <c r="B1945" s="3">
        <v>44873</v>
      </c>
      <c r="C1945" s="5">
        <v>59.6</v>
      </c>
      <c r="D1945" s="5">
        <v>59.75</v>
      </c>
      <c r="E1945" s="5">
        <v>59.79</v>
      </c>
      <c r="F1945" s="5">
        <v>58.94</v>
      </c>
      <c r="G1945" s="18" t="s">
        <v>481</v>
      </c>
      <c r="H1945" s="2">
        <v>1.8E-3</v>
      </c>
      <c r="I1945" s="16">
        <f t="shared" si="153"/>
        <v>1.8490502605479817E-3</v>
      </c>
      <c r="J1945" s="16">
        <f t="shared" si="154"/>
        <v>1.0018490502605479</v>
      </c>
      <c r="K1945" s="16">
        <f t="shared" si="150"/>
        <v>57.744736842105254</v>
      </c>
      <c r="L1945" s="16">
        <f t="shared" si="151"/>
        <v>58.448367346938781</v>
      </c>
      <c r="M1945" s="25" t="str">
        <f t="shared" si="152"/>
        <v>HOLD</v>
      </c>
    </row>
    <row r="1946" spans="2:13">
      <c r="B1946" s="3">
        <v>44874</v>
      </c>
      <c r="C1946" s="5">
        <v>58.77</v>
      </c>
      <c r="D1946" s="5">
        <v>59.59</v>
      </c>
      <c r="E1946" s="5">
        <v>59.64</v>
      </c>
      <c r="F1946" s="5">
        <v>58.75</v>
      </c>
      <c r="G1946" s="18" t="s">
        <v>480</v>
      </c>
      <c r="H1946" s="2">
        <v>-1.3899999999999999E-2</v>
      </c>
      <c r="I1946" s="16">
        <f t="shared" si="153"/>
        <v>-1.3926174496644267E-2</v>
      </c>
      <c r="J1946" s="16">
        <f t="shared" si="154"/>
        <v>0.98607382550335576</v>
      </c>
      <c r="K1946" s="16">
        <f t="shared" si="150"/>
        <v>57.979473684210518</v>
      </c>
      <c r="L1946" s="16">
        <f t="shared" si="151"/>
        <v>58.396326530612249</v>
      </c>
      <c r="M1946" s="25" t="str">
        <f t="shared" si="152"/>
        <v>HOLD</v>
      </c>
    </row>
    <row r="1947" spans="2:13">
      <c r="B1947" s="3">
        <v>44875</v>
      </c>
      <c r="C1947" s="5">
        <v>60.88</v>
      </c>
      <c r="D1947" s="5">
        <v>60.25</v>
      </c>
      <c r="E1947" s="5">
        <v>61.04</v>
      </c>
      <c r="F1947" s="5">
        <v>59.68</v>
      </c>
      <c r="G1947" s="18" t="s">
        <v>479</v>
      </c>
      <c r="H1947" s="2">
        <v>3.5900000000000001E-2</v>
      </c>
      <c r="I1947" s="16">
        <f t="shared" si="153"/>
        <v>3.5902671431002203E-2</v>
      </c>
      <c r="J1947" s="16">
        <f t="shared" si="154"/>
        <v>1.0359026714310022</v>
      </c>
      <c r="K1947" s="16">
        <f t="shared" ref="K1947:K2010" si="155">AVERAGE(C1928:C1946)</f>
        <v>58.132105263157882</v>
      </c>
      <c r="L1947" s="16">
        <f t="shared" si="151"/>
        <v>58.336326530612247</v>
      </c>
      <c r="M1947" s="25" t="str">
        <f t="shared" si="152"/>
        <v>HOLD</v>
      </c>
    </row>
    <row r="1948" spans="2:13">
      <c r="B1948" s="3">
        <v>44876</v>
      </c>
      <c r="C1948" s="5">
        <v>61.32</v>
      </c>
      <c r="D1948" s="5">
        <v>61.37</v>
      </c>
      <c r="E1948" s="5">
        <v>61.45</v>
      </c>
      <c r="F1948" s="5">
        <v>60.21</v>
      </c>
      <c r="G1948" s="18" t="s">
        <v>478</v>
      </c>
      <c r="H1948" s="2">
        <v>7.1999999999999998E-3</v>
      </c>
      <c r="I1948" s="16">
        <f t="shared" si="153"/>
        <v>7.2273324572929981E-3</v>
      </c>
      <c r="J1948" s="16">
        <f t="shared" si="154"/>
        <v>1.0072273324572929</v>
      </c>
      <c r="K1948" s="16">
        <f t="shared" si="155"/>
        <v>58.44263157894737</v>
      </c>
      <c r="L1948" s="16">
        <f t="shared" si="151"/>
        <v>58.313469387755106</v>
      </c>
      <c r="M1948" s="25" t="str">
        <f t="shared" si="152"/>
        <v>BUY</v>
      </c>
    </row>
    <row r="1949" spans="2:13">
      <c r="B1949" s="3">
        <v>44879</v>
      </c>
      <c r="C1949" s="5">
        <v>60.73</v>
      </c>
      <c r="D1949" s="5">
        <v>61.32</v>
      </c>
      <c r="E1949" s="5">
        <v>61.72</v>
      </c>
      <c r="F1949" s="5">
        <v>60.71</v>
      </c>
      <c r="G1949" s="18" t="s">
        <v>477</v>
      </c>
      <c r="H1949" s="2">
        <v>-9.5999999999999992E-3</v>
      </c>
      <c r="I1949" s="16">
        <f t="shared" si="153"/>
        <v>-9.6216568819309095E-3</v>
      </c>
      <c r="J1949" s="16">
        <f t="shared" si="154"/>
        <v>0.99037834311806905</v>
      </c>
      <c r="K1949" s="16">
        <f t="shared" si="155"/>
        <v>58.738947368421051</v>
      </c>
      <c r="L1949" s="16">
        <f t="shared" si="151"/>
        <v>58.316938775510216</v>
      </c>
      <c r="M1949" s="25" t="str">
        <f t="shared" si="152"/>
        <v>HOLD</v>
      </c>
    </row>
    <row r="1950" spans="2:13">
      <c r="B1950" s="3">
        <v>44880</v>
      </c>
      <c r="C1950" s="5">
        <v>60.63</v>
      </c>
      <c r="D1950" s="5">
        <v>61.13</v>
      </c>
      <c r="E1950" s="5">
        <v>61.45</v>
      </c>
      <c r="F1950" s="5">
        <v>60</v>
      </c>
      <c r="G1950" s="18" t="s">
        <v>476</v>
      </c>
      <c r="H1950" s="2">
        <v>-1.6000000000000001E-3</v>
      </c>
      <c r="I1950" s="16">
        <f t="shared" si="153"/>
        <v>-1.6466326362587571E-3</v>
      </c>
      <c r="J1950" s="16">
        <f t="shared" si="154"/>
        <v>0.99835336736374125</v>
      </c>
      <c r="K1950" s="16">
        <f t="shared" si="155"/>
        <v>58.96473684210526</v>
      </c>
      <c r="L1950" s="16">
        <f t="shared" si="151"/>
        <v>58.307755102040836</v>
      </c>
      <c r="M1950" s="25" t="str">
        <f t="shared" si="152"/>
        <v>HOLD</v>
      </c>
    </row>
    <row r="1951" spans="2:13">
      <c r="B1951" s="3">
        <v>44881</v>
      </c>
      <c r="C1951" s="5">
        <v>60.52</v>
      </c>
      <c r="D1951" s="5">
        <v>60.79</v>
      </c>
      <c r="E1951" s="5">
        <v>61.03</v>
      </c>
      <c r="F1951" s="5">
        <v>60.28</v>
      </c>
      <c r="G1951" s="18" t="s">
        <v>475</v>
      </c>
      <c r="H1951" s="2">
        <v>-1.8E-3</v>
      </c>
      <c r="I1951" s="16">
        <f t="shared" si="153"/>
        <v>-1.8142833580735516E-3</v>
      </c>
      <c r="J1951" s="16">
        <f t="shared" si="154"/>
        <v>0.99818571664192646</v>
      </c>
      <c r="K1951" s="16">
        <f t="shared" si="155"/>
        <v>59.210526315789473</v>
      </c>
      <c r="L1951" s="16">
        <f t="shared" si="151"/>
        <v>58.273469387755121</v>
      </c>
      <c r="M1951" s="25" t="str">
        <f t="shared" si="152"/>
        <v>HOLD</v>
      </c>
    </row>
    <row r="1952" spans="2:13">
      <c r="B1952" s="3">
        <v>44882</v>
      </c>
      <c r="C1952" s="5">
        <v>60.71</v>
      </c>
      <c r="D1952" s="5">
        <v>60.19</v>
      </c>
      <c r="E1952" s="5">
        <v>60.74</v>
      </c>
      <c r="F1952" s="5">
        <v>60.13</v>
      </c>
      <c r="G1952" s="18" t="s">
        <v>474</v>
      </c>
      <c r="H1952" s="2">
        <v>3.0999999999999999E-3</v>
      </c>
      <c r="I1952" s="16">
        <f t="shared" si="153"/>
        <v>3.1394580304031348E-3</v>
      </c>
      <c r="J1952" s="16">
        <f t="shared" si="154"/>
        <v>1.0031394580304032</v>
      </c>
      <c r="K1952" s="16">
        <f t="shared" si="155"/>
        <v>59.496842105263163</v>
      </c>
      <c r="L1952" s="16">
        <f t="shared" si="151"/>
        <v>58.240816326530627</v>
      </c>
      <c r="M1952" s="25" t="str">
        <f t="shared" si="152"/>
        <v>HOLD</v>
      </c>
    </row>
    <row r="1953" spans="2:13">
      <c r="B1953" s="3">
        <v>44883</v>
      </c>
      <c r="C1953" s="5">
        <v>61.14</v>
      </c>
      <c r="D1953" s="5">
        <v>60.99</v>
      </c>
      <c r="E1953" s="5">
        <v>61.37</v>
      </c>
      <c r="F1953" s="5">
        <v>60.8</v>
      </c>
      <c r="G1953" s="18" t="s">
        <v>473</v>
      </c>
      <c r="H1953" s="2">
        <v>7.1000000000000004E-3</v>
      </c>
      <c r="I1953" s="16">
        <f t="shared" si="153"/>
        <v>7.0828529072640371E-3</v>
      </c>
      <c r="J1953" s="16">
        <f t="shared" si="154"/>
        <v>1.007082852907264</v>
      </c>
      <c r="K1953" s="16">
        <f t="shared" si="155"/>
        <v>59.74684210526317</v>
      </c>
      <c r="L1953" s="16">
        <f t="shared" si="151"/>
        <v>58.207959183673481</v>
      </c>
      <c r="M1953" s="25" t="str">
        <f t="shared" si="152"/>
        <v>HOLD</v>
      </c>
    </row>
    <row r="1954" spans="2:13">
      <c r="B1954" s="3">
        <v>44886</v>
      </c>
      <c r="C1954" s="5">
        <v>62.08</v>
      </c>
      <c r="D1954" s="5">
        <v>61.41</v>
      </c>
      <c r="E1954" s="5">
        <v>62.21</v>
      </c>
      <c r="F1954" s="5">
        <v>61.2</v>
      </c>
      <c r="G1954" s="18" t="s">
        <v>439</v>
      </c>
      <c r="H1954" s="2">
        <v>1.54E-2</v>
      </c>
      <c r="I1954" s="16">
        <f t="shared" si="153"/>
        <v>1.5374550212626721E-2</v>
      </c>
      <c r="J1954" s="16">
        <f t="shared" si="154"/>
        <v>1.0153745502126268</v>
      </c>
      <c r="K1954" s="16">
        <f t="shared" si="155"/>
        <v>59.934736842105274</v>
      </c>
      <c r="L1954" s="16">
        <f t="shared" si="151"/>
        <v>58.18020408163266</v>
      </c>
      <c r="M1954" s="25" t="str">
        <f t="shared" si="152"/>
        <v>HOLD</v>
      </c>
    </row>
    <row r="1955" spans="2:13">
      <c r="B1955" s="3">
        <v>44887</v>
      </c>
      <c r="C1955" s="5">
        <v>62.35</v>
      </c>
      <c r="D1955" s="5">
        <v>62.47</v>
      </c>
      <c r="E1955" s="5">
        <v>62.5</v>
      </c>
      <c r="F1955" s="5">
        <v>62.05</v>
      </c>
      <c r="G1955" s="18" t="s">
        <v>472</v>
      </c>
      <c r="H1955" s="2">
        <v>4.3E-3</v>
      </c>
      <c r="I1955" s="16">
        <f t="shared" si="153"/>
        <v>4.3492268041237618E-3</v>
      </c>
      <c r="J1955" s="16">
        <f t="shared" si="154"/>
        <v>1.0043492268041239</v>
      </c>
      <c r="K1955" s="16">
        <f t="shared" si="155"/>
        <v>60.09947368421053</v>
      </c>
      <c r="L1955" s="16">
        <f t="shared" si="151"/>
        <v>58.213061224489806</v>
      </c>
      <c r="M1955" s="25" t="str">
        <f t="shared" si="152"/>
        <v>HOLD</v>
      </c>
    </row>
    <row r="1956" spans="2:13">
      <c r="B1956" s="3">
        <v>44888</v>
      </c>
      <c r="C1956" s="5">
        <v>62.63</v>
      </c>
      <c r="D1956" s="5">
        <v>62.49</v>
      </c>
      <c r="E1956" s="5">
        <v>62.79</v>
      </c>
      <c r="F1956" s="5">
        <v>62.3</v>
      </c>
      <c r="G1956" s="18" t="s">
        <v>471</v>
      </c>
      <c r="H1956" s="2">
        <v>4.4999999999999997E-3</v>
      </c>
      <c r="I1956" s="16">
        <f t="shared" si="153"/>
        <v>4.4907778668805314E-3</v>
      </c>
      <c r="J1956" s="16">
        <f t="shared" si="154"/>
        <v>1.0044907778668806</v>
      </c>
      <c r="K1956" s="16">
        <f t="shared" si="155"/>
        <v>60.255263157894731</v>
      </c>
      <c r="L1956" s="16">
        <f t="shared" si="151"/>
        <v>58.244897959183682</v>
      </c>
      <c r="M1956" s="25" t="str">
        <f t="shared" si="152"/>
        <v>HOLD</v>
      </c>
    </row>
    <row r="1957" spans="2:13">
      <c r="B1957" s="3">
        <v>44890</v>
      </c>
      <c r="C1957" s="5">
        <v>62.69</v>
      </c>
      <c r="D1957" s="5">
        <v>62.73</v>
      </c>
      <c r="E1957" s="5">
        <v>62.81</v>
      </c>
      <c r="F1957" s="5">
        <v>62.38</v>
      </c>
      <c r="G1957" s="18" t="s">
        <v>470</v>
      </c>
      <c r="H1957" s="2">
        <v>1E-3</v>
      </c>
      <c r="I1957" s="16">
        <f t="shared" si="153"/>
        <v>9.5800734472289908E-4</v>
      </c>
      <c r="J1957" s="16">
        <f t="shared" si="154"/>
        <v>1.0009580073447228</v>
      </c>
      <c r="K1957" s="16">
        <f t="shared" si="155"/>
        <v>60.418421052631594</v>
      </c>
      <c r="L1957" s="16">
        <f t="shared" si="151"/>
        <v>58.308163265306121</v>
      </c>
      <c r="M1957" s="25" t="str">
        <f t="shared" si="152"/>
        <v>HOLD</v>
      </c>
    </row>
    <row r="1958" spans="2:13">
      <c r="B1958" s="3">
        <v>44893</v>
      </c>
      <c r="C1958" s="5">
        <v>62.7</v>
      </c>
      <c r="D1958" s="5">
        <v>62.69</v>
      </c>
      <c r="E1958" s="5">
        <v>63.1</v>
      </c>
      <c r="F1958" s="5">
        <v>62.56</v>
      </c>
      <c r="G1958" s="18" t="s">
        <v>319</v>
      </c>
      <c r="H1958" s="2">
        <v>2.0000000000000001E-4</v>
      </c>
      <c r="I1958" s="16">
        <f t="shared" si="153"/>
        <v>1.595150741745911E-4</v>
      </c>
      <c r="J1958" s="16">
        <f t="shared" si="154"/>
        <v>1.0001595150741747</v>
      </c>
      <c r="K1958" s="16">
        <f t="shared" si="155"/>
        <v>60.520000000000017</v>
      </c>
      <c r="L1958" s="16">
        <f t="shared" si="151"/>
        <v>58.372448979591837</v>
      </c>
      <c r="M1958" s="25" t="str">
        <f t="shared" si="152"/>
        <v>HOLD</v>
      </c>
    </row>
    <row r="1959" spans="2:13">
      <c r="B1959" s="3">
        <v>44894</v>
      </c>
      <c r="C1959" s="5">
        <v>62.48</v>
      </c>
      <c r="D1959" s="5">
        <v>62.52</v>
      </c>
      <c r="E1959" s="5">
        <v>62.57</v>
      </c>
      <c r="F1959" s="5">
        <v>61.98</v>
      </c>
      <c r="G1959" s="18" t="s">
        <v>469</v>
      </c>
      <c r="H1959" s="2">
        <v>-3.5000000000000001E-3</v>
      </c>
      <c r="I1959" s="16">
        <f t="shared" si="153"/>
        <v>-3.5087719298246564E-3</v>
      </c>
      <c r="J1959" s="16">
        <f t="shared" si="154"/>
        <v>0.99649122807017532</v>
      </c>
      <c r="K1959" s="16">
        <f t="shared" si="155"/>
        <v>60.670000000000016</v>
      </c>
      <c r="L1959" s="16">
        <f t="shared" si="151"/>
        <v>58.42775510204082</v>
      </c>
      <c r="M1959" s="25" t="str">
        <f t="shared" si="152"/>
        <v>HOLD</v>
      </c>
    </row>
    <row r="1960" spans="2:13">
      <c r="B1960" s="3">
        <v>44895</v>
      </c>
      <c r="C1960" s="5">
        <v>63.61</v>
      </c>
      <c r="D1960" s="5">
        <v>62.01</v>
      </c>
      <c r="E1960" s="5">
        <v>63.68</v>
      </c>
      <c r="F1960" s="5">
        <v>61.75</v>
      </c>
      <c r="G1960" s="18" t="s">
        <v>468</v>
      </c>
      <c r="H1960" s="2">
        <v>1.8100000000000002E-2</v>
      </c>
      <c r="I1960" s="16">
        <f t="shared" si="153"/>
        <v>1.8085787451984678E-2</v>
      </c>
      <c r="J1960" s="16">
        <f t="shared" si="154"/>
        <v>1.0180857874519846</v>
      </c>
      <c r="K1960" s="16">
        <f t="shared" si="155"/>
        <v>60.819473684210536</v>
      </c>
      <c r="L1960" s="16">
        <f t="shared" si="151"/>
        <v>58.480408163265302</v>
      </c>
      <c r="M1960" s="25" t="str">
        <f t="shared" si="152"/>
        <v>HOLD</v>
      </c>
    </row>
    <row r="1961" spans="2:13">
      <c r="B1961" s="3">
        <v>44896</v>
      </c>
      <c r="C1961" s="5">
        <v>63.79</v>
      </c>
      <c r="D1961" s="5">
        <v>63.61</v>
      </c>
      <c r="E1961" s="5">
        <v>64.11</v>
      </c>
      <c r="F1961" s="5">
        <v>63.43</v>
      </c>
      <c r="G1961" s="18" t="s">
        <v>327</v>
      </c>
      <c r="H1961" s="2">
        <v>2.8E-3</v>
      </c>
      <c r="I1961" s="16">
        <f t="shared" si="153"/>
        <v>2.8297437509825453E-3</v>
      </c>
      <c r="J1961" s="16">
        <f t="shared" si="154"/>
        <v>1.0028297437509825</v>
      </c>
      <c r="K1961" s="16">
        <f t="shared" si="155"/>
        <v>61.072105263157901</v>
      </c>
      <c r="L1961" s="16">
        <f t="shared" si="151"/>
        <v>58.566326530612244</v>
      </c>
      <c r="M1961" s="25" t="str">
        <f t="shared" si="152"/>
        <v>HOLD</v>
      </c>
    </row>
    <row r="1962" spans="2:13">
      <c r="B1962" s="3">
        <v>44897</v>
      </c>
      <c r="C1962" s="5">
        <v>64.349999999999994</v>
      </c>
      <c r="D1962" s="5">
        <v>63.61</v>
      </c>
      <c r="E1962" s="5">
        <v>64.52</v>
      </c>
      <c r="F1962" s="5">
        <v>63.4</v>
      </c>
      <c r="G1962" s="18" t="s">
        <v>114</v>
      </c>
      <c r="H1962" s="2">
        <v>8.8000000000000005E-3</v>
      </c>
      <c r="I1962" s="16">
        <f t="shared" si="153"/>
        <v>8.7788054554004576E-3</v>
      </c>
      <c r="J1962" s="16">
        <f t="shared" si="154"/>
        <v>1.0087788054554006</v>
      </c>
      <c r="K1962" s="16">
        <f t="shared" si="155"/>
        <v>61.335789473684216</v>
      </c>
      <c r="L1962" s="16">
        <f t="shared" si="151"/>
        <v>58.658775510204073</v>
      </c>
      <c r="M1962" s="25" t="str">
        <f t="shared" si="152"/>
        <v>HOLD</v>
      </c>
    </row>
    <row r="1963" spans="2:13">
      <c r="B1963" s="3">
        <v>44900</v>
      </c>
      <c r="C1963" s="5">
        <v>63.47</v>
      </c>
      <c r="D1963" s="5">
        <v>63.41</v>
      </c>
      <c r="E1963" s="5">
        <v>63.79</v>
      </c>
      <c r="F1963" s="5">
        <v>63.26</v>
      </c>
      <c r="G1963" s="18" t="s">
        <v>467</v>
      </c>
      <c r="H1963" s="2">
        <v>-1.37E-2</v>
      </c>
      <c r="I1963" s="16">
        <f t="shared" si="153"/>
        <v>-1.3675213675213606E-2</v>
      </c>
      <c r="J1963" s="16">
        <f t="shared" si="154"/>
        <v>0.98632478632478637</v>
      </c>
      <c r="K1963" s="16">
        <f t="shared" si="155"/>
        <v>61.603684210526303</v>
      </c>
      <c r="L1963" s="16">
        <f t="shared" si="151"/>
        <v>58.776122448979585</v>
      </c>
      <c r="M1963" s="25" t="str">
        <f t="shared" si="152"/>
        <v>HOLD</v>
      </c>
    </row>
    <row r="1964" spans="2:13">
      <c r="B1964" s="3">
        <v>44901</v>
      </c>
      <c r="C1964" s="5">
        <v>63.44</v>
      </c>
      <c r="D1964" s="5">
        <v>63.52</v>
      </c>
      <c r="E1964" s="5">
        <v>63.88</v>
      </c>
      <c r="F1964" s="5">
        <v>63.22</v>
      </c>
      <c r="G1964" s="18" t="s">
        <v>445</v>
      </c>
      <c r="H1964" s="2">
        <v>-5.0000000000000001E-4</v>
      </c>
      <c r="I1964" s="16">
        <f t="shared" si="153"/>
        <v>-4.7266425082718034E-4</v>
      </c>
      <c r="J1964" s="16">
        <f t="shared" si="154"/>
        <v>0.99952733574917285</v>
      </c>
      <c r="K1964" s="16">
        <f t="shared" si="155"/>
        <v>61.813157894736847</v>
      </c>
      <c r="L1964" s="16">
        <f t="shared" si="151"/>
        <v>58.890408163265299</v>
      </c>
      <c r="M1964" s="25" t="str">
        <f t="shared" si="152"/>
        <v>HOLD</v>
      </c>
    </row>
    <row r="1965" spans="2:13">
      <c r="B1965" s="3">
        <v>44902</v>
      </c>
      <c r="C1965" s="5">
        <v>63.54</v>
      </c>
      <c r="D1965" s="5">
        <v>63.45</v>
      </c>
      <c r="E1965" s="5">
        <v>63.72</v>
      </c>
      <c r="F1965" s="5">
        <v>63.25</v>
      </c>
      <c r="G1965" s="18" t="s">
        <v>232</v>
      </c>
      <c r="H1965" s="2">
        <v>1.6000000000000001E-3</v>
      </c>
      <c r="I1965" s="16">
        <f t="shared" si="153"/>
        <v>1.5762925598991398E-3</v>
      </c>
      <c r="J1965" s="16">
        <f t="shared" si="154"/>
        <v>1.0015762925598992</v>
      </c>
      <c r="K1965" s="16">
        <f t="shared" si="155"/>
        <v>62.015263157894744</v>
      </c>
      <c r="L1965" s="16">
        <f t="shared" si="151"/>
        <v>59.034489795918368</v>
      </c>
      <c r="M1965" s="25" t="str">
        <f t="shared" si="152"/>
        <v>HOLD</v>
      </c>
    </row>
    <row r="1966" spans="2:13">
      <c r="B1966" s="3">
        <v>44903</v>
      </c>
      <c r="C1966" s="5">
        <v>63.81</v>
      </c>
      <c r="D1966" s="5">
        <v>63.6</v>
      </c>
      <c r="E1966" s="5">
        <v>63.85</v>
      </c>
      <c r="F1966" s="5">
        <v>63.35</v>
      </c>
      <c r="G1966" s="18" t="s">
        <v>466</v>
      </c>
      <c r="H1966" s="2">
        <v>4.1999999999999997E-3</v>
      </c>
      <c r="I1966" s="16">
        <f t="shared" si="153"/>
        <v>4.2492917847025986E-3</v>
      </c>
      <c r="J1966" s="16">
        <f t="shared" si="154"/>
        <v>1.0042492917847026</v>
      </c>
      <c r="K1966" s="16">
        <f t="shared" si="155"/>
        <v>62.26631578947368</v>
      </c>
      <c r="L1966" s="16">
        <f t="shared" si="151"/>
        <v>59.168367346938766</v>
      </c>
      <c r="M1966" s="25" t="str">
        <f t="shared" si="152"/>
        <v>HOLD</v>
      </c>
    </row>
    <row r="1967" spans="2:13">
      <c r="B1967" s="3">
        <v>44904</v>
      </c>
      <c r="C1967" s="5">
        <v>63.14</v>
      </c>
      <c r="D1967" s="5">
        <v>63.61</v>
      </c>
      <c r="E1967" s="5">
        <v>63.84</v>
      </c>
      <c r="F1967" s="5">
        <v>63.09</v>
      </c>
      <c r="G1967" s="18" t="s">
        <v>228</v>
      </c>
      <c r="H1967" s="2">
        <v>-1.0500000000000001E-2</v>
      </c>
      <c r="I1967" s="16">
        <f t="shared" si="153"/>
        <v>-1.049992164237583E-2</v>
      </c>
      <c r="J1967" s="16">
        <f t="shared" si="154"/>
        <v>0.98950007835762421</v>
      </c>
      <c r="K1967" s="16">
        <f t="shared" si="155"/>
        <v>62.420526315789473</v>
      </c>
      <c r="L1967" s="16">
        <f t="shared" si="151"/>
        <v>59.316122448979584</v>
      </c>
      <c r="M1967" s="25" t="str">
        <f t="shared" si="152"/>
        <v>HOLD</v>
      </c>
    </row>
    <row r="1968" spans="2:13">
      <c r="B1968" s="3">
        <v>44907</v>
      </c>
      <c r="C1968" s="5">
        <v>63.97</v>
      </c>
      <c r="D1968" s="5">
        <v>63.3</v>
      </c>
      <c r="E1968" s="5">
        <v>64</v>
      </c>
      <c r="F1968" s="5">
        <v>63.01</v>
      </c>
      <c r="G1968" s="18" t="s">
        <v>465</v>
      </c>
      <c r="H1968" s="2">
        <v>1.3100000000000001E-2</v>
      </c>
      <c r="I1968" s="16">
        <f t="shared" si="153"/>
        <v>1.3145391194171656E-2</v>
      </c>
      <c r="J1968" s="16">
        <f t="shared" si="154"/>
        <v>1.0131453911941717</v>
      </c>
      <c r="K1968" s="16">
        <f t="shared" si="155"/>
        <v>62.516315789473694</v>
      </c>
      <c r="L1968" s="16">
        <f t="shared" si="151"/>
        <v>59.461428571428577</v>
      </c>
      <c r="M1968" s="25" t="str">
        <f t="shared" si="152"/>
        <v>HOLD</v>
      </c>
    </row>
    <row r="1969" spans="2:13">
      <c r="B1969" s="3">
        <v>44908</v>
      </c>
      <c r="C1969" s="5">
        <v>63.99</v>
      </c>
      <c r="D1969" s="5">
        <v>64.59</v>
      </c>
      <c r="E1969" s="5">
        <v>64.7</v>
      </c>
      <c r="F1969" s="5">
        <v>63.8</v>
      </c>
      <c r="G1969" s="18" t="s">
        <v>464</v>
      </c>
      <c r="H1969" s="2">
        <v>2.9999999999999997E-4</v>
      </c>
      <c r="I1969" s="16">
        <f t="shared" si="153"/>
        <v>3.1264655307180128E-4</v>
      </c>
      <c r="J1969" s="16">
        <f t="shared" si="154"/>
        <v>1.0003126465530718</v>
      </c>
      <c r="K1969" s="16">
        <f t="shared" si="155"/>
        <v>62.686842105263167</v>
      </c>
      <c r="L1969" s="16">
        <f t="shared" si="151"/>
        <v>59.61081632653061</v>
      </c>
      <c r="M1969" s="25" t="str">
        <f t="shared" si="152"/>
        <v>HOLD</v>
      </c>
    </row>
    <row r="1970" spans="2:13">
      <c r="B1970" s="3">
        <v>44909</v>
      </c>
      <c r="C1970" s="5">
        <v>63.99</v>
      </c>
      <c r="D1970" s="5">
        <v>64.19</v>
      </c>
      <c r="E1970" s="5">
        <v>64.650000000000006</v>
      </c>
      <c r="F1970" s="5">
        <v>63.57</v>
      </c>
      <c r="G1970" s="18" t="s">
        <v>463</v>
      </c>
      <c r="H1970" s="2">
        <v>0</v>
      </c>
      <c r="I1970" s="16">
        <f t="shared" si="153"/>
        <v>0</v>
      </c>
      <c r="J1970" s="16">
        <f t="shared" si="154"/>
        <v>1</v>
      </c>
      <c r="K1970" s="16">
        <f t="shared" si="155"/>
        <v>62.863684210526323</v>
      </c>
      <c r="L1970" s="16">
        <f t="shared" si="151"/>
        <v>59.757959183673456</v>
      </c>
      <c r="M1970" s="25" t="str">
        <f t="shared" si="152"/>
        <v>HOLD</v>
      </c>
    </row>
    <row r="1971" spans="2:13">
      <c r="B1971" s="3">
        <v>44910</v>
      </c>
      <c r="C1971" s="5">
        <v>63.11</v>
      </c>
      <c r="D1971" s="5">
        <v>63.59</v>
      </c>
      <c r="E1971" s="5">
        <v>63.89</v>
      </c>
      <c r="F1971" s="5">
        <v>62.49</v>
      </c>
      <c r="G1971" s="18" t="s">
        <v>462</v>
      </c>
      <c r="H1971" s="2">
        <v>-1.38E-2</v>
      </c>
      <c r="I1971" s="16">
        <f t="shared" si="153"/>
        <v>-1.3752148773245858E-2</v>
      </c>
      <c r="J1971" s="16">
        <f t="shared" si="154"/>
        <v>0.98624785122675418</v>
      </c>
      <c r="K1971" s="16">
        <f t="shared" si="155"/>
        <v>63.046315789473681</v>
      </c>
      <c r="L1971" s="16">
        <f t="shared" si="151"/>
        <v>59.916122448979571</v>
      </c>
      <c r="M1971" s="25" t="str">
        <f t="shared" si="152"/>
        <v>HOLD</v>
      </c>
    </row>
    <row r="1972" spans="2:13">
      <c r="B1972" s="3">
        <v>44911</v>
      </c>
      <c r="C1972" s="5">
        <v>62.75</v>
      </c>
      <c r="D1972" s="5">
        <v>62.75</v>
      </c>
      <c r="E1972" s="5">
        <v>63.14</v>
      </c>
      <c r="F1972" s="5">
        <v>62.33</v>
      </c>
      <c r="G1972" s="18" t="s">
        <v>461</v>
      </c>
      <c r="H1972" s="2">
        <v>-5.7000000000000002E-3</v>
      </c>
      <c r="I1972" s="16">
        <f t="shared" si="153"/>
        <v>-5.7043257803834485E-3</v>
      </c>
      <c r="J1972" s="16">
        <f t="shared" si="154"/>
        <v>0.99429567421961651</v>
      </c>
      <c r="K1972" s="16">
        <f t="shared" si="155"/>
        <v>63.172631578947353</v>
      </c>
      <c r="L1972" s="16">
        <f t="shared" si="151"/>
        <v>60.081020408163241</v>
      </c>
      <c r="M1972" s="25" t="str">
        <f t="shared" si="152"/>
        <v>HOLD</v>
      </c>
    </row>
    <row r="1973" spans="2:13">
      <c r="B1973" s="3">
        <v>44914</v>
      </c>
      <c r="C1973" s="5">
        <v>62.84</v>
      </c>
      <c r="D1973" s="5">
        <v>62.83</v>
      </c>
      <c r="E1973" s="5">
        <v>63.4</v>
      </c>
      <c r="F1973" s="5">
        <v>62.47</v>
      </c>
      <c r="G1973" s="18" t="s">
        <v>460</v>
      </c>
      <c r="H1973" s="2">
        <v>1.4E-3</v>
      </c>
      <c r="I1973" s="16">
        <f t="shared" si="153"/>
        <v>1.4342629482072256E-3</v>
      </c>
      <c r="J1973" s="16">
        <f t="shared" si="154"/>
        <v>1.0014342629482071</v>
      </c>
      <c r="K1973" s="16">
        <f t="shared" si="155"/>
        <v>63.257368421052625</v>
      </c>
      <c r="L1973" s="16">
        <f t="shared" si="151"/>
        <v>60.249183673469368</v>
      </c>
      <c r="M1973" s="25" t="str">
        <f t="shared" si="152"/>
        <v>HOLD</v>
      </c>
    </row>
    <row r="1974" spans="2:13">
      <c r="B1974" s="3">
        <v>44915</v>
      </c>
      <c r="C1974" s="5">
        <v>62.79</v>
      </c>
      <c r="D1974" s="5">
        <v>62.82</v>
      </c>
      <c r="E1974" s="5">
        <v>63.15</v>
      </c>
      <c r="F1974" s="5">
        <v>62.75</v>
      </c>
      <c r="G1974" s="18" t="s">
        <v>459</v>
      </c>
      <c r="H1974" s="2">
        <v>-8.0000000000000004E-4</v>
      </c>
      <c r="I1974" s="16">
        <f t="shared" si="153"/>
        <v>-7.9567154678555473E-4</v>
      </c>
      <c r="J1974" s="16">
        <f t="shared" si="154"/>
        <v>0.9992043284532145</v>
      </c>
      <c r="K1974" s="16">
        <f t="shared" si="155"/>
        <v>63.297368421052624</v>
      </c>
      <c r="L1974" s="16">
        <f t="shared" si="151"/>
        <v>60.421632653061209</v>
      </c>
      <c r="M1974" s="25" t="str">
        <f t="shared" si="152"/>
        <v>HOLD</v>
      </c>
    </row>
    <row r="1975" spans="2:13">
      <c r="B1975" s="3">
        <v>44916</v>
      </c>
      <c r="C1975" s="5">
        <v>63.8</v>
      </c>
      <c r="D1975" s="5">
        <v>63.07</v>
      </c>
      <c r="E1975" s="5">
        <v>64.05</v>
      </c>
      <c r="F1975" s="5">
        <v>63.07</v>
      </c>
      <c r="G1975" s="18" t="s">
        <v>267</v>
      </c>
      <c r="H1975" s="2">
        <v>1.61E-2</v>
      </c>
      <c r="I1975" s="16">
        <f t="shared" si="153"/>
        <v>1.6085363911450837E-2</v>
      </c>
      <c r="J1975" s="16">
        <f t="shared" si="154"/>
        <v>1.0160853639114509</v>
      </c>
      <c r="K1975" s="16">
        <f t="shared" si="155"/>
        <v>63.320526315789472</v>
      </c>
      <c r="L1975" s="16">
        <f t="shared" si="151"/>
        <v>60.591224489795906</v>
      </c>
      <c r="M1975" s="25" t="str">
        <f t="shared" si="152"/>
        <v>HOLD</v>
      </c>
    </row>
    <row r="1976" spans="2:13">
      <c r="B1976" s="3">
        <v>44917</v>
      </c>
      <c r="C1976" s="5">
        <v>63.34</v>
      </c>
      <c r="D1976" s="5">
        <v>63.42</v>
      </c>
      <c r="E1976" s="5">
        <v>63.59</v>
      </c>
      <c r="F1976" s="5">
        <v>62.65</v>
      </c>
      <c r="G1976" s="18" t="s">
        <v>174</v>
      </c>
      <c r="H1976" s="2">
        <v>-7.1999999999999998E-3</v>
      </c>
      <c r="I1976" s="16">
        <f t="shared" si="153"/>
        <v>-7.2100313479622844E-3</v>
      </c>
      <c r="J1976" s="16">
        <f t="shared" si="154"/>
        <v>0.99278996865203772</v>
      </c>
      <c r="K1976" s="16">
        <f t="shared" si="155"/>
        <v>63.382105263157897</v>
      </c>
      <c r="L1976" s="16">
        <f t="shared" si="151"/>
        <v>60.767959183673462</v>
      </c>
      <c r="M1976" s="25" t="str">
        <f t="shared" si="152"/>
        <v>HOLD</v>
      </c>
    </row>
    <row r="1977" spans="2:13">
      <c r="B1977" s="3">
        <v>44918</v>
      </c>
      <c r="C1977" s="5">
        <v>63.82</v>
      </c>
      <c r="D1977" s="5">
        <v>63.5</v>
      </c>
      <c r="E1977" s="5">
        <v>63.87</v>
      </c>
      <c r="F1977" s="5">
        <v>63.2</v>
      </c>
      <c r="G1977" s="18" t="s">
        <v>458</v>
      </c>
      <c r="H1977" s="2">
        <v>7.6E-3</v>
      </c>
      <c r="I1977" s="16">
        <f t="shared" si="153"/>
        <v>7.5781496684559019E-3</v>
      </c>
      <c r="J1977" s="16">
        <f t="shared" si="154"/>
        <v>1.0075781496684559</v>
      </c>
      <c r="K1977" s="16">
        <f t="shared" si="155"/>
        <v>63.416315789473686</v>
      </c>
      <c r="L1977" s="16">
        <f t="shared" ref="L1977:L2040" si="156">AVERAGE(C1928:C1976)</f>
        <v>60.920408163265293</v>
      </c>
      <c r="M1977" s="25" t="str">
        <f t="shared" ref="M1977:M2040" si="157">IF(AND(K1977&gt;L1977,K1976&lt;=L1976),"BUY",IF(AND(K1977&lt;L1977,K1976&gt;=L1976),"SELL","HOLD"))</f>
        <v>HOLD</v>
      </c>
    </row>
    <row r="1978" spans="2:13">
      <c r="B1978" s="3">
        <v>44922</v>
      </c>
      <c r="C1978" s="5">
        <v>64.209999999999994</v>
      </c>
      <c r="D1978" s="5">
        <v>63.93</v>
      </c>
      <c r="E1978" s="5">
        <v>64.290000000000006</v>
      </c>
      <c r="F1978" s="5">
        <v>63.71</v>
      </c>
      <c r="G1978" s="18" t="s">
        <v>457</v>
      </c>
      <c r="H1978" s="2">
        <v>6.1000000000000004E-3</v>
      </c>
      <c r="I1978" s="16">
        <f t="shared" si="153"/>
        <v>6.1109370103414832E-3</v>
      </c>
      <c r="J1978" s="16">
        <f t="shared" si="154"/>
        <v>1.0061109370103414</v>
      </c>
      <c r="K1978" s="16">
        <f t="shared" si="155"/>
        <v>63.475263157894737</v>
      </c>
      <c r="L1978" s="16">
        <f t="shared" si="156"/>
        <v>61.100816326530612</v>
      </c>
      <c r="M1978" s="25" t="str">
        <f t="shared" si="157"/>
        <v>HOLD</v>
      </c>
    </row>
    <row r="1979" spans="2:13">
      <c r="B1979" s="3">
        <v>44923</v>
      </c>
      <c r="C1979" s="5">
        <v>63.57</v>
      </c>
      <c r="D1979" s="5">
        <v>64.459999999999994</v>
      </c>
      <c r="E1979" s="5">
        <v>64.650000000000006</v>
      </c>
      <c r="F1979" s="5">
        <v>63.49</v>
      </c>
      <c r="G1979" s="18" t="s">
        <v>456</v>
      </c>
      <c r="H1979" s="2">
        <v>-0.01</v>
      </c>
      <c r="I1979" s="16">
        <f t="shared" si="153"/>
        <v>-9.9672948138918166E-3</v>
      </c>
      <c r="J1979" s="16">
        <f t="shared" si="154"/>
        <v>0.9900327051861082</v>
      </c>
      <c r="K1979" s="16">
        <f t="shared" si="155"/>
        <v>63.566315789473684</v>
      </c>
      <c r="L1979" s="16">
        <f t="shared" si="156"/>
        <v>61.274693877551023</v>
      </c>
      <c r="M1979" s="25" t="str">
        <f t="shared" si="157"/>
        <v>HOLD</v>
      </c>
    </row>
    <row r="1980" spans="2:13">
      <c r="B1980" s="3">
        <v>44924</v>
      </c>
      <c r="C1980" s="5">
        <v>63.95</v>
      </c>
      <c r="D1980" s="5">
        <v>63.8</v>
      </c>
      <c r="E1980" s="5">
        <v>64.150000000000006</v>
      </c>
      <c r="F1980" s="5">
        <v>63.7</v>
      </c>
      <c r="G1980" s="18" t="s">
        <v>455</v>
      </c>
      <c r="H1980" s="2">
        <v>6.0000000000000001E-3</v>
      </c>
      <c r="I1980" s="16">
        <f t="shared" si="153"/>
        <v>5.9776624193802509E-3</v>
      </c>
      <c r="J1980" s="16">
        <f t="shared" si="154"/>
        <v>1.0059776624193804</v>
      </c>
      <c r="K1980" s="16">
        <f t="shared" si="155"/>
        <v>63.56421052631579</v>
      </c>
      <c r="L1980" s="16">
        <f t="shared" si="156"/>
        <v>61.420204081632654</v>
      </c>
      <c r="M1980" s="25" t="str">
        <f t="shared" si="157"/>
        <v>HOLD</v>
      </c>
    </row>
    <row r="1981" spans="2:13">
      <c r="B1981" s="3">
        <v>44925</v>
      </c>
      <c r="C1981" s="5">
        <v>63.61</v>
      </c>
      <c r="D1981" s="5">
        <v>63.92</v>
      </c>
      <c r="E1981" s="5">
        <v>63.92</v>
      </c>
      <c r="F1981" s="5">
        <v>63.17</v>
      </c>
      <c r="G1981" s="18" t="s">
        <v>454</v>
      </c>
      <c r="H1981" s="2">
        <v>-5.3E-3</v>
      </c>
      <c r="I1981" s="16">
        <f t="shared" si="153"/>
        <v>-5.3166536356529072E-3</v>
      </c>
      <c r="J1981" s="16">
        <f t="shared" si="154"/>
        <v>0.99468334636434708</v>
      </c>
      <c r="K1981" s="16">
        <f t="shared" si="155"/>
        <v>63.572631578947373</v>
      </c>
      <c r="L1981" s="16">
        <f t="shared" si="156"/>
        <v>61.583265306122449</v>
      </c>
      <c r="M1981" s="25" t="str">
        <f t="shared" si="157"/>
        <v>HOLD</v>
      </c>
    </row>
    <row r="1982" spans="2:13">
      <c r="B1982" s="3">
        <v>44929</v>
      </c>
      <c r="C1982" s="5">
        <v>62.95</v>
      </c>
      <c r="D1982" s="5">
        <v>63.56</v>
      </c>
      <c r="E1982" s="5">
        <v>63.56</v>
      </c>
      <c r="F1982" s="5">
        <v>62.17</v>
      </c>
      <c r="G1982" s="18" t="s">
        <v>453</v>
      </c>
      <c r="H1982" s="2">
        <v>-1.04E-2</v>
      </c>
      <c r="I1982" s="16">
        <f t="shared" si="153"/>
        <v>-1.0375727086935963E-2</v>
      </c>
      <c r="J1982" s="16">
        <f t="shared" si="154"/>
        <v>0.98962427291306398</v>
      </c>
      <c r="K1982" s="16">
        <f t="shared" si="155"/>
        <v>63.533684210526324</v>
      </c>
      <c r="L1982" s="16">
        <f t="shared" si="156"/>
        <v>61.757346938775513</v>
      </c>
      <c r="M1982" s="25" t="str">
        <f t="shared" si="157"/>
        <v>HOLD</v>
      </c>
    </row>
    <row r="1983" spans="2:13">
      <c r="B1983" s="3">
        <v>44930</v>
      </c>
      <c r="C1983" s="5">
        <v>62.92</v>
      </c>
      <c r="D1983" s="5">
        <v>63.15</v>
      </c>
      <c r="E1983" s="5">
        <v>63.33</v>
      </c>
      <c r="F1983" s="5">
        <v>62.51</v>
      </c>
      <c r="G1983" s="18" t="s">
        <v>452</v>
      </c>
      <c r="H1983" s="2">
        <v>-5.0000000000000001E-4</v>
      </c>
      <c r="I1983" s="16">
        <f t="shared" si="153"/>
        <v>-4.7656870532170189E-4</v>
      </c>
      <c r="J1983" s="16">
        <f t="shared" si="154"/>
        <v>0.99952343129467824</v>
      </c>
      <c r="K1983" s="16">
        <f t="shared" si="155"/>
        <v>63.506315789473689</v>
      </c>
      <c r="L1983" s="16">
        <f t="shared" si="156"/>
        <v>61.900000000000006</v>
      </c>
      <c r="M1983" s="25" t="str">
        <f t="shared" si="157"/>
        <v>HOLD</v>
      </c>
    </row>
    <row r="1984" spans="2:13">
      <c r="B1984" s="3">
        <v>44931</v>
      </c>
      <c r="C1984" s="5">
        <v>62.2</v>
      </c>
      <c r="D1984" s="5">
        <v>62.6</v>
      </c>
      <c r="E1984" s="5">
        <v>62.8</v>
      </c>
      <c r="F1984" s="5">
        <v>62.08</v>
      </c>
      <c r="G1984" s="18" t="s">
        <v>197</v>
      </c>
      <c r="H1984" s="2">
        <v>-1.14E-2</v>
      </c>
      <c r="I1984" s="16">
        <f t="shared" si="153"/>
        <v>-1.1443102352193243E-2</v>
      </c>
      <c r="J1984" s="16">
        <f t="shared" si="154"/>
        <v>0.98855689764780674</v>
      </c>
      <c r="K1984" s="16">
        <f t="shared" si="155"/>
        <v>63.478947368421061</v>
      </c>
      <c r="L1984" s="16">
        <f t="shared" si="156"/>
        <v>62.009183673469394</v>
      </c>
      <c r="M1984" s="25" t="str">
        <f t="shared" si="157"/>
        <v>HOLD</v>
      </c>
    </row>
    <row r="1985" spans="2:13">
      <c r="B1985" s="3">
        <v>44932</v>
      </c>
      <c r="C1985" s="5">
        <v>63.4</v>
      </c>
      <c r="D1985" s="5">
        <v>62.91</v>
      </c>
      <c r="E1985" s="5">
        <v>63.67</v>
      </c>
      <c r="F1985" s="5">
        <v>62.58</v>
      </c>
      <c r="G1985" s="18" t="s">
        <v>451</v>
      </c>
      <c r="H1985" s="2">
        <v>1.9300000000000001E-2</v>
      </c>
      <c r="I1985" s="16">
        <f t="shared" si="153"/>
        <v>1.9292604501607649E-2</v>
      </c>
      <c r="J1985" s="16">
        <f t="shared" si="154"/>
        <v>1.0192926045016077</v>
      </c>
      <c r="K1985" s="16">
        <f t="shared" si="155"/>
        <v>63.408421052631589</v>
      </c>
      <c r="L1985" s="16">
        <f t="shared" si="156"/>
        <v>62.075510204081638</v>
      </c>
      <c r="M1985" s="25" t="str">
        <f t="shared" si="157"/>
        <v>HOLD</v>
      </c>
    </row>
    <row r="1986" spans="2:13">
      <c r="B1986" s="3">
        <v>44935</v>
      </c>
      <c r="C1986" s="5">
        <v>62.61</v>
      </c>
      <c r="D1986" s="5">
        <v>63.3</v>
      </c>
      <c r="E1986" s="5">
        <v>63.72</v>
      </c>
      <c r="F1986" s="5">
        <v>62.58</v>
      </c>
      <c r="G1986" s="18" t="s">
        <v>182</v>
      </c>
      <c r="H1986" s="2">
        <v>-1.2500000000000001E-2</v>
      </c>
      <c r="I1986" s="16">
        <f t="shared" si="153"/>
        <v>-1.2460567823343835E-2</v>
      </c>
      <c r="J1986" s="16">
        <f t="shared" si="154"/>
        <v>0.98753943217665618</v>
      </c>
      <c r="K1986" s="16">
        <f t="shared" si="155"/>
        <v>63.386842105263177</v>
      </c>
      <c r="L1986" s="16">
        <f t="shared" si="156"/>
        <v>62.157346938775518</v>
      </c>
      <c r="M1986" s="25" t="str">
        <f t="shared" si="157"/>
        <v>HOLD</v>
      </c>
    </row>
    <row r="1987" spans="2:13">
      <c r="B1987" s="3">
        <v>44936</v>
      </c>
      <c r="C1987" s="5">
        <v>62.13</v>
      </c>
      <c r="D1987" s="5">
        <v>62.6</v>
      </c>
      <c r="E1987" s="5">
        <v>62.73</v>
      </c>
      <c r="F1987" s="5">
        <v>61.92</v>
      </c>
      <c r="G1987" s="18" t="s">
        <v>399</v>
      </c>
      <c r="H1987" s="2">
        <v>-7.7000000000000002E-3</v>
      </c>
      <c r="I1987" s="16">
        <f t="shared" si="153"/>
        <v>-7.6665069477718714E-3</v>
      </c>
      <c r="J1987" s="16">
        <f t="shared" si="154"/>
        <v>0.99233349305222818</v>
      </c>
      <c r="K1987" s="16">
        <f t="shared" si="155"/>
        <v>63.358947368421063</v>
      </c>
      <c r="L1987" s="16">
        <f t="shared" si="156"/>
        <v>62.220204081632673</v>
      </c>
      <c r="M1987" s="25" t="str">
        <f t="shared" si="157"/>
        <v>HOLD</v>
      </c>
    </row>
    <row r="1988" spans="2:13">
      <c r="B1988" s="3">
        <v>44937</v>
      </c>
      <c r="C1988" s="5">
        <v>62.01</v>
      </c>
      <c r="D1988" s="5">
        <v>62.38</v>
      </c>
      <c r="E1988" s="5">
        <v>62.56</v>
      </c>
      <c r="F1988" s="5">
        <v>61.41</v>
      </c>
      <c r="G1988" s="18" t="s">
        <v>109</v>
      </c>
      <c r="H1988" s="2">
        <v>-1.9E-3</v>
      </c>
      <c r="I1988" s="16">
        <f t="shared" si="153"/>
        <v>-1.9314340898117584E-3</v>
      </c>
      <c r="J1988" s="16">
        <f t="shared" si="154"/>
        <v>0.99806856591018822</v>
      </c>
      <c r="K1988" s="16">
        <f t="shared" si="155"/>
        <v>63.262105263157906</v>
      </c>
      <c r="L1988" s="16">
        <f t="shared" si="156"/>
        <v>62.248163265306147</v>
      </c>
      <c r="M1988" s="25" t="str">
        <f t="shared" si="157"/>
        <v>HOLD</v>
      </c>
    </row>
    <row r="1989" spans="2:13">
      <c r="B1989" s="3">
        <v>44938</v>
      </c>
      <c r="C1989" s="5">
        <v>61.21</v>
      </c>
      <c r="D1989" s="5">
        <v>62.11</v>
      </c>
      <c r="E1989" s="5">
        <v>62.18</v>
      </c>
      <c r="F1989" s="5">
        <v>60.97</v>
      </c>
      <c r="G1989" s="18" t="s">
        <v>228</v>
      </c>
      <c r="H1989" s="2">
        <v>-1.29E-2</v>
      </c>
      <c r="I1989" s="16">
        <f t="shared" si="153"/>
        <v>-1.2901144976616629E-2</v>
      </c>
      <c r="J1989" s="16">
        <f t="shared" si="154"/>
        <v>0.98709885502338335</v>
      </c>
      <c r="K1989" s="16">
        <f t="shared" si="155"/>
        <v>63.157894736842117</v>
      </c>
      <c r="L1989" s="16">
        <f t="shared" si="156"/>
        <v>62.292244897959208</v>
      </c>
      <c r="M1989" s="25" t="str">
        <f t="shared" si="157"/>
        <v>HOLD</v>
      </c>
    </row>
    <row r="1990" spans="2:13">
      <c r="B1990" s="3">
        <v>44939</v>
      </c>
      <c r="C1990" s="5">
        <v>61.43</v>
      </c>
      <c r="D1990" s="5">
        <v>60.7</v>
      </c>
      <c r="E1990" s="5">
        <v>61.46</v>
      </c>
      <c r="F1990" s="5">
        <v>60.58</v>
      </c>
      <c r="G1990" s="18" t="s">
        <v>450</v>
      </c>
      <c r="H1990" s="2">
        <v>3.5999999999999999E-3</v>
      </c>
      <c r="I1990" s="16">
        <f t="shared" si="153"/>
        <v>3.5941839568697739E-3</v>
      </c>
      <c r="J1990" s="16">
        <f t="shared" si="154"/>
        <v>1.0035941839568698</v>
      </c>
      <c r="K1990" s="16">
        <f t="shared" si="155"/>
        <v>63.011578947368434</v>
      </c>
      <c r="L1990" s="16">
        <f t="shared" si="156"/>
        <v>62.324285714285729</v>
      </c>
      <c r="M1990" s="25" t="str">
        <f t="shared" si="157"/>
        <v>HOLD</v>
      </c>
    </row>
    <row r="1991" spans="2:13">
      <c r="B1991" s="3">
        <v>44943</v>
      </c>
      <c r="C1991" s="5">
        <v>61.68</v>
      </c>
      <c r="D1991" s="5">
        <v>61.73</v>
      </c>
      <c r="E1991" s="5">
        <v>62.38</v>
      </c>
      <c r="F1991" s="5">
        <v>61.56</v>
      </c>
      <c r="G1991" s="18" t="s">
        <v>449</v>
      </c>
      <c r="H1991" s="2">
        <v>4.1000000000000003E-3</v>
      </c>
      <c r="I1991" s="16">
        <f t="shared" si="153"/>
        <v>4.0696727983070159E-3</v>
      </c>
      <c r="J1991" s="16">
        <f t="shared" si="154"/>
        <v>1.0040696727983069</v>
      </c>
      <c r="K1991" s="16">
        <f t="shared" si="155"/>
        <v>62.923157894736853</v>
      </c>
      <c r="L1991" s="16">
        <f t="shared" si="156"/>
        <v>62.37775510204083</v>
      </c>
      <c r="M1991" s="25" t="str">
        <f t="shared" si="157"/>
        <v>HOLD</v>
      </c>
    </row>
    <row r="1992" spans="2:13">
      <c r="B1992" s="3">
        <v>44944</v>
      </c>
      <c r="C1992" s="5">
        <v>59.81</v>
      </c>
      <c r="D1992" s="5">
        <v>61.51</v>
      </c>
      <c r="E1992" s="5">
        <v>61.59</v>
      </c>
      <c r="F1992" s="5">
        <v>59.68</v>
      </c>
      <c r="G1992" s="18" t="s">
        <v>448</v>
      </c>
      <c r="H1992" s="2">
        <v>-3.0300000000000001E-2</v>
      </c>
      <c r="I1992" s="16">
        <f t="shared" si="153"/>
        <v>-3.0317769130998661E-2</v>
      </c>
      <c r="J1992" s="16">
        <f t="shared" si="154"/>
        <v>0.96968223086900129</v>
      </c>
      <c r="K1992" s="16">
        <f t="shared" si="155"/>
        <v>62.86684210526316</v>
      </c>
      <c r="L1992" s="16">
        <f t="shared" si="156"/>
        <v>62.436938775510214</v>
      </c>
      <c r="M1992" s="25" t="str">
        <f t="shared" si="157"/>
        <v>HOLD</v>
      </c>
    </row>
    <row r="1993" spans="2:13">
      <c r="B1993" s="3">
        <v>44945</v>
      </c>
      <c r="C1993" s="5">
        <v>59.72</v>
      </c>
      <c r="D1993" s="5">
        <v>59.72</v>
      </c>
      <c r="E1993" s="5">
        <v>60.64</v>
      </c>
      <c r="F1993" s="5">
        <v>59.71</v>
      </c>
      <c r="G1993" s="18" t="s">
        <v>447</v>
      </c>
      <c r="H1993" s="2">
        <v>-1.5E-3</v>
      </c>
      <c r="I1993" s="16">
        <f t="shared" ref="I1993:I2056" si="158">(C1993-C1992)/C1992</f>
        <v>-1.5047650894499816E-3</v>
      </c>
      <c r="J1993" s="16">
        <f t="shared" ref="J1993:J2056" si="159">C1993/C1992</f>
        <v>0.99849523491055003</v>
      </c>
      <c r="K1993" s="16">
        <f t="shared" si="155"/>
        <v>62.707368421052635</v>
      </c>
      <c r="L1993" s="16">
        <f t="shared" si="156"/>
        <v>62.448163265306121</v>
      </c>
      <c r="M1993" s="25" t="str">
        <f t="shared" si="157"/>
        <v>HOLD</v>
      </c>
    </row>
    <row r="1994" spans="2:13">
      <c r="B1994" s="3">
        <v>44946</v>
      </c>
      <c r="C1994" s="5">
        <v>60.08</v>
      </c>
      <c r="D1994" s="5">
        <v>59.72</v>
      </c>
      <c r="E1994" s="5">
        <v>60.09</v>
      </c>
      <c r="F1994" s="5">
        <v>59.4</v>
      </c>
      <c r="G1994" s="18" t="s">
        <v>364</v>
      </c>
      <c r="H1994" s="2">
        <v>6.0000000000000001E-3</v>
      </c>
      <c r="I1994" s="16">
        <f t="shared" si="158"/>
        <v>6.0281312793034067E-3</v>
      </c>
      <c r="J1994" s="16">
        <f t="shared" si="159"/>
        <v>1.0060281312793034</v>
      </c>
      <c r="K1994" s="16">
        <f t="shared" si="155"/>
        <v>62.545789473684202</v>
      </c>
      <c r="L1994" s="16">
        <f t="shared" si="156"/>
        <v>62.452857142857134</v>
      </c>
      <c r="M1994" s="25" t="str">
        <f t="shared" si="157"/>
        <v>HOLD</v>
      </c>
    </row>
    <row r="1995" spans="2:13">
      <c r="B1995" s="3">
        <v>44949</v>
      </c>
      <c r="C1995" s="5">
        <v>60.23</v>
      </c>
      <c r="D1995" s="5">
        <v>60.28</v>
      </c>
      <c r="E1995" s="5">
        <v>60.56</v>
      </c>
      <c r="F1995" s="5">
        <v>60.05</v>
      </c>
      <c r="G1995" s="18" t="s">
        <v>446</v>
      </c>
      <c r="H1995" s="2">
        <v>2.5000000000000001E-3</v>
      </c>
      <c r="I1995" s="16">
        <f t="shared" si="158"/>
        <v>2.4966711051930524E-3</v>
      </c>
      <c r="J1995" s="16">
        <f t="shared" si="159"/>
        <v>1.002496671105193</v>
      </c>
      <c r="K1995" s="16">
        <f t="shared" si="155"/>
        <v>62.349999999999994</v>
      </c>
      <c r="L1995" s="16">
        <f t="shared" si="156"/>
        <v>62.462653061224479</v>
      </c>
      <c r="M1995" s="25" t="str">
        <f t="shared" si="157"/>
        <v>SELL</v>
      </c>
    </row>
    <row r="1996" spans="2:13">
      <c r="B1996" s="3">
        <v>44950</v>
      </c>
      <c r="C1996" s="5">
        <v>60.55</v>
      </c>
      <c r="D1996" s="5">
        <v>60.08</v>
      </c>
      <c r="E1996" s="5">
        <v>61.85</v>
      </c>
      <c r="F1996" s="5">
        <v>59.8</v>
      </c>
      <c r="G1996" s="18" t="s">
        <v>445</v>
      </c>
      <c r="H1996" s="2">
        <v>5.3E-3</v>
      </c>
      <c r="I1996" s="16">
        <f t="shared" si="158"/>
        <v>5.3129669599867226E-3</v>
      </c>
      <c r="J1996" s="16">
        <f t="shared" si="159"/>
        <v>1.0053129669599867</v>
      </c>
      <c r="K1996" s="16">
        <f t="shared" si="155"/>
        <v>62.186315789473682</v>
      </c>
      <c r="L1996" s="16">
        <f t="shared" si="156"/>
        <v>62.492448979591821</v>
      </c>
      <c r="M1996" s="25" t="str">
        <f t="shared" si="157"/>
        <v>HOLD</v>
      </c>
    </row>
    <row r="1997" spans="2:13">
      <c r="B1997" s="3">
        <v>44951</v>
      </c>
      <c r="C1997" s="5">
        <v>60.93</v>
      </c>
      <c r="D1997" s="5">
        <v>60.2</v>
      </c>
      <c r="E1997" s="5">
        <v>60.94</v>
      </c>
      <c r="F1997" s="5">
        <v>59.88</v>
      </c>
      <c r="G1997" s="18" t="s">
        <v>363</v>
      </c>
      <c r="H1997" s="2">
        <v>6.3E-3</v>
      </c>
      <c r="I1997" s="16">
        <f t="shared" si="158"/>
        <v>6.2758051197357983E-3</v>
      </c>
      <c r="J1997" s="16">
        <f t="shared" si="159"/>
        <v>1.0062758051197358</v>
      </c>
      <c r="K1997" s="16">
        <f t="shared" si="155"/>
        <v>62.014210526315779</v>
      </c>
      <c r="L1997" s="16">
        <f t="shared" si="156"/>
        <v>62.48571428571428</v>
      </c>
      <c r="M1997" s="25" t="str">
        <f t="shared" si="157"/>
        <v>HOLD</v>
      </c>
    </row>
    <row r="1998" spans="2:13">
      <c r="B1998" s="3">
        <v>44952</v>
      </c>
      <c r="C1998" s="5">
        <v>60.81</v>
      </c>
      <c r="D1998" s="5">
        <v>60.81</v>
      </c>
      <c r="E1998" s="5">
        <v>61.1</v>
      </c>
      <c r="F1998" s="5">
        <v>60.57</v>
      </c>
      <c r="G1998" s="18" t="s">
        <v>444</v>
      </c>
      <c r="H1998" s="2">
        <v>-2E-3</v>
      </c>
      <c r="I1998" s="16">
        <f t="shared" si="158"/>
        <v>-1.9694731659280723E-3</v>
      </c>
      <c r="J1998" s="16">
        <f t="shared" si="159"/>
        <v>0.9980305268340719</v>
      </c>
      <c r="K1998" s="16">
        <f t="shared" si="155"/>
        <v>61.841578947368419</v>
      </c>
      <c r="L1998" s="16">
        <f t="shared" si="156"/>
        <v>62.477755102040803</v>
      </c>
      <c r="M1998" s="25" t="str">
        <f t="shared" si="157"/>
        <v>HOLD</v>
      </c>
    </row>
    <row r="1999" spans="2:13">
      <c r="B1999" s="3">
        <v>44953</v>
      </c>
      <c r="C1999" s="5">
        <v>60.49</v>
      </c>
      <c r="D1999" s="5">
        <v>60.84</v>
      </c>
      <c r="E1999" s="5">
        <v>60.96</v>
      </c>
      <c r="F1999" s="5">
        <v>60.37</v>
      </c>
      <c r="G1999" s="18" t="s">
        <v>443</v>
      </c>
      <c r="H1999" s="2">
        <v>-5.3E-3</v>
      </c>
      <c r="I1999" s="16">
        <f t="shared" si="158"/>
        <v>-5.2622923861207083E-3</v>
      </c>
      <c r="J1999" s="16">
        <f t="shared" si="159"/>
        <v>0.99473770761387925</v>
      </c>
      <c r="K1999" s="16">
        <f t="shared" si="155"/>
        <v>61.696315789473687</v>
      </c>
      <c r="L1999" s="16">
        <f t="shared" si="156"/>
        <v>62.479387755102024</v>
      </c>
      <c r="M1999" s="25" t="str">
        <f t="shared" si="157"/>
        <v>HOLD</v>
      </c>
    </row>
    <row r="2000" spans="2:13">
      <c r="B2000" s="3">
        <v>44956</v>
      </c>
      <c r="C2000" s="5">
        <v>60.64</v>
      </c>
      <c r="D2000" s="5">
        <v>60.54</v>
      </c>
      <c r="E2000" s="5">
        <v>61.17</v>
      </c>
      <c r="F2000" s="5">
        <v>60.46</v>
      </c>
      <c r="G2000" s="18" t="s">
        <v>387</v>
      </c>
      <c r="H2000" s="2">
        <v>2.5000000000000001E-3</v>
      </c>
      <c r="I2000" s="16">
        <f t="shared" si="158"/>
        <v>2.4797487187964715E-3</v>
      </c>
      <c r="J2000" s="16">
        <f t="shared" si="159"/>
        <v>1.0024797487187964</v>
      </c>
      <c r="K2000" s="16">
        <f t="shared" si="155"/>
        <v>61.514210526315779</v>
      </c>
      <c r="L2000" s="16">
        <f t="shared" si="156"/>
        <v>62.476530612244879</v>
      </c>
      <c r="M2000" s="25" t="str">
        <f t="shared" si="157"/>
        <v>HOLD</v>
      </c>
    </row>
    <row r="2001" spans="2:13">
      <c r="B2001" s="3">
        <v>44957</v>
      </c>
      <c r="C2001" s="5">
        <v>61.32</v>
      </c>
      <c r="D2001" s="5">
        <v>60.98</v>
      </c>
      <c r="E2001" s="5">
        <v>61.34</v>
      </c>
      <c r="F2001" s="5">
        <v>60.51</v>
      </c>
      <c r="G2001" s="18" t="s">
        <v>442</v>
      </c>
      <c r="H2001" s="2">
        <v>1.12E-2</v>
      </c>
      <c r="I2001" s="16">
        <f t="shared" si="158"/>
        <v>1.1213720316622686E-2</v>
      </c>
      <c r="J2001" s="16">
        <f t="shared" si="159"/>
        <v>1.0112137203166227</v>
      </c>
      <c r="K2001" s="16">
        <f t="shared" si="155"/>
        <v>61.357894736842105</v>
      </c>
      <c r="L2001" s="16">
        <f t="shared" si="156"/>
        <v>62.478979591836712</v>
      </c>
      <c r="M2001" s="25" t="str">
        <f t="shared" si="157"/>
        <v>HOLD</v>
      </c>
    </row>
    <row r="2002" spans="2:13">
      <c r="B2002" s="3">
        <v>44958</v>
      </c>
      <c r="C2002" s="5">
        <v>61.33</v>
      </c>
      <c r="D2002" s="5">
        <v>61.14</v>
      </c>
      <c r="E2002" s="5">
        <v>61.58</v>
      </c>
      <c r="F2002" s="5">
        <v>60.62</v>
      </c>
      <c r="G2002" s="18" t="s">
        <v>441</v>
      </c>
      <c r="H2002" s="2">
        <v>2.0000000000000001E-4</v>
      </c>
      <c r="I2002" s="16">
        <f t="shared" si="158"/>
        <v>1.6307893020218542E-4</v>
      </c>
      <c r="J2002" s="16">
        <f t="shared" si="159"/>
        <v>1.0001630789302023</v>
      </c>
      <c r="K2002" s="16">
        <f t="shared" si="155"/>
        <v>61.27210526315789</v>
      </c>
      <c r="L2002" s="16">
        <f t="shared" si="156"/>
        <v>62.49142857142855</v>
      </c>
      <c r="M2002" s="25" t="str">
        <f t="shared" si="157"/>
        <v>HOLD</v>
      </c>
    </row>
    <row r="2003" spans="2:13">
      <c r="B2003" s="3">
        <v>44959</v>
      </c>
      <c r="C2003" s="5">
        <v>60.28</v>
      </c>
      <c r="D2003" s="5">
        <v>60.8</v>
      </c>
      <c r="E2003" s="5">
        <v>61.02</v>
      </c>
      <c r="F2003" s="5">
        <v>59.91</v>
      </c>
      <c r="G2003" s="18" t="s">
        <v>440</v>
      </c>
      <c r="H2003" s="2">
        <v>-1.7100000000000001E-2</v>
      </c>
      <c r="I2003" s="16">
        <f t="shared" si="158"/>
        <v>-1.7120495679112949E-2</v>
      </c>
      <c r="J2003" s="16">
        <f t="shared" si="159"/>
        <v>0.982879504320887</v>
      </c>
      <c r="K2003" s="16">
        <f t="shared" si="155"/>
        <v>61.188421052631575</v>
      </c>
      <c r="L2003" s="16">
        <f t="shared" si="156"/>
        <v>62.495306122448959</v>
      </c>
      <c r="M2003" s="25" t="str">
        <f t="shared" si="157"/>
        <v>HOLD</v>
      </c>
    </row>
    <row r="2004" spans="2:13">
      <c r="B2004" s="3">
        <v>44960</v>
      </c>
      <c r="C2004" s="5">
        <v>59.83</v>
      </c>
      <c r="D2004" s="5">
        <v>60.35</v>
      </c>
      <c r="E2004" s="5">
        <v>60.42</v>
      </c>
      <c r="F2004" s="5">
        <v>59.23</v>
      </c>
      <c r="G2004" s="18" t="s">
        <v>439</v>
      </c>
      <c r="H2004" s="2">
        <v>-7.4999999999999997E-3</v>
      </c>
      <c r="I2004" s="16">
        <f t="shared" si="158"/>
        <v>-7.4651625746516726E-3</v>
      </c>
      <c r="J2004" s="16">
        <f t="shared" si="159"/>
        <v>0.99253483742534832</v>
      </c>
      <c r="K2004" s="16">
        <f t="shared" si="155"/>
        <v>61.087368421052624</v>
      </c>
      <c r="L2004" s="16">
        <f t="shared" si="156"/>
        <v>62.458571428571418</v>
      </c>
      <c r="M2004" s="25" t="str">
        <f t="shared" si="157"/>
        <v>HOLD</v>
      </c>
    </row>
    <row r="2005" spans="2:13">
      <c r="B2005" s="3">
        <v>44963</v>
      </c>
      <c r="C2005" s="5">
        <v>60.17</v>
      </c>
      <c r="D2005" s="5">
        <v>59.79</v>
      </c>
      <c r="E2005" s="5">
        <v>60.34</v>
      </c>
      <c r="F2005" s="5">
        <v>59.72</v>
      </c>
      <c r="G2005" s="18" t="s">
        <v>28</v>
      </c>
      <c r="H2005" s="2">
        <v>5.7000000000000002E-3</v>
      </c>
      <c r="I2005" s="16">
        <f t="shared" si="158"/>
        <v>5.6827678422196794E-3</v>
      </c>
      <c r="J2005" s="16">
        <f t="shared" si="159"/>
        <v>1.0056827678422198</v>
      </c>
      <c r="K2005" s="16">
        <f t="shared" si="155"/>
        <v>60.89947368421052</v>
      </c>
      <c r="L2005" s="16">
        <f t="shared" si="156"/>
        <v>62.407142857142844</v>
      </c>
      <c r="M2005" s="25" t="str">
        <f t="shared" si="157"/>
        <v>HOLD</v>
      </c>
    </row>
    <row r="2006" spans="2:13">
      <c r="B2006" s="3">
        <v>44964</v>
      </c>
      <c r="C2006" s="5">
        <v>60.07</v>
      </c>
      <c r="D2006" s="5">
        <v>59.67</v>
      </c>
      <c r="E2006" s="5">
        <v>60.24</v>
      </c>
      <c r="F2006" s="5">
        <v>59.53</v>
      </c>
      <c r="G2006" s="18" t="s">
        <v>438</v>
      </c>
      <c r="H2006" s="2">
        <v>-1.6999999999999999E-3</v>
      </c>
      <c r="I2006" s="16">
        <f t="shared" si="158"/>
        <v>-1.6619577862722523E-3</v>
      </c>
      <c r="J2006" s="16">
        <f t="shared" si="159"/>
        <v>0.99833804221372779</v>
      </c>
      <c r="K2006" s="16">
        <f t="shared" si="155"/>
        <v>60.771052631578954</v>
      </c>
      <c r="L2006" s="16">
        <f t="shared" si="156"/>
        <v>62.356938775510187</v>
      </c>
      <c r="M2006" s="25" t="str">
        <f t="shared" si="157"/>
        <v>HOLD</v>
      </c>
    </row>
    <row r="2007" spans="2:13">
      <c r="B2007" s="3">
        <v>44965</v>
      </c>
      <c r="C2007" s="5">
        <v>59.72</v>
      </c>
      <c r="D2007" s="5">
        <v>59.92</v>
      </c>
      <c r="E2007" s="5">
        <v>59.92</v>
      </c>
      <c r="F2007" s="5">
        <v>59.59</v>
      </c>
      <c r="G2007" s="18" t="s">
        <v>140</v>
      </c>
      <c r="H2007" s="2">
        <v>-5.7999999999999996E-3</v>
      </c>
      <c r="I2007" s="16">
        <f t="shared" si="158"/>
        <v>-5.8265357083402934E-3</v>
      </c>
      <c r="J2007" s="16">
        <f t="shared" si="159"/>
        <v>0.99417346429165976</v>
      </c>
      <c r="K2007" s="16">
        <f t="shared" si="155"/>
        <v>60.662631578947376</v>
      </c>
      <c r="L2007" s="16">
        <f t="shared" si="156"/>
        <v>62.303469387755101</v>
      </c>
      <c r="M2007" s="25" t="str">
        <f t="shared" si="157"/>
        <v>HOLD</v>
      </c>
    </row>
    <row r="2008" spans="2:13">
      <c r="B2008" s="3">
        <v>44966</v>
      </c>
      <c r="C2008" s="5">
        <v>59.62</v>
      </c>
      <c r="D2008" s="5">
        <v>60.15</v>
      </c>
      <c r="E2008" s="5">
        <v>60.32</v>
      </c>
      <c r="F2008" s="5">
        <v>59.6</v>
      </c>
      <c r="G2008" s="18" t="s">
        <v>437</v>
      </c>
      <c r="H2008" s="2">
        <v>-1.6999999999999999E-3</v>
      </c>
      <c r="I2008" s="16">
        <f t="shared" si="158"/>
        <v>-1.6744809109176394E-3</v>
      </c>
      <c r="J2008" s="16">
        <f t="shared" si="159"/>
        <v>0.9983255190890824</v>
      </c>
      <c r="K2008" s="16">
        <f t="shared" si="155"/>
        <v>60.542105263157907</v>
      </c>
      <c r="L2008" s="16">
        <f t="shared" si="156"/>
        <v>62.242653061224487</v>
      </c>
      <c r="M2008" s="25" t="str">
        <f t="shared" si="157"/>
        <v>HOLD</v>
      </c>
    </row>
    <row r="2009" spans="2:13">
      <c r="B2009" s="3">
        <v>44967</v>
      </c>
      <c r="C2009" s="5">
        <v>59.62</v>
      </c>
      <c r="D2009" s="5">
        <v>59.72</v>
      </c>
      <c r="E2009" s="5">
        <v>59.9</v>
      </c>
      <c r="F2009" s="5">
        <v>58.88</v>
      </c>
      <c r="G2009" s="18" t="s">
        <v>436</v>
      </c>
      <c r="H2009" s="2">
        <v>0</v>
      </c>
      <c r="I2009" s="16">
        <f t="shared" si="158"/>
        <v>0</v>
      </c>
      <c r="J2009" s="16">
        <f t="shared" si="159"/>
        <v>1</v>
      </c>
      <c r="K2009" s="16">
        <f t="shared" si="155"/>
        <v>60.458421052631579</v>
      </c>
      <c r="L2009" s="16">
        <f t="shared" si="156"/>
        <v>62.184285714285707</v>
      </c>
      <c r="M2009" s="25" t="str">
        <f t="shared" si="157"/>
        <v>HOLD</v>
      </c>
    </row>
    <row r="2010" spans="2:13">
      <c r="B2010" s="3">
        <v>44970</v>
      </c>
      <c r="C2010" s="5">
        <v>60.6</v>
      </c>
      <c r="D2010" s="5">
        <v>59.9</v>
      </c>
      <c r="E2010" s="5">
        <v>60.76</v>
      </c>
      <c r="F2010" s="5">
        <v>59.73</v>
      </c>
      <c r="G2010" s="18" t="s">
        <v>37</v>
      </c>
      <c r="H2010" s="2">
        <v>1.6400000000000001E-2</v>
      </c>
      <c r="I2010" s="16">
        <f t="shared" si="158"/>
        <v>1.6437437101643811E-2</v>
      </c>
      <c r="J2010" s="16">
        <f t="shared" si="159"/>
        <v>1.0164374371016438</v>
      </c>
      <c r="K2010" s="16">
        <f t="shared" si="155"/>
        <v>60.363157894736837</v>
      </c>
      <c r="L2010" s="16">
        <f t="shared" si="156"/>
        <v>62.10285714285714</v>
      </c>
      <c r="M2010" s="25" t="str">
        <f t="shared" si="157"/>
        <v>HOLD</v>
      </c>
    </row>
    <row r="2011" spans="2:13">
      <c r="B2011" s="3">
        <v>44971</v>
      </c>
      <c r="C2011" s="5">
        <v>59.59</v>
      </c>
      <c r="D2011" s="5">
        <v>60.21</v>
      </c>
      <c r="E2011" s="5">
        <v>60.9</v>
      </c>
      <c r="F2011" s="5">
        <v>59.56</v>
      </c>
      <c r="G2011" s="18" t="s">
        <v>435</v>
      </c>
      <c r="H2011" s="2">
        <v>-1.67E-2</v>
      </c>
      <c r="I2011" s="16">
        <f t="shared" si="158"/>
        <v>-1.6666666666666632E-2</v>
      </c>
      <c r="J2011" s="16">
        <f t="shared" si="159"/>
        <v>0.98333333333333339</v>
      </c>
      <c r="K2011" s="16">
        <f t="shared" ref="K2011:K2074" si="160">AVERAGE(C1992:C2010)</f>
        <v>60.306315789473679</v>
      </c>
      <c r="L2011" s="16">
        <f t="shared" si="156"/>
        <v>62.037755102040812</v>
      </c>
      <c r="M2011" s="25" t="str">
        <f t="shared" si="157"/>
        <v>HOLD</v>
      </c>
    </row>
    <row r="2012" spans="2:13">
      <c r="B2012" s="3">
        <v>44972</v>
      </c>
      <c r="C2012" s="5">
        <v>59.59</v>
      </c>
      <c r="D2012" s="5">
        <v>59.9</v>
      </c>
      <c r="E2012" s="5">
        <v>59.93</v>
      </c>
      <c r="F2012" s="5">
        <v>59.22</v>
      </c>
      <c r="G2012" s="18" t="s">
        <v>434</v>
      </c>
      <c r="H2012" s="2">
        <v>0</v>
      </c>
      <c r="I2012" s="16">
        <f t="shared" si="158"/>
        <v>0</v>
      </c>
      <c r="J2012" s="16">
        <f t="shared" si="159"/>
        <v>1</v>
      </c>
      <c r="K2012" s="16">
        <f t="shared" si="160"/>
        <v>60.294736842105259</v>
      </c>
      <c r="L2012" s="16">
        <f t="shared" si="156"/>
        <v>61.940612244897963</v>
      </c>
      <c r="M2012" s="25" t="str">
        <f t="shared" si="157"/>
        <v>HOLD</v>
      </c>
    </row>
    <row r="2013" spans="2:13">
      <c r="B2013" s="3">
        <v>44973</v>
      </c>
      <c r="C2013" s="5">
        <v>59.22</v>
      </c>
      <c r="D2013" s="5">
        <v>59.23</v>
      </c>
      <c r="E2013" s="5">
        <v>59.82</v>
      </c>
      <c r="F2013" s="5">
        <v>58.95</v>
      </c>
      <c r="G2013" s="18" t="s">
        <v>433</v>
      </c>
      <c r="H2013" s="2">
        <v>-6.1999999999999998E-3</v>
      </c>
      <c r="I2013" s="16">
        <f t="shared" si="158"/>
        <v>-6.209095485819844E-3</v>
      </c>
      <c r="J2013" s="16">
        <f t="shared" si="159"/>
        <v>0.99379090451418017</v>
      </c>
      <c r="K2013" s="16">
        <f t="shared" si="160"/>
        <v>60.287894736842098</v>
      </c>
      <c r="L2013" s="16">
        <f t="shared" si="156"/>
        <v>61.861428571428576</v>
      </c>
      <c r="M2013" s="25" t="str">
        <f t="shared" si="157"/>
        <v>HOLD</v>
      </c>
    </row>
    <row r="2014" spans="2:13">
      <c r="B2014" s="3">
        <v>44974</v>
      </c>
      <c r="C2014" s="5">
        <v>60.12</v>
      </c>
      <c r="D2014" s="5">
        <v>59.5</v>
      </c>
      <c r="E2014" s="5">
        <v>60.23</v>
      </c>
      <c r="F2014" s="5">
        <v>59.38</v>
      </c>
      <c r="G2014" s="18" t="s">
        <v>432</v>
      </c>
      <c r="H2014" s="2">
        <v>1.52E-2</v>
      </c>
      <c r="I2014" s="16">
        <f t="shared" si="158"/>
        <v>1.5197568389057727E-2</v>
      </c>
      <c r="J2014" s="16">
        <f t="shared" si="159"/>
        <v>1.0151975683890577</v>
      </c>
      <c r="K2014" s="16">
        <f t="shared" si="160"/>
        <v>60.242631578947361</v>
      </c>
      <c r="L2014" s="16">
        <f t="shared" si="156"/>
        <v>61.775306122448974</v>
      </c>
      <c r="M2014" s="25" t="str">
        <f t="shared" si="157"/>
        <v>HOLD</v>
      </c>
    </row>
    <row r="2015" spans="2:13">
      <c r="B2015" s="3">
        <v>44978</v>
      </c>
      <c r="C2015" s="5">
        <v>59.8</v>
      </c>
      <c r="D2015" s="5">
        <v>59.99</v>
      </c>
      <c r="E2015" s="5">
        <v>60.23</v>
      </c>
      <c r="F2015" s="5">
        <v>59.72</v>
      </c>
      <c r="G2015" s="18" t="s">
        <v>431</v>
      </c>
      <c r="H2015" s="2">
        <v>-5.3E-3</v>
      </c>
      <c r="I2015" s="16">
        <f t="shared" si="158"/>
        <v>-5.3226879574185017E-3</v>
      </c>
      <c r="J2015" s="16">
        <f t="shared" si="159"/>
        <v>0.99467731204258147</v>
      </c>
      <c r="K2015" s="16">
        <f t="shared" si="160"/>
        <v>60.236842105263158</v>
      </c>
      <c r="L2015" s="16">
        <f t="shared" si="156"/>
        <v>61.705510204081634</v>
      </c>
      <c r="M2015" s="25" t="str">
        <f t="shared" si="157"/>
        <v>HOLD</v>
      </c>
    </row>
    <row r="2016" spans="2:13">
      <c r="B2016" s="3">
        <v>44979</v>
      </c>
      <c r="C2016" s="5">
        <v>59.98</v>
      </c>
      <c r="D2016" s="5">
        <v>59.85</v>
      </c>
      <c r="E2016" s="5">
        <v>60.36</v>
      </c>
      <c r="F2016" s="5">
        <v>59.75</v>
      </c>
      <c r="G2016" s="18" t="s">
        <v>430</v>
      </c>
      <c r="H2016" s="2">
        <v>3.0000000000000001E-3</v>
      </c>
      <c r="I2016" s="16">
        <f t="shared" si="158"/>
        <v>3.0100334448160491E-3</v>
      </c>
      <c r="J2016" s="16">
        <f t="shared" si="159"/>
        <v>1.003010033444816</v>
      </c>
      <c r="K2016" s="16">
        <f t="shared" si="160"/>
        <v>60.19736842105263</v>
      </c>
      <c r="L2016" s="16">
        <f t="shared" si="156"/>
        <v>61.623673469387761</v>
      </c>
      <c r="M2016" s="25" t="str">
        <f t="shared" si="157"/>
        <v>HOLD</v>
      </c>
    </row>
    <row r="2017" spans="2:13">
      <c r="B2017" s="3">
        <v>44980</v>
      </c>
      <c r="C2017" s="5">
        <v>60.09</v>
      </c>
      <c r="D2017" s="5">
        <v>60.01</v>
      </c>
      <c r="E2017" s="5">
        <v>60.42</v>
      </c>
      <c r="F2017" s="5">
        <v>59.81</v>
      </c>
      <c r="G2017" s="18" t="s">
        <v>429</v>
      </c>
      <c r="H2017" s="2">
        <v>1.8E-3</v>
      </c>
      <c r="I2017" s="16">
        <f t="shared" si="158"/>
        <v>1.8339446482161811E-3</v>
      </c>
      <c r="J2017" s="16">
        <f t="shared" si="159"/>
        <v>1.0018339446482163</v>
      </c>
      <c r="K2017" s="16">
        <f t="shared" si="160"/>
        <v>60.14736842105264</v>
      </c>
      <c r="L2017" s="16">
        <f t="shared" si="156"/>
        <v>61.559183673469398</v>
      </c>
      <c r="M2017" s="25" t="str">
        <f t="shared" si="157"/>
        <v>HOLD</v>
      </c>
    </row>
    <row r="2018" spans="2:13">
      <c r="B2018" s="3">
        <v>44981</v>
      </c>
      <c r="C2018" s="5">
        <v>59.84</v>
      </c>
      <c r="D2018" s="5">
        <v>59.68</v>
      </c>
      <c r="E2018" s="5">
        <v>59.91</v>
      </c>
      <c r="F2018" s="5">
        <v>59.38</v>
      </c>
      <c r="G2018" s="18" t="s">
        <v>428</v>
      </c>
      <c r="H2018" s="2">
        <v>-4.1999999999999997E-3</v>
      </c>
      <c r="I2018" s="16">
        <f t="shared" si="158"/>
        <v>-4.1604260276252285E-3</v>
      </c>
      <c r="J2018" s="16">
        <f t="shared" si="159"/>
        <v>0.99583957397237477</v>
      </c>
      <c r="K2018" s="16">
        <f t="shared" si="160"/>
        <v>60.109473684210521</v>
      </c>
      <c r="L2018" s="16">
        <f t="shared" si="156"/>
        <v>61.480000000000011</v>
      </c>
      <c r="M2018" s="25" t="str">
        <f t="shared" si="157"/>
        <v>HOLD</v>
      </c>
    </row>
    <row r="2019" spans="2:13">
      <c r="B2019" s="3">
        <v>44984</v>
      </c>
      <c r="C2019" s="5">
        <v>59.82</v>
      </c>
      <c r="D2019" s="5">
        <v>60.18</v>
      </c>
      <c r="E2019" s="5">
        <v>60.3</v>
      </c>
      <c r="F2019" s="5">
        <v>59.74</v>
      </c>
      <c r="G2019" s="18" t="s">
        <v>427</v>
      </c>
      <c r="H2019" s="2">
        <v>-2.9999999999999997E-4</v>
      </c>
      <c r="I2019" s="16">
        <f t="shared" si="158"/>
        <v>-3.3422459893053352E-4</v>
      </c>
      <c r="J2019" s="16">
        <f t="shared" si="159"/>
        <v>0.99966577540106949</v>
      </c>
      <c r="K2019" s="16">
        <f t="shared" si="160"/>
        <v>60.075263157894739</v>
      </c>
      <c r="L2019" s="16">
        <f t="shared" si="156"/>
        <v>61.395306122448993</v>
      </c>
      <c r="M2019" s="25" t="str">
        <f t="shared" si="157"/>
        <v>HOLD</v>
      </c>
    </row>
    <row r="2020" spans="2:13">
      <c r="B2020" s="3">
        <v>44985</v>
      </c>
      <c r="C2020" s="5">
        <v>59.51</v>
      </c>
      <c r="D2020" s="5">
        <v>59.7</v>
      </c>
      <c r="E2020" s="5">
        <v>59.7</v>
      </c>
      <c r="F2020" s="5">
        <v>59.14</v>
      </c>
      <c r="G2020" s="18" t="s">
        <v>75</v>
      </c>
      <c r="H2020" s="2">
        <v>-5.1999999999999998E-3</v>
      </c>
      <c r="I2020" s="16">
        <f t="shared" si="158"/>
        <v>-5.1822133065864643E-3</v>
      </c>
      <c r="J2020" s="16">
        <f t="shared" si="159"/>
        <v>0.99481778669341359</v>
      </c>
      <c r="K2020" s="16">
        <f t="shared" si="160"/>
        <v>60.032105263157902</v>
      </c>
      <c r="L2020" s="16">
        <f t="shared" si="156"/>
        <v>61.310204081632669</v>
      </c>
      <c r="M2020" s="25" t="str">
        <f t="shared" si="157"/>
        <v>HOLD</v>
      </c>
    </row>
    <row r="2021" spans="2:13">
      <c r="B2021" s="3">
        <v>44986</v>
      </c>
      <c r="C2021" s="5">
        <v>58.86</v>
      </c>
      <c r="D2021" s="5">
        <v>59.13</v>
      </c>
      <c r="E2021" s="5">
        <v>59.18</v>
      </c>
      <c r="F2021" s="5">
        <v>58.37</v>
      </c>
      <c r="G2021" s="18" t="s">
        <v>219</v>
      </c>
      <c r="H2021" s="2">
        <v>-1.09E-2</v>
      </c>
      <c r="I2021" s="16">
        <f t="shared" si="158"/>
        <v>-1.0922534027894448E-2</v>
      </c>
      <c r="J2021" s="16">
        <f t="shared" si="159"/>
        <v>0.98907746597210555</v>
      </c>
      <c r="K2021" s="16">
        <f t="shared" si="160"/>
        <v>59.936842105263167</v>
      </c>
      <c r="L2021" s="16">
        <f t="shared" si="156"/>
        <v>61.236734693877558</v>
      </c>
      <c r="M2021" s="25" t="str">
        <f t="shared" si="157"/>
        <v>HOLD</v>
      </c>
    </row>
    <row r="2022" spans="2:13">
      <c r="B2022" s="3">
        <v>44987</v>
      </c>
      <c r="C2022" s="5">
        <v>59.72</v>
      </c>
      <c r="D2022" s="5">
        <v>58.84</v>
      </c>
      <c r="E2022" s="5">
        <v>59.78</v>
      </c>
      <c r="F2022" s="5">
        <v>58.8</v>
      </c>
      <c r="G2022" s="18" t="s">
        <v>426</v>
      </c>
      <c r="H2022" s="2">
        <v>1.46E-2</v>
      </c>
      <c r="I2022" s="16">
        <f t="shared" si="158"/>
        <v>1.4610941216445794E-2</v>
      </c>
      <c r="J2022" s="16">
        <f t="shared" si="159"/>
        <v>1.0146109412164459</v>
      </c>
      <c r="K2022" s="16">
        <f t="shared" si="160"/>
        <v>59.806842105263165</v>
      </c>
      <c r="L2022" s="16">
        <f t="shared" si="156"/>
        <v>61.157346938775518</v>
      </c>
      <c r="M2022" s="25" t="str">
        <f t="shared" si="157"/>
        <v>HOLD</v>
      </c>
    </row>
    <row r="2023" spans="2:13">
      <c r="B2023" s="3">
        <v>44988</v>
      </c>
      <c r="C2023" s="5">
        <v>59.44</v>
      </c>
      <c r="D2023" s="5">
        <v>59.55</v>
      </c>
      <c r="E2023" s="5">
        <v>59.68</v>
      </c>
      <c r="F2023" s="5">
        <v>59.21</v>
      </c>
      <c r="G2023" s="18" t="s">
        <v>425</v>
      </c>
      <c r="H2023" s="2">
        <v>-4.7000000000000002E-3</v>
      </c>
      <c r="I2023" s="16">
        <f t="shared" si="158"/>
        <v>-4.6885465505693428E-3</v>
      </c>
      <c r="J2023" s="16">
        <f t="shared" si="159"/>
        <v>0.99531145344943062</v>
      </c>
      <c r="K2023" s="16">
        <f t="shared" si="160"/>
        <v>59.777368421052643</v>
      </c>
      <c r="L2023" s="16">
        <f t="shared" si="156"/>
        <v>61.09367346938776</v>
      </c>
      <c r="M2023" s="25" t="str">
        <f t="shared" si="157"/>
        <v>HOLD</v>
      </c>
    </row>
    <row r="2024" spans="2:13">
      <c r="B2024" s="3">
        <v>44991</v>
      </c>
      <c r="C2024" s="5">
        <v>60.36</v>
      </c>
      <c r="D2024" s="5">
        <v>59.26</v>
      </c>
      <c r="E2024" s="5">
        <v>60.38</v>
      </c>
      <c r="F2024" s="5">
        <v>59.22</v>
      </c>
      <c r="G2024" s="18" t="s">
        <v>424</v>
      </c>
      <c r="H2024" s="2">
        <v>1.55E-2</v>
      </c>
      <c r="I2024" s="16">
        <f t="shared" si="158"/>
        <v>1.547779273216692E-2</v>
      </c>
      <c r="J2024" s="16">
        <f t="shared" si="159"/>
        <v>1.015477792732167</v>
      </c>
      <c r="K2024" s="16">
        <f t="shared" si="160"/>
        <v>59.756842105263161</v>
      </c>
      <c r="L2024" s="16">
        <f t="shared" si="156"/>
        <v>61.025306122448981</v>
      </c>
      <c r="M2024" s="25" t="str">
        <f t="shared" si="157"/>
        <v>HOLD</v>
      </c>
    </row>
    <row r="2025" spans="2:13">
      <c r="B2025" s="3">
        <v>44992</v>
      </c>
      <c r="C2025" s="5">
        <v>60.01</v>
      </c>
      <c r="D2025" s="5">
        <v>60.49</v>
      </c>
      <c r="E2025" s="5">
        <v>60.57</v>
      </c>
      <c r="F2025" s="5">
        <v>59.75</v>
      </c>
      <c r="G2025" s="18" t="s">
        <v>301</v>
      </c>
      <c r="H2025" s="2">
        <v>-5.7999999999999996E-3</v>
      </c>
      <c r="I2025" s="16">
        <f t="shared" si="158"/>
        <v>-5.7985420808482676E-3</v>
      </c>
      <c r="J2025" s="16">
        <f t="shared" si="159"/>
        <v>0.99420145791915171</v>
      </c>
      <c r="K2025" s="16">
        <f t="shared" si="160"/>
        <v>59.766842105263166</v>
      </c>
      <c r="L2025" s="16">
        <f t="shared" si="156"/>
        <v>60.955102040816342</v>
      </c>
      <c r="M2025" s="25" t="str">
        <f t="shared" si="157"/>
        <v>HOLD</v>
      </c>
    </row>
    <row r="2026" spans="2:13">
      <c r="B2026" s="3">
        <v>44993</v>
      </c>
      <c r="C2026" s="5">
        <v>60.04</v>
      </c>
      <c r="D2026" s="5">
        <v>60.04</v>
      </c>
      <c r="E2026" s="5">
        <v>60.33</v>
      </c>
      <c r="F2026" s="5">
        <v>59.72</v>
      </c>
      <c r="G2026" s="18" t="s">
        <v>192</v>
      </c>
      <c r="H2026" s="2">
        <v>5.0000000000000001E-4</v>
      </c>
      <c r="I2026" s="16">
        <f t="shared" si="158"/>
        <v>4.9991668055326011E-4</v>
      </c>
      <c r="J2026" s="16">
        <f t="shared" si="159"/>
        <v>1.0004999166805533</v>
      </c>
      <c r="K2026" s="16">
        <f t="shared" si="160"/>
        <v>59.763684210526314</v>
      </c>
      <c r="L2026" s="16">
        <f t="shared" si="156"/>
        <v>60.887142857142869</v>
      </c>
      <c r="M2026" s="25" t="str">
        <f t="shared" si="157"/>
        <v>HOLD</v>
      </c>
    </row>
    <row r="2027" spans="2:13">
      <c r="B2027" s="3">
        <v>44994</v>
      </c>
      <c r="C2027" s="5">
        <v>59.46</v>
      </c>
      <c r="D2027" s="5">
        <v>60.54</v>
      </c>
      <c r="E2027" s="5">
        <v>60.54</v>
      </c>
      <c r="F2027" s="5">
        <v>59.28</v>
      </c>
      <c r="G2027" s="18" t="s">
        <v>423</v>
      </c>
      <c r="H2027" s="2">
        <v>-9.7000000000000003E-3</v>
      </c>
      <c r="I2027" s="16">
        <f t="shared" si="158"/>
        <v>-9.660226515656201E-3</v>
      </c>
      <c r="J2027" s="16">
        <f t="shared" si="159"/>
        <v>0.99033977348434377</v>
      </c>
      <c r="K2027" s="16">
        <f t="shared" si="160"/>
        <v>59.78052631578948</v>
      </c>
      <c r="L2027" s="16">
        <f t="shared" si="156"/>
        <v>60.810000000000009</v>
      </c>
      <c r="M2027" s="25" t="str">
        <f t="shared" si="157"/>
        <v>HOLD</v>
      </c>
    </row>
    <row r="2028" spans="2:13">
      <c r="B2028" s="3">
        <v>44995</v>
      </c>
      <c r="C2028" s="5">
        <v>59.21</v>
      </c>
      <c r="D2028" s="5">
        <v>59.7</v>
      </c>
      <c r="E2028" s="5">
        <v>60.14</v>
      </c>
      <c r="F2028" s="5">
        <v>58.99</v>
      </c>
      <c r="G2028" s="18" t="s">
        <v>263</v>
      </c>
      <c r="H2028" s="2">
        <v>-4.1999999999999997E-3</v>
      </c>
      <c r="I2028" s="16">
        <f t="shared" si="158"/>
        <v>-4.204507231752439E-3</v>
      </c>
      <c r="J2028" s="16">
        <f t="shared" si="159"/>
        <v>0.99579549276824753</v>
      </c>
      <c r="K2028" s="16">
        <f t="shared" si="160"/>
        <v>59.772105263157911</v>
      </c>
      <c r="L2028" s="16">
        <f t="shared" si="156"/>
        <v>60.713061224489806</v>
      </c>
      <c r="M2028" s="25" t="str">
        <f t="shared" si="157"/>
        <v>HOLD</v>
      </c>
    </row>
    <row r="2029" spans="2:13">
      <c r="B2029" s="3">
        <v>44998</v>
      </c>
      <c r="C2029" s="5">
        <v>59.81</v>
      </c>
      <c r="D2029" s="5">
        <v>59.29</v>
      </c>
      <c r="E2029" s="5">
        <v>60.87</v>
      </c>
      <c r="F2029" s="5">
        <v>59.25</v>
      </c>
      <c r="G2029" s="18" t="s">
        <v>422</v>
      </c>
      <c r="H2029" s="2">
        <v>1.01E-2</v>
      </c>
      <c r="I2029" s="16">
        <f t="shared" si="158"/>
        <v>1.0133423408208097E-2</v>
      </c>
      <c r="J2029" s="16">
        <f t="shared" si="159"/>
        <v>1.010133423408208</v>
      </c>
      <c r="K2029" s="16">
        <f t="shared" si="160"/>
        <v>59.750526315789472</v>
      </c>
      <c r="L2029" s="16">
        <f t="shared" si="156"/>
        <v>60.624081632653066</v>
      </c>
      <c r="M2029" s="25" t="str">
        <f t="shared" si="157"/>
        <v>HOLD</v>
      </c>
    </row>
    <row r="2030" spans="2:13">
      <c r="B2030" s="3">
        <v>44999</v>
      </c>
      <c r="C2030" s="5">
        <v>60.03</v>
      </c>
      <c r="D2030" s="5">
        <v>60</v>
      </c>
      <c r="E2030" s="5">
        <v>60.46</v>
      </c>
      <c r="F2030" s="5">
        <v>59.35</v>
      </c>
      <c r="G2030" s="18" t="s">
        <v>421</v>
      </c>
      <c r="H2030" s="2">
        <v>3.7000000000000002E-3</v>
      </c>
      <c r="I2030" s="16">
        <f t="shared" si="158"/>
        <v>3.6783146630997971E-3</v>
      </c>
      <c r="J2030" s="16">
        <f t="shared" si="159"/>
        <v>1.0036783146630999</v>
      </c>
      <c r="K2030" s="16">
        <f t="shared" si="160"/>
        <v>59.708947368421057</v>
      </c>
      <c r="L2030" s="16">
        <f t="shared" si="156"/>
        <v>60.539591836734701</v>
      </c>
      <c r="M2030" s="25" t="str">
        <f t="shared" si="157"/>
        <v>HOLD</v>
      </c>
    </row>
    <row r="2031" spans="2:13">
      <c r="B2031" s="3">
        <v>45000</v>
      </c>
      <c r="C2031" s="5">
        <v>60.43</v>
      </c>
      <c r="D2031" s="5">
        <v>59.43</v>
      </c>
      <c r="E2031" s="5">
        <v>60.47</v>
      </c>
      <c r="F2031" s="5">
        <v>59.24</v>
      </c>
      <c r="G2031" s="18" t="s">
        <v>420</v>
      </c>
      <c r="H2031" s="2">
        <v>6.7000000000000002E-3</v>
      </c>
      <c r="I2031" s="16">
        <f t="shared" si="158"/>
        <v>6.6633349991670589E-3</v>
      </c>
      <c r="J2031" s="16">
        <f t="shared" si="159"/>
        <v>1.0066633349991672</v>
      </c>
      <c r="K2031" s="16">
        <f t="shared" si="160"/>
        <v>59.732105263157912</v>
      </c>
      <c r="L2031" s="16">
        <f t="shared" si="156"/>
        <v>60.46653061224491</v>
      </c>
      <c r="M2031" s="25" t="str">
        <f t="shared" si="157"/>
        <v>HOLD</v>
      </c>
    </row>
    <row r="2032" spans="2:13">
      <c r="B2032" s="3">
        <v>45001</v>
      </c>
      <c r="C2032" s="5">
        <v>60.3</v>
      </c>
      <c r="D2032" s="5">
        <v>60.09</v>
      </c>
      <c r="E2032" s="5">
        <v>60.33</v>
      </c>
      <c r="F2032" s="5">
        <v>59.7</v>
      </c>
      <c r="G2032" s="18" t="s">
        <v>419</v>
      </c>
      <c r="H2032" s="2">
        <v>-2.2000000000000001E-3</v>
      </c>
      <c r="I2032" s="16">
        <f t="shared" si="158"/>
        <v>-2.1512493794473369E-3</v>
      </c>
      <c r="J2032" s="16">
        <f t="shared" si="159"/>
        <v>0.99784875062055267</v>
      </c>
      <c r="K2032" s="16">
        <f t="shared" si="160"/>
        <v>59.776315789473685</v>
      </c>
      <c r="L2032" s="16">
        <f t="shared" si="156"/>
        <v>60.415102040816329</v>
      </c>
      <c r="M2032" s="25" t="str">
        <f t="shared" si="157"/>
        <v>HOLD</v>
      </c>
    </row>
    <row r="2033" spans="2:13">
      <c r="B2033" s="3">
        <v>45002</v>
      </c>
      <c r="C2033" s="5">
        <v>60.02</v>
      </c>
      <c r="D2033" s="5">
        <v>60.31</v>
      </c>
      <c r="E2033" s="5">
        <v>60.35</v>
      </c>
      <c r="F2033" s="5">
        <v>59.63</v>
      </c>
      <c r="G2033" s="18" t="s">
        <v>418</v>
      </c>
      <c r="H2033" s="2">
        <v>-4.5999999999999999E-3</v>
      </c>
      <c r="I2033" s="16">
        <f t="shared" si="158"/>
        <v>-4.6434494195687235E-3</v>
      </c>
      <c r="J2033" s="16">
        <f t="shared" si="159"/>
        <v>0.99535655058043127</v>
      </c>
      <c r="K2033" s="16">
        <f t="shared" si="160"/>
        <v>59.83315789473685</v>
      </c>
      <c r="L2033" s="16">
        <f t="shared" si="156"/>
        <v>60.361632653061228</v>
      </c>
      <c r="M2033" s="25" t="str">
        <f t="shared" si="157"/>
        <v>HOLD</v>
      </c>
    </row>
    <row r="2034" spans="2:13">
      <c r="B2034" s="3">
        <v>45005</v>
      </c>
      <c r="C2034" s="5">
        <v>60.6</v>
      </c>
      <c r="D2034" s="5">
        <v>60.16</v>
      </c>
      <c r="E2034" s="5">
        <v>60.6</v>
      </c>
      <c r="F2034" s="5">
        <v>59.97</v>
      </c>
      <c r="G2034" s="18" t="s">
        <v>280</v>
      </c>
      <c r="H2034" s="2">
        <v>9.7000000000000003E-3</v>
      </c>
      <c r="I2034" s="16">
        <f t="shared" si="158"/>
        <v>9.6634455181605836E-3</v>
      </c>
      <c r="J2034" s="16">
        <f t="shared" si="159"/>
        <v>1.0096634455181606</v>
      </c>
      <c r="K2034" s="16">
        <f t="shared" si="160"/>
        <v>59.827894736842104</v>
      </c>
      <c r="L2034" s="16">
        <f t="shared" si="156"/>
        <v>60.317142857142855</v>
      </c>
      <c r="M2034" s="25" t="str">
        <f t="shared" si="157"/>
        <v>HOLD</v>
      </c>
    </row>
    <row r="2035" spans="2:13">
      <c r="B2035" s="3">
        <v>45006</v>
      </c>
      <c r="C2035" s="5">
        <v>60.32</v>
      </c>
      <c r="D2035" s="5">
        <v>60.57</v>
      </c>
      <c r="E2035" s="5">
        <v>60.75</v>
      </c>
      <c r="F2035" s="5">
        <v>59.88</v>
      </c>
      <c r="G2035" s="18" t="s">
        <v>417</v>
      </c>
      <c r="H2035" s="2">
        <v>-4.5999999999999999E-3</v>
      </c>
      <c r="I2035" s="16">
        <f t="shared" si="158"/>
        <v>-4.6204620462046387E-3</v>
      </c>
      <c r="J2035" s="16">
        <f t="shared" si="159"/>
        <v>0.99537953795379541</v>
      </c>
      <c r="K2035" s="16">
        <f t="shared" si="160"/>
        <v>59.87</v>
      </c>
      <c r="L2035" s="16">
        <f t="shared" si="156"/>
        <v>60.26</v>
      </c>
      <c r="M2035" s="25" t="str">
        <f t="shared" si="157"/>
        <v>HOLD</v>
      </c>
    </row>
    <row r="2036" spans="2:13">
      <c r="B2036" s="3">
        <v>45007</v>
      </c>
      <c r="C2036" s="5">
        <v>60.05</v>
      </c>
      <c r="D2036" s="5">
        <v>60.4</v>
      </c>
      <c r="E2036" s="5">
        <v>60.87</v>
      </c>
      <c r="F2036" s="5">
        <v>60.03</v>
      </c>
      <c r="G2036" s="18" t="s">
        <v>265</v>
      </c>
      <c r="H2036" s="2">
        <v>-4.4999999999999997E-3</v>
      </c>
      <c r="I2036" s="16">
        <f t="shared" si="158"/>
        <v>-4.4761273209549587E-3</v>
      </c>
      <c r="J2036" s="16">
        <f t="shared" si="159"/>
        <v>0.99552387267904507</v>
      </c>
      <c r="K2036" s="16">
        <f t="shared" si="160"/>
        <v>59.8878947368421</v>
      </c>
      <c r="L2036" s="16">
        <f t="shared" si="156"/>
        <v>60.213265306122445</v>
      </c>
      <c r="M2036" s="25" t="str">
        <f t="shared" si="157"/>
        <v>HOLD</v>
      </c>
    </row>
    <row r="2037" spans="2:13">
      <c r="B2037" s="3">
        <v>45008</v>
      </c>
      <c r="C2037" s="5">
        <v>59.92</v>
      </c>
      <c r="D2037" s="5">
        <v>60.09</v>
      </c>
      <c r="E2037" s="5">
        <v>60.39</v>
      </c>
      <c r="F2037" s="5">
        <v>59.72</v>
      </c>
      <c r="G2037" s="18" t="s">
        <v>366</v>
      </c>
      <c r="H2037" s="2">
        <v>-2.2000000000000001E-3</v>
      </c>
      <c r="I2037" s="16">
        <f t="shared" si="158"/>
        <v>-2.1648626144878513E-3</v>
      </c>
      <c r="J2037" s="16">
        <f t="shared" si="159"/>
        <v>0.99783513738551211</v>
      </c>
      <c r="K2037" s="16">
        <f t="shared" si="160"/>
        <v>59.885789473684206</v>
      </c>
      <c r="L2037" s="16">
        <f t="shared" si="156"/>
        <v>60.170816326530613</v>
      </c>
      <c r="M2037" s="25" t="str">
        <f t="shared" si="157"/>
        <v>HOLD</v>
      </c>
    </row>
    <row r="2038" spans="2:13">
      <c r="B2038" s="3">
        <v>45009</v>
      </c>
      <c r="C2038" s="5">
        <v>60.9</v>
      </c>
      <c r="D2038" s="5">
        <v>60.25</v>
      </c>
      <c r="E2038" s="5">
        <v>61.01</v>
      </c>
      <c r="F2038" s="5">
        <v>59.91</v>
      </c>
      <c r="G2038" s="18" t="s">
        <v>240</v>
      </c>
      <c r="H2038" s="2">
        <v>1.6400000000000001E-2</v>
      </c>
      <c r="I2038" s="16">
        <f t="shared" si="158"/>
        <v>1.6355140186915834E-2</v>
      </c>
      <c r="J2038" s="16">
        <f t="shared" si="159"/>
        <v>1.0163551401869158</v>
      </c>
      <c r="K2038" s="16">
        <f t="shared" si="160"/>
        <v>59.890000000000008</v>
      </c>
      <c r="L2038" s="16">
        <f t="shared" si="156"/>
        <v>60.128163265306128</v>
      </c>
      <c r="M2038" s="25" t="str">
        <f t="shared" si="157"/>
        <v>HOLD</v>
      </c>
    </row>
    <row r="2039" spans="2:13">
      <c r="B2039" s="3">
        <v>45012</v>
      </c>
      <c r="C2039" s="5">
        <v>61.35</v>
      </c>
      <c r="D2039" s="5">
        <v>61.14</v>
      </c>
      <c r="E2039" s="5">
        <v>61.48</v>
      </c>
      <c r="F2039" s="5">
        <v>60.95</v>
      </c>
      <c r="G2039" s="18" t="s">
        <v>250</v>
      </c>
      <c r="H2039" s="2">
        <v>7.4000000000000003E-3</v>
      </c>
      <c r="I2039" s="16">
        <f t="shared" si="158"/>
        <v>7.3891625615764012E-3</v>
      </c>
      <c r="J2039" s="16">
        <f t="shared" si="159"/>
        <v>1.0073891625615765</v>
      </c>
      <c r="K2039" s="16">
        <f t="shared" si="160"/>
        <v>59.946842105263158</v>
      </c>
      <c r="L2039" s="16">
        <f t="shared" si="156"/>
        <v>60.121836734693886</v>
      </c>
      <c r="M2039" s="25" t="str">
        <f t="shared" si="157"/>
        <v>HOLD</v>
      </c>
    </row>
    <row r="2040" spans="2:13">
      <c r="B2040" s="3">
        <v>45013</v>
      </c>
      <c r="C2040" s="5">
        <v>61.42</v>
      </c>
      <c r="D2040" s="5">
        <v>61.39</v>
      </c>
      <c r="E2040" s="5">
        <v>61.74</v>
      </c>
      <c r="F2040" s="5">
        <v>61.27</v>
      </c>
      <c r="G2040" s="18" t="s">
        <v>234</v>
      </c>
      <c r="H2040" s="2">
        <v>1.1000000000000001E-3</v>
      </c>
      <c r="I2040" s="16">
        <f t="shared" si="158"/>
        <v>1.1409942950285294E-3</v>
      </c>
      <c r="J2040" s="16">
        <f t="shared" si="159"/>
        <v>1.0011409942950285</v>
      </c>
      <c r="K2040" s="16">
        <f t="shared" si="160"/>
        <v>60.043684210526301</v>
      </c>
      <c r="L2040" s="16">
        <f t="shared" si="156"/>
        <v>60.12020408163265</v>
      </c>
      <c r="M2040" s="25" t="str">
        <f t="shared" si="157"/>
        <v>HOLD</v>
      </c>
    </row>
    <row r="2041" spans="2:13">
      <c r="B2041" s="3">
        <v>45014</v>
      </c>
      <c r="C2041" s="5">
        <v>61.86</v>
      </c>
      <c r="D2041" s="5">
        <v>61.72</v>
      </c>
      <c r="E2041" s="5">
        <v>61.95</v>
      </c>
      <c r="F2041" s="5">
        <v>61.59</v>
      </c>
      <c r="G2041" s="18" t="s">
        <v>182</v>
      </c>
      <c r="H2041" s="2">
        <v>7.1999999999999998E-3</v>
      </c>
      <c r="I2041" s="16">
        <f t="shared" si="158"/>
        <v>7.1637902963203794E-3</v>
      </c>
      <c r="J2041" s="16">
        <f t="shared" si="159"/>
        <v>1.0071637902963204</v>
      </c>
      <c r="K2041" s="16">
        <f t="shared" si="160"/>
        <v>60.17842105263157</v>
      </c>
      <c r="L2041" s="16">
        <f t="shared" ref="L2041:L2104" si="161">AVERAGE(C1992:C2040)</f>
        <v>60.114897959183679</v>
      </c>
      <c r="M2041" s="25" t="str">
        <f t="shared" ref="M2041:M2104" si="162">IF(AND(K2041&gt;L2041,K2040&lt;=L2040),"BUY",IF(AND(K2041&lt;L2041,K2040&gt;=L2040),"SELL","HOLD"))</f>
        <v>BUY</v>
      </c>
    </row>
    <row r="2042" spans="2:13">
      <c r="B2042" s="3">
        <v>45015</v>
      </c>
      <c r="C2042" s="5">
        <v>61.85</v>
      </c>
      <c r="D2042" s="5">
        <v>61.88</v>
      </c>
      <c r="E2042" s="5">
        <v>62.09</v>
      </c>
      <c r="F2042" s="5">
        <v>61.66</v>
      </c>
      <c r="G2042" s="18" t="s">
        <v>410</v>
      </c>
      <c r="H2042" s="2">
        <v>-2.0000000000000001E-4</v>
      </c>
      <c r="I2042" s="16">
        <f t="shared" si="158"/>
        <v>-1.6165535079207906E-4</v>
      </c>
      <c r="J2042" s="16">
        <f t="shared" si="159"/>
        <v>0.99983834464920796</v>
      </c>
      <c r="K2042" s="16">
        <f t="shared" si="160"/>
        <v>60.291052631578935</v>
      </c>
      <c r="L2042" s="16">
        <f t="shared" si="161"/>
        <v>60.156734693877546</v>
      </c>
      <c r="M2042" s="25" t="str">
        <f t="shared" si="162"/>
        <v>HOLD</v>
      </c>
    </row>
    <row r="2043" spans="2:13">
      <c r="B2043" s="3">
        <v>45016</v>
      </c>
      <c r="C2043" s="5">
        <v>62.03</v>
      </c>
      <c r="D2043" s="5">
        <v>62.06</v>
      </c>
      <c r="E2043" s="5">
        <v>62.25</v>
      </c>
      <c r="F2043" s="5">
        <v>61.87</v>
      </c>
      <c r="G2043" s="18" t="s">
        <v>416</v>
      </c>
      <c r="H2043" s="2">
        <v>2.8999999999999998E-3</v>
      </c>
      <c r="I2043" s="16">
        <f t="shared" si="158"/>
        <v>2.9102667744543204E-3</v>
      </c>
      <c r="J2043" s="16">
        <f t="shared" si="159"/>
        <v>1.0029102667744543</v>
      </c>
      <c r="K2043" s="16">
        <f t="shared" si="160"/>
        <v>60.417894736842094</v>
      </c>
      <c r="L2043" s="16">
        <f t="shared" si="161"/>
        <v>60.200204081632648</v>
      </c>
      <c r="M2043" s="25" t="str">
        <f t="shared" si="162"/>
        <v>HOLD</v>
      </c>
    </row>
    <row r="2044" spans="2:13">
      <c r="B2044" s="3">
        <v>45019</v>
      </c>
      <c r="C2044" s="5">
        <v>62.4</v>
      </c>
      <c r="D2044" s="5">
        <v>62.3</v>
      </c>
      <c r="E2044" s="5">
        <v>62.52</v>
      </c>
      <c r="F2044" s="5">
        <v>61.86</v>
      </c>
      <c r="G2044" s="18" t="s">
        <v>415</v>
      </c>
      <c r="H2044" s="2">
        <v>6.0000000000000001E-3</v>
      </c>
      <c r="I2044" s="16">
        <f t="shared" si="158"/>
        <v>5.964855714976583E-3</v>
      </c>
      <c r="J2044" s="16">
        <f t="shared" si="159"/>
        <v>1.0059648557149765</v>
      </c>
      <c r="K2044" s="16">
        <f t="shared" si="160"/>
        <v>60.505789473684196</v>
      </c>
      <c r="L2044" s="16">
        <f t="shared" si="161"/>
        <v>60.24</v>
      </c>
      <c r="M2044" s="25" t="str">
        <f t="shared" si="162"/>
        <v>HOLD</v>
      </c>
    </row>
    <row r="2045" spans="2:13">
      <c r="B2045" s="3">
        <v>45020</v>
      </c>
      <c r="C2045" s="5">
        <v>62.21</v>
      </c>
      <c r="D2045" s="5">
        <v>62.39</v>
      </c>
      <c r="E2045" s="5">
        <v>62.74</v>
      </c>
      <c r="F2045" s="5">
        <v>62.08</v>
      </c>
      <c r="G2045" s="18" t="s">
        <v>157</v>
      </c>
      <c r="H2045" s="2">
        <v>-3.0000000000000001E-3</v>
      </c>
      <c r="I2045" s="16">
        <f t="shared" si="158"/>
        <v>-3.0448717948717585E-3</v>
      </c>
      <c r="J2045" s="16">
        <f t="shared" si="159"/>
        <v>0.99695512820512822</v>
      </c>
      <c r="K2045" s="16">
        <f t="shared" si="160"/>
        <v>60.631578947368418</v>
      </c>
      <c r="L2045" s="16">
        <f t="shared" si="161"/>
        <v>60.284285714285723</v>
      </c>
      <c r="M2045" s="25" t="str">
        <f t="shared" si="162"/>
        <v>HOLD</v>
      </c>
    </row>
    <row r="2046" spans="2:13">
      <c r="B2046" s="3">
        <v>45021</v>
      </c>
      <c r="C2046" s="5">
        <v>62.8</v>
      </c>
      <c r="D2046" s="5">
        <v>62.53</v>
      </c>
      <c r="E2046" s="5">
        <v>63.02</v>
      </c>
      <c r="F2046" s="5">
        <v>62.5</v>
      </c>
      <c r="G2046" s="18" t="s">
        <v>414</v>
      </c>
      <c r="H2046" s="2">
        <v>9.4999999999999998E-3</v>
      </c>
      <c r="I2046" s="16">
        <f t="shared" si="158"/>
        <v>9.4840057868509284E-3</v>
      </c>
      <c r="J2046" s="16">
        <f t="shared" si="159"/>
        <v>1.0094840057868508</v>
      </c>
      <c r="K2046" s="16">
        <f t="shared" si="160"/>
        <v>60.745789473684212</v>
      </c>
      <c r="L2046" s="16">
        <f t="shared" si="161"/>
        <v>60.318163265306133</v>
      </c>
      <c r="M2046" s="25" t="str">
        <f t="shared" si="162"/>
        <v>HOLD</v>
      </c>
    </row>
    <row r="2047" spans="2:13">
      <c r="B2047" s="3">
        <v>45022</v>
      </c>
      <c r="C2047" s="5">
        <v>62.84</v>
      </c>
      <c r="D2047" s="5">
        <v>62.86</v>
      </c>
      <c r="E2047" s="5">
        <v>63.04</v>
      </c>
      <c r="F2047" s="5">
        <v>62.38</v>
      </c>
      <c r="G2047" s="18" t="s">
        <v>413</v>
      </c>
      <c r="H2047" s="2">
        <v>5.9999999999999995E-4</v>
      </c>
      <c r="I2047" s="16">
        <f t="shared" si="158"/>
        <v>6.3694267515933527E-4</v>
      </c>
      <c r="J2047" s="16">
        <f t="shared" si="159"/>
        <v>1.0006369426751593</v>
      </c>
      <c r="K2047" s="16">
        <f t="shared" si="160"/>
        <v>60.921578947368424</v>
      </c>
      <c r="L2047" s="16">
        <f t="shared" si="161"/>
        <v>60.356326530612264</v>
      </c>
      <c r="M2047" s="25" t="str">
        <f t="shared" si="162"/>
        <v>HOLD</v>
      </c>
    </row>
    <row r="2048" spans="2:13">
      <c r="B2048" s="3">
        <v>45026</v>
      </c>
      <c r="C2048" s="5">
        <v>62.69</v>
      </c>
      <c r="D2048" s="5">
        <v>62.49</v>
      </c>
      <c r="E2048" s="5">
        <v>62.69</v>
      </c>
      <c r="F2048" s="5">
        <v>62.02</v>
      </c>
      <c r="G2048" s="18" t="s">
        <v>49</v>
      </c>
      <c r="H2048" s="2">
        <v>-2.3999999999999998E-3</v>
      </c>
      <c r="I2048" s="16">
        <f t="shared" si="158"/>
        <v>-2.387014640356551E-3</v>
      </c>
      <c r="J2048" s="16">
        <f t="shared" si="159"/>
        <v>0.99761298535964349</v>
      </c>
      <c r="K2048" s="16">
        <f t="shared" si="160"/>
        <v>61.112631578947365</v>
      </c>
      <c r="L2048" s="16">
        <f t="shared" si="161"/>
        <v>60.397755102040833</v>
      </c>
      <c r="M2048" s="25" t="str">
        <f t="shared" si="162"/>
        <v>HOLD</v>
      </c>
    </row>
    <row r="2049" spans="2:13">
      <c r="B2049" s="3">
        <v>45027</v>
      </c>
      <c r="C2049" s="5">
        <v>62.58</v>
      </c>
      <c r="D2049" s="5">
        <v>62.65</v>
      </c>
      <c r="E2049" s="5">
        <v>62.71</v>
      </c>
      <c r="F2049" s="5">
        <v>62.4</v>
      </c>
      <c r="G2049" s="18" t="s">
        <v>412</v>
      </c>
      <c r="H2049" s="2">
        <v>-1.8E-3</v>
      </c>
      <c r="I2049" s="16">
        <f t="shared" si="158"/>
        <v>-1.7546658159195954E-3</v>
      </c>
      <c r="J2049" s="16">
        <f t="shared" si="159"/>
        <v>0.99824533418408046</v>
      </c>
      <c r="K2049" s="16">
        <f t="shared" si="160"/>
        <v>61.264210526315786</v>
      </c>
      <c r="L2049" s="16">
        <f t="shared" si="161"/>
        <v>60.442653061224512</v>
      </c>
      <c r="M2049" s="25" t="str">
        <f t="shared" si="162"/>
        <v>HOLD</v>
      </c>
    </row>
    <row r="2050" spans="2:13">
      <c r="B2050" s="3">
        <v>45028</v>
      </c>
      <c r="C2050" s="5">
        <v>62.69</v>
      </c>
      <c r="D2050" s="5">
        <v>62.48</v>
      </c>
      <c r="E2050" s="5">
        <v>63.03</v>
      </c>
      <c r="F2050" s="5">
        <v>62.31</v>
      </c>
      <c r="G2050" s="18" t="s">
        <v>411</v>
      </c>
      <c r="H2050" s="2">
        <v>1.8E-3</v>
      </c>
      <c r="I2050" s="16">
        <f t="shared" si="158"/>
        <v>1.7577500798977219E-3</v>
      </c>
      <c r="J2050" s="16">
        <f t="shared" si="159"/>
        <v>1.0017577500798978</v>
      </c>
      <c r="K2050" s="16">
        <f t="shared" si="160"/>
        <v>61.398421052631576</v>
      </c>
      <c r="L2050" s="16">
        <f t="shared" si="161"/>
        <v>60.482244897959205</v>
      </c>
      <c r="M2050" s="25" t="str">
        <f t="shared" si="162"/>
        <v>HOLD</v>
      </c>
    </row>
    <row r="2051" spans="2:13">
      <c r="B2051" s="3">
        <v>45029</v>
      </c>
      <c r="C2051" s="5">
        <v>63.15</v>
      </c>
      <c r="D2051" s="5">
        <v>62.76</v>
      </c>
      <c r="E2051" s="5">
        <v>63.16</v>
      </c>
      <c r="F2051" s="5">
        <v>62.48</v>
      </c>
      <c r="G2051" s="18" t="s">
        <v>410</v>
      </c>
      <c r="H2051" s="2">
        <v>7.3000000000000001E-3</v>
      </c>
      <c r="I2051" s="16">
        <f t="shared" si="158"/>
        <v>7.3376934120274505E-3</v>
      </c>
      <c r="J2051" s="16">
        <f t="shared" si="159"/>
        <v>1.0073376934120275</v>
      </c>
      <c r="K2051" s="16">
        <f t="shared" si="160"/>
        <v>61.51736842105263</v>
      </c>
      <c r="L2051" s="16">
        <f t="shared" si="161"/>
        <v>60.510204081632672</v>
      </c>
      <c r="M2051" s="25" t="str">
        <f t="shared" si="162"/>
        <v>HOLD</v>
      </c>
    </row>
    <row r="2052" spans="2:13">
      <c r="B2052" s="3">
        <v>45030</v>
      </c>
      <c r="C2052" s="5">
        <v>63.05</v>
      </c>
      <c r="D2052" s="5">
        <v>63.05</v>
      </c>
      <c r="E2052" s="5">
        <v>63.15</v>
      </c>
      <c r="F2052" s="5">
        <v>62.78</v>
      </c>
      <c r="G2052" s="18" t="s">
        <v>409</v>
      </c>
      <c r="H2052" s="2">
        <v>-1.6000000000000001E-3</v>
      </c>
      <c r="I2052" s="16">
        <f t="shared" si="158"/>
        <v>-1.5835312747426986E-3</v>
      </c>
      <c r="J2052" s="16">
        <f t="shared" si="159"/>
        <v>0.99841646872525736</v>
      </c>
      <c r="K2052" s="16">
        <f t="shared" si="160"/>
        <v>61.667368421052636</v>
      </c>
      <c r="L2052" s="16">
        <f t="shared" si="161"/>
        <v>60.547346938775526</v>
      </c>
      <c r="M2052" s="25" t="str">
        <f t="shared" si="162"/>
        <v>HOLD</v>
      </c>
    </row>
    <row r="2053" spans="2:13">
      <c r="B2053" s="3">
        <v>45033</v>
      </c>
      <c r="C2053" s="5">
        <v>63.46</v>
      </c>
      <c r="D2053" s="5">
        <v>63.32</v>
      </c>
      <c r="E2053" s="5">
        <v>63.53</v>
      </c>
      <c r="F2053" s="5">
        <v>63.14</v>
      </c>
      <c r="G2053" s="18" t="s">
        <v>336</v>
      </c>
      <c r="H2053" s="2">
        <v>6.4999999999999997E-3</v>
      </c>
      <c r="I2053" s="16">
        <f t="shared" si="158"/>
        <v>6.5027755749405827E-3</v>
      </c>
      <c r="J2053" s="16">
        <f t="shared" si="159"/>
        <v>1.0065027755749405</v>
      </c>
      <c r="K2053" s="16">
        <f t="shared" si="160"/>
        <v>61.826842105263161</v>
      </c>
      <c r="L2053" s="16">
        <f t="shared" si="161"/>
        <v>60.603877551020432</v>
      </c>
      <c r="M2053" s="25" t="str">
        <f t="shared" si="162"/>
        <v>HOLD</v>
      </c>
    </row>
    <row r="2054" spans="2:13">
      <c r="B2054" s="3">
        <v>45034</v>
      </c>
      <c r="C2054" s="5">
        <v>63.56</v>
      </c>
      <c r="D2054" s="5">
        <v>63.51</v>
      </c>
      <c r="E2054" s="5">
        <v>63.6</v>
      </c>
      <c r="F2054" s="5">
        <v>63.19</v>
      </c>
      <c r="G2054" s="18" t="s">
        <v>101</v>
      </c>
      <c r="H2054" s="2">
        <v>1.6000000000000001E-3</v>
      </c>
      <c r="I2054" s="16">
        <f t="shared" si="158"/>
        <v>1.5757957768673403E-3</v>
      </c>
      <c r="J2054" s="16">
        <f t="shared" si="159"/>
        <v>1.0015757957768674</v>
      </c>
      <c r="K2054" s="16">
        <f t="shared" si="160"/>
        <v>61.977368421052638</v>
      </c>
      <c r="L2054" s="16">
        <f t="shared" si="161"/>
        <v>60.677959183673494</v>
      </c>
      <c r="M2054" s="25" t="str">
        <f t="shared" si="162"/>
        <v>HOLD</v>
      </c>
    </row>
    <row r="2055" spans="2:13">
      <c r="B2055" s="3">
        <v>45035</v>
      </c>
      <c r="C2055" s="5">
        <v>63.68</v>
      </c>
      <c r="D2055" s="5">
        <v>63.73</v>
      </c>
      <c r="E2055" s="5">
        <v>63.83</v>
      </c>
      <c r="F2055" s="5">
        <v>63.42</v>
      </c>
      <c r="G2055" s="18" t="s">
        <v>408</v>
      </c>
      <c r="H2055" s="2">
        <v>1.9E-3</v>
      </c>
      <c r="I2055" s="16">
        <f t="shared" si="158"/>
        <v>1.8879798615481032E-3</v>
      </c>
      <c r="J2055" s="16">
        <f t="shared" si="159"/>
        <v>1.0018879798615481</v>
      </c>
      <c r="K2055" s="16">
        <f t="shared" si="160"/>
        <v>62.147894736842105</v>
      </c>
      <c r="L2055" s="16">
        <f t="shared" si="161"/>
        <v>60.747142857142876</v>
      </c>
      <c r="M2055" s="25" t="str">
        <f t="shared" si="162"/>
        <v>HOLD</v>
      </c>
    </row>
    <row r="2056" spans="2:13">
      <c r="B2056" s="3">
        <v>45036</v>
      </c>
      <c r="C2056" s="5">
        <v>63.96</v>
      </c>
      <c r="D2056" s="5">
        <v>63.63</v>
      </c>
      <c r="E2056" s="5">
        <v>64</v>
      </c>
      <c r="F2056" s="5">
        <v>63.44</v>
      </c>
      <c r="G2056" s="18" t="s">
        <v>407</v>
      </c>
      <c r="H2056" s="2">
        <v>4.4000000000000003E-3</v>
      </c>
      <c r="I2056" s="16">
        <f t="shared" si="158"/>
        <v>4.3969849246231337E-3</v>
      </c>
      <c r="J2056" s="16">
        <f t="shared" si="159"/>
        <v>1.004396984924623</v>
      </c>
      <c r="K2056" s="16">
        <f t="shared" si="160"/>
        <v>62.338947368421046</v>
      </c>
      <c r="L2056" s="16">
        <f t="shared" si="161"/>
        <v>60.820816326530625</v>
      </c>
      <c r="M2056" s="25" t="str">
        <f t="shared" si="162"/>
        <v>HOLD</v>
      </c>
    </row>
    <row r="2057" spans="2:13">
      <c r="B2057" s="3">
        <v>45037</v>
      </c>
      <c r="C2057" s="5">
        <v>64.05</v>
      </c>
      <c r="D2057" s="5">
        <v>64</v>
      </c>
      <c r="E2057" s="5">
        <v>64.27</v>
      </c>
      <c r="F2057" s="5">
        <v>63.8</v>
      </c>
      <c r="G2057" s="18" t="s">
        <v>406</v>
      </c>
      <c r="H2057" s="2">
        <v>1.4E-3</v>
      </c>
      <c r="I2057" s="16">
        <f t="shared" ref="I2057:I2120" si="163">(C2057-C2056)/C2056</f>
        <v>1.407129455909886E-3</v>
      </c>
      <c r="J2057" s="16">
        <f t="shared" ref="J2057:J2120" si="164">C2057/C2056</f>
        <v>1.0014071294559099</v>
      </c>
      <c r="K2057" s="16">
        <f t="shared" si="160"/>
        <v>62.551578947368434</v>
      </c>
      <c r="L2057" s="16">
        <f t="shared" si="161"/>
        <v>60.907346938775532</v>
      </c>
      <c r="M2057" s="25" t="str">
        <f t="shared" si="162"/>
        <v>HOLD</v>
      </c>
    </row>
    <row r="2058" spans="2:13">
      <c r="B2058" s="3">
        <v>45040</v>
      </c>
      <c r="C2058" s="5">
        <v>63.95</v>
      </c>
      <c r="D2058" s="5">
        <v>64.75</v>
      </c>
      <c r="E2058" s="5">
        <v>64.989999999999995</v>
      </c>
      <c r="F2058" s="5">
        <v>63.62</v>
      </c>
      <c r="G2058" s="18" t="s">
        <v>405</v>
      </c>
      <c r="H2058" s="2">
        <v>-1.6000000000000001E-3</v>
      </c>
      <c r="I2058" s="16">
        <f t="shared" si="163"/>
        <v>-1.5612802498047513E-3</v>
      </c>
      <c r="J2058" s="16">
        <f t="shared" si="164"/>
        <v>0.99843871975019527</v>
      </c>
      <c r="K2058" s="16">
        <f t="shared" si="160"/>
        <v>62.71736842105264</v>
      </c>
      <c r="L2058" s="16">
        <f t="shared" si="161"/>
        <v>60.997755102040834</v>
      </c>
      <c r="M2058" s="25" t="str">
        <f t="shared" si="162"/>
        <v>HOLD</v>
      </c>
    </row>
    <row r="2059" spans="2:13">
      <c r="B2059" s="3">
        <v>45041</v>
      </c>
      <c r="C2059" s="5">
        <v>63.85</v>
      </c>
      <c r="D2059" s="5">
        <v>64.17</v>
      </c>
      <c r="E2059" s="5">
        <v>64.17</v>
      </c>
      <c r="F2059" s="5">
        <v>63.63</v>
      </c>
      <c r="G2059" s="18" t="s">
        <v>311</v>
      </c>
      <c r="H2059" s="2">
        <v>-1.6000000000000001E-3</v>
      </c>
      <c r="I2059" s="16">
        <f t="shared" si="163"/>
        <v>-1.5637216575449791E-3</v>
      </c>
      <c r="J2059" s="16">
        <f t="shared" si="164"/>
        <v>0.99843627834245507</v>
      </c>
      <c r="K2059" s="16">
        <f t="shared" si="160"/>
        <v>62.854210526315775</v>
      </c>
      <c r="L2059" s="16">
        <f t="shared" si="161"/>
        <v>61.086122448979594</v>
      </c>
      <c r="M2059" s="25" t="str">
        <f t="shared" si="162"/>
        <v>HOLD</v>
      </c>
    </row>
    <row r="2060" spans="2:13">
      <c r="B2060" s="3">
        <v>45042</v>
      </c>
      <c r="C2060" s="5">
        <v>63.55</v>
      </c>
      <c r="D2060" s="5">
        <v>63.56</v>
      </c>
      <c r="E2060" s="5">
        <v>63.77</v>
      </c>
      <c r="F2060" s="5">
        <v>63.39</v>
      </c>
      <c r="G2060" s="18" t="s">
        <v>21</v>
      </c>
      <c r="H2060" s="2">
        <v>-4.7000000000000002E-3</v>
      </c>
      <c r="I2060" s="16">
        <f t="shared" si="163"/>
        <v>-4.6985121378230891E-3</v>
      </c>
      <c r="J2060" s="16">
        <f t="shared" si="164"/>
        <v>0.99530148786217687</v>
      </c>
      <c r="K2060" s="16">
        <f t="shared" si="160"/>
        <v>62.982105263157898</v>
      </c>
      <c r="L2060" s="16">
        <f t="shared" si="161"/>
        <v>61.152448979591838</v>
      </c>
      <c r="M2060" s="25" t="str">
        <f t="shared" si="162"/>
        <v>HOLD</v>
      </c>
    </row>
    <row r="2061" spans="2:13">
      <c r="B2061" s="3">
        <v>45043</v>
      </c>
      <c r="C2061" s="5">
        <v>63.68</v>
      </c>
      <c r="D2061" s="5">
        <v>63.53</v>
      </c>
      <c r="E2061" s="5">
        <v>63.76</v>
      </c>
      <c r="F2061" s="5">
        <v>63.11</v>
      </c>
      <c r="G2061" s="18" t="s">
        <v>404</v>
      </c>
      <c r="H2061" s="2">
        <v>2E-3</v>
      </c>
      <c r="I2061" s="16">
        <f t="shared" si="163"/>
        <v>2.0456333595594424E-3</v>
      </c>
      <c r="J2061" s="16">
        <f t="shared" si="164"/>
        <v>1.0020456333595595</v>
      </c>
      <c r="K2061" s="16">
        <f t="shared" si="160"/>
        <v>63.071052631578929</v>
      </c>
      <c r="L2061" s="16">
        <f t="shared" si="161"/>
        <v>61.233265306122462</v>
      </c>
      <c r="M2061" s="25" t="str">
        <f t="shared" si="162"/>
        <v>HOLD</v>
      </c>
    </row>
    <row r="2062" spans="2:13">
      <c r="B2062" s="3">
        <v>45044</v>
      </c>
      <c r="C2062" s="5">
        <v>64.150000000000006</v>
      </c>
      <c r="D2062" s="5">
        <v>63.61</v>
      </c>
      <c r="E2062" s="5">
        <v>64.16</v>
      </c>
      <c r="F2062" s="5">
        <v>63.48</v>
      </c>
      <c r="G2062" s="18" t="s">
        <v>205</v>
      </c>
      <c r="H2062" s="2">
        <v>7.4000000000000003E-3</v>
      </c>
      <c r="I2062" s="16">
        <f t="shared" si="163"/>
        <v>7.3806532663317518E-3</v>
      </c>
      <c r="J2062" s="16">
        <f t="shared" si="164"/>
        <v>1.0073806532663319</v>
      </c>
      <c r="K2062" s="16">
        <f t="shared" si="160"/>
        <v>63.167368421052636</v>
      </c>
      <c r="L2062" s="16">
        <f t="shared" si="161"/>
        <v>61.316734693877549</v>
      </c>
      <c r="M2062" s="25" t="str">
        <f t="shared" si="162"/>
        <v>HOLD</v>
      </c>
    </row>
    <row r="2063" spans="2:13">
      <c r="B2063" s="3">
        <v>45047</v>
      </c>
      <c r="C2063" s="5">
        <v>64.3</v>
      </c>
      <c r="D2063" s="5">
        <v>64.150000000000006</v>
      </c>
      <c r="E2063" s="5">
        <v>64.69</v>
      </c>
      <c r="F2063" s="5">
        <v>64.06</v>
      </c>
      <c r="G2063" s="18" t="s">
        <v>403</v>
      </c>
      <c r="H2063" s="2">
        <v>2.3E-3</v>
      </c>
      <c r="I2063" s="16">
        <f t="shared" si="163"/>
        <v>2.338269680436344E-3</v>
      </c>
      <c r="J2063" s="16">
        <f t="shared" si="164"/>
        <v>1.0023382696804364</v>
      </c>
      <c r="K2063" s="16">
        <f t="shared" si="160"/>
        <v>63.278947368421065</v>
      </c>
      <c r="L2063" s="16">
        <f t="shared" si="161"/>
        <v>61.417346938775516</v>
      </c>
      <c r="M2063" s="25" t="str">
        <f t="shared" si="162"/>
        <v>HOLD</v>
      </c>
    </row>
    <row r="2064" spans="2:13">
      <c r="B2064" s="3">
        <v>45048</v>
      </c>
      <c r="C2064" s="5">
        <v>64.010000000000005</v>
      </c>
      <c r="D2064" s="5">
        <v>64.14</v>
      </c>
      <c r="E2064" s="5">
        <v>64.14</v>
      </c>
      <c r="F2064" s="5">
        <v>63.27</v>
      </c>
      <c r="G2064" s="18" t="s">
        <v>402</v>
      </c>
      <c r="H2064" s="2">
        <v>-4.4999999999999997E-3</v>
      </c>
      <c r="I2064" s="16">
        <f t="shared" si="163"/>
        <v>-4.5101088646966108E-3</v>
      </c>
      <c r="J2064" s="16">
        <f t="shared" si="164"/>
        <v>0.9954898911353034</v>
      </c>
      <c r="K2064" s="16">
        <f t="shared" si="160"/>
        <v>63.378947368421052</v>
      </c>
      <c r="L2064" s="16">
        <f t="shared" si="161"/>
        <v>61.502653061224493</v>
      </c>
      <c r="M2064" s="25" t="str">
        <f t="shared" si="162"/>
        <v>HOLD</v>
      </c>
    </row>
    <row r="2065" spans="2:13">
      <c r="B2065" s="3">
        <v>45049</v>
      </c>
      <c r="C2065" s="5">
        <v>63.65</v>
      </c>
      <c r="D2065" s="5">
        <v>64.02</v>
      </c>
      <c r="E2065" s="5">
        <v>64.180000000000007</v>
      </c>
      <c r="F2065" s="5">
        <v>63.58</v>
      </c>
      <c r="G2065" s="18" t="s">
        <v>344</v>
      </c>
      <c r="H2065" s="2">
        <v>-5.5999999999999999E-3</v>
      </c>
      <c r="I2065" s="16">
        <f t="shared" si="163"/>
        <v>-5.6241212310577486E-3</v>
      </c>
      <c r="J2065" s="16">
        <f t="shared" si="164"/>
        <v>0.99437587876894229</v>
      </c>
      <c r="K2065" s="16">
        <f t="shared" si="160"/>
        <v>63.473684210526301</v>
      </c>
      <c r="L2065" s="16">
        <f t="shared" si="161"/>
        <v>61.588571428571441</v>
      </c>
      <c r="M2065" s="25" t="str">
        <f t="shared" si="162"/>
        <v>HOLD</v>
      </c>
    </row>
    <row r="2066" spans="2:13">
      <c r="B2066" s="3">
        <v>45050</v>
      </c>
      <c r="C2066" s="5">
        <v>63.72</v>
      </c>
      <c r="D2066" s="5">
        <v>63.74</v>
      </c>
      <c r="E2066" s="5">
        <v>63.93</v>
      </c>
      <c r="F2066" s="5">
        <v>63.51</v>
      </c>
      <c r="G2066" s="18" t="s">
        <v>401</v>
      </c>
      <c r="H2066" s="2">
        <v>1.1000000000000001E-3</v>
      </c>
      <c r="I2066" s="16">
        <f t="shared" si="163"/>
        <v>1.099764336213673E-3</v>
      </c>
      <c r="J2066" s="16">
        <f t="shared" si="164"/>
        <v>1.0010997643362136</v>
      </c>
      <c r="K2066" s="16">
        <f t="shared" si="160"/>
        <v>63.518421052631574</v>
      </c>
      <c r="L2066" s="16">
        <f t="shared" si="161"/>
        <v>61.663469387755107</v>
      </c>
      <c r="M2066" s="25" t="str">
        <f t="shared" si="162"/>
        <v>HOLD</v>
      </c>
    </row>
    <row r="2067" spans="2:13">
      <c r="B2067" s="3">
        <v>45051</v>
      </c>
      <c r="C2067" s="5">
        <v>64.02</v>
      </c>
      <c r="D2067" s="5">
        <v>63.64</v>
      </c>
      <c r="E2067" s="5">
        <v>64.209999999999994</v>
      </c>
      <c r="F2067" s="5">
        <v>63.63</v>
      </c>
      <c r="G2067" s="18" t="s">
        <v>101</v>
      </c>
      <c r="H2067" s="2">
        <v>4.7000000000000002E-3</v>
      </c>
      <c r="I2067" s="16">
        <f t="shared" si="163"/>
        <v>4.7080979284368669E-3</v>
      </c>
      <c r="J2067" s="16">
        <f t="shared" si="164"/>
        <v>1.0047080979284368</v>
      </c>
      <c r="K2067" s="16">
        <f t="shared" si="160"/>
        <v>63.564736842105262</v>
      </c>
      <c r="L2067" s="16">
        <f t="shared" si="161"/>
        <v>61.737551020408169</v>
      </c>
      <c r="M2067" s="25" t="str">
        <f t="shared" si="162"/>
        <v>HOLD</v>
      </c>
    </row>
    <row r="2068" spans="2:13">
      <c r="B2068" s="3">
        <v>45054</v>
      </c>
      <c r="C2068" s="5">
        <v>63.92</v>
      </c>
      <c r="D2068" s="5">
        <v>63.81</v>
      </c>
      <c r="E2068" s="5">
        <v>64.06</v>
      </c>
      <c r="F2068" s="5">
        <v>63.61</v>
      </c>
      <c r="G2068" s="18" t="s">
        <v>400</v>
      </c>
      <c r="H2068" s="2">
        <v>-1.6000000000000001E-3</v>
      </c>
      <c r="I2068" s="16">
        <f t="shared" si="163"/>
        <v>-1.562011871290133E-3</v>
      </c>
      <c r="J2068" s="16">
        <f t="shared" si="164"/>
        <v>0.99843798812870987</v>
      </c>
      <c r="K2068" s="16">
        <f t="shared" si="160"/>
        <v>63.634736842105262</v>
      </c>
      <c r="L2068" s="16">
        <f t="shared" si="161"/>
        <v>61.822857142857146</v>
      </c>
      <c r="M2068" s="25" t="str">
        <f t="shared" si="162"/>
        <v>HOLD</v>
      </c>
    </row>
    <row r="2069" spans="2:13">
      <c r="B2069" s="3">
        <v>45055</v>
      </c>
      <c r="C2069" s="5">
        <v>63.39</v>
      </c>
      <c r="D2069" s="5">
        <v>63.64</v>
      </c>
      <c r="E2069" s="5">
        <v>63.75</v>
      </c>
      <c r="F2069" s="5">
        <v>63.28</v>
      </c>
      <c r="G2069" s="18" t="s">
        <v>373</v>
      </c>
      <c r="H2069" s="2">
        <v>-8.3000000000000001E-3</v>
      </c>
      <c r="I2069" s="16">
        <f t="shared" si="163"/>
        <v>-8.2916145181477028E-3</v>
      </c>
      <c r="J2069" s="16">
        <f t="shared" si="164"/>
        <v>0.99170838548185225</v>
      </c>
      <c r="K2069" s="16">
        <f t="shared" si="160"/>
        <v>63.705263157894727</v>
      </c>
      <c r="L2069" s="16">
        <f t="shared" si="161"/>
        <v>61.9065306122449</v>
      </c>
      <c r="M2069" s="25" t="str">
        <f t="shared" si="162"/>
        <v>HOLD</v>
      </c>
    </row>
    <row r="2070" spans="2:13">
      <c r="B2070" s="3">
        <v>45056</v>
      </c>
      <c r="C2070" s="5">
        <v>63.5</v>
      </c>
      <c r="D2070" s="5">
        <v>63.32</v>
      </c>
      <c r="E2070" s="5">
        <v>63.64</v>
      </c>
      <c r="F2070" s="5">
        <v>62.99</v>
      </c>
      <c r="G2070" s="18" t="s">
        <v>399</v>
      </c>
      <c r="H2070" s="2">
        <v>1.6999999999999999E-3</v>
      </c>
      <c r="I2070" s="16">
        <f t="shared" si="163"/>
        <v>1.7352894778356117E-3</v>
      </c>
      <c r="J2070" s="16">
        <f t="shared" si="164"/>
        <v>1.0017352894778355</v>
      </c>
      <c r="K2070" s="16">
        <f t="shared" si="160"/>
        <v>63.742105263157889</v>
      </c>
      <c r="L2070" s="16">
        <f t="shared" si="161"/>
        <v>61.98571428571428</v>
      </c>
      <c r="M2070" s="25" t="str">
        <f t="shared" si="162"/>
        <v>HOLD</v>
      </c>
    </row>
    <row r="2071" spans="2:13">
      <c r="B2071" s="3">
        <v>45057</v>
      </c>
      <c r="C2071" s="5">
        <v>63.86</v>
      </c>
      <c r="D2071" s="5">
        <v>63.58</v>
      </c>
      <c r="E2071" s="5">
        <v>63.93</v>
      </c>
      <c r="F2071" s="5">
        <v>63.01</v>
      </c>
      <c r="G2071" s="18" t="s">
        <v>398</v>
      </c>
      <c r="H2071" s="2">
        <v>5.7000000000000002E-3</v>
      </c>
      <c r="I2071" s="16">
        <f t="shared" si="163"/>
        <v>5.6692913385826679E-3</v>
      </c>
      <c r="J2071" s="16">
        <f t="shared" si="164"/>
        <v>1.0056692913385827</v>
      </c>
      <c r="K2071" s="16">
        <f t="shared" si="160"/>
        <v>63.760526315789477</v>
      </c>
      <c r="L2071" s="16">
        <f t="shared" si="161"/>
        <v>62.080408163265304</v>
      </c>
      <c r="M2071" s="25" t="str">
        <f t="shared" si="162"/>
        <v>HOLD</v>
      </c>
    </row>
    <row r="2072" spans="2:13">
      <c r="B2072" s="3">
        <v>45058</v>
      </c>
      <c r="C2072" s="5">
        <v>64.11</v>
      </c>
      <c r="D2072" s="5">
        <v>63.86</v>
      </c>
      <c r="E2072" s="5">
        <v>64.19</v>
      </c>
      <c r="F2072" s="5">
        <v>63.7</v>
      </c>
      <c r="G2072" s="18" t="s">
        <v>397</v>
      </c>
      <c r="H2072" s="2">
        <v>3.8999999999999998E-3</v>
      </c>
      <c r="I2072" s="16">
        <f t="shared" si="163"/>
        <v>3.9148136548700285E-3</v>
      </c>
      <c r="J2072" s="16">
        <f t="shared" si="164"/>
        <v>1.0039148136548701</v>
      </c>
      <c r="K2072" s="16">
        <f t="shared" si="160"/>
        <v>63.803157894736827</v>
      </c>
      <c r="L2072" s="16">
        <f t="shared" si="161"/>
        <v>62.164897959183669</v>
      </c>
      <c r="M2072" s="25" t="str">
        <f t="shared" si="162"/>
        <v>HOLD</v>
      </c>
    </row>
    <row r="2073" spans="2:13">
      <c r="B2073" s="3">
        <v>45061</v>
      </c>
      <c r="C2073" s="5">
        <v>63.94</v>
      </c>
      <c r="D2073" s="5">
        <v>64.22</v>
      </c>
      <c r="E2073" s="5">
        <v>64.25</v>
      </c>
      <c r="F2073" s="5">
        <v>63.71</v>
      </c>
      <c r="G2073" s="18" t="s">
        <v>396</v>
      </c>
      <c r="H2073" s="2">
        <v>-2.7000000000000001E-3</v>
      </c>
      <c r="I2073" s="16">
        <f t="shared" si="163"/>
        <v>-2.6516924036811998E-3</v>
      </c>
      <c r="J2073" s="16">
        <f t="shared" si="164"/>
        <v>0.99734830759631876</v>
      </c>
      <c r="K2073" s="16">
        <f t="shared" si="160"/>
        <v>63.837368421052624</v>
      </c>
      <c r="L2073" s="16">
        <f t="shared" si="161"/>
        <v>62.260204081632665</v>
      </c>
      <c r="M2073" s="25" t="str">
        <f t="shared" si="162"/>
        <v>HOLD</v>
      </c>
    </row>
    <row r="2074" spans="2:13">
      <c r="B2074" s="3">
        <v>45062</v>
      </c>
      <c r="C2074" s="5">
        <v>63.22</v>
      </c>
      <c r="D2074" s="5">
        <v>63.9</v>
      </c>
      <c r="E2074" s="5">
        <v>63.9</v>
      </c>
      <c r="F2074" s="5">
        <v>63.16</v>
      </c>
      <c r="G2074" s="18" t="s">
        <v>395</v>
      </c>
      <c r="H2074" s="2">
        <v>-1.1299999999999999E-2</v>
      </c>
      <c r="I2074" s="16">
        <f t="shared" si="163"/>
        <v>-1.1260556771973709E-2</v>
      </c>
      <c r="J2074" s="16">
        <f t="shared" si="164"/>
        <v>0.98873944322802632</v>
      </c>
      <c r="K2074" s="16">
        <f t="shared" si="160"/>
        <v>63.85736842105262</v>
      </c>
      <c r="L2074" s="16">
        <f t="shared" si="161"/>
        <v>62.333265306122456</v>
      </c>
      <c r="M2074" s="25" t="str">
        <f t="shared" si="162"/>
        <v>HOLD</v>
      </c>
    </row>
    <row r="2075" spans="2:13">
      <c r="B2075" s="3">
        <v>45063</v>
      </c>
      <c r="C2075" s="5">
        <v>63.15</v>
      </c>
      <c r="D2075" s="5">
        <v>63.4</v>
      </c>
      <c r="E2075" s="5">
        <v>63.42</v>
      </c>
      <c r="F2075" s="5">
        <v>62.73</v>
      </c>
      <c r="G2075" s="18" t="s">
        <v>394</v>
      </c>
      <c r="H2075" s="2">
        <v>-1.1000000000000001E-3</v>
      </c>
      <c r="I2075" s="16">
        <f t="shared" si="163"/>
        <v>-1.1072445428661861E-3</v>
      </c>
      <c r="J2075" s="16">
        <f t="shared" si="164"/>
        <v>0.99889275545713385</v>
      </c>
      <c r="K2075" s="16">
        <f t="shared" ref="K2075:K2138" si="165">AVERAGE(C2056:C2074)</f>
        <v>63.833157894736836</v>
      </c>
      <c r="L2075" s="16">
        <f t="shared" si="161"/>
        <v>62.398775510204089</v>
      </c>
      <c r="M2075" s="25" t="str">
        <f t="shared" si="162"/>
        <v>HOLD</v>
      </c>
    </row>
    <row r="2076" spans="2:13">
      <c r="B2076" s="3">
        <v>45064</v>
      </c>
      <c r="C2076" s="5">
        <v>62.8</v>
      </c>
      <c r="D2076" s="5">
        <v>63.01</v>
      </c>
      <c r="E2076" s="5">
        <v>63.04</v>
      </c>
      <c r="F2076" s="5">
        <v>62.57</v>
      </c>
      <c r="G2076" s="18" t="s">
        <v>318</v>
      </c>
      <c r="H2076" s="2">
        <v>-5.4999999999999997E-3</v>
      </c>
      <c r="I2076" s="16">
        <f t="shared" si="163"/>
        <v>-5.5423594615993891E-3</v>
      </c>
      <c r="J2076" s="16">
        <f t="shared" si="164"/>
        <v>0.99445764053840058</v>
      </c>
      <c r="K2076" s="16">
        <f t="shared" si="165"/>
        <v>63.790526315789485</v>
      </c>
      <c r="L2076" s="16">
        <f t="shared" si="161"/>
        <v>62.462244897959195</v>
      </c>
      <c r="M2076" s="25" t="str">
        <f t="shared" si="162"/>
        <v>HOLD</v>
      </c>
    </row>
    <row r="2077" spans="2:13">
      <c r="B2077" s="3">
        <v>45065</v>
      </c>
      <c r="C2077" s="5">
        <v>62.83</v>
      </c>
      <c r="D2077" s="5">
        <v>63.04</v>
      </c>
      <c r="E2077" s="5">
        <v>63.1</v>
      </c>
      <c r="F2077" s="5">
        <v>62.6</v>
      </c>
      <c r="G2077" s="18" t="s">
        <v>393</v>
      </c>
      <c r="H2077" s="2">
        <v>5.0000000000000001E-4</v>
      </c>
      <c r="I2077" s="16">
        <f t="shared" si="163"/>
        <v>4.7770700636944486E-4</v>
      </c>
      <c r="J2077" s="16">
        <f t="shared" si="164"/>
        <v>1.0004777070063695</v>
      </c>
      <c r="K2077" s="16">
        <f t="shared" si="165"/>
        <v>63.724736842105266</v>
      </c>
      <c r="L2077" s="16">
        <f t="shared" si="161"/>
        <v>62.530408163265321</v>
      </c>
      <c r="M2077" s="25" t="str">
        <f t="shared" si="162"/>
        <v>HOLD</v>
      </c>
    </row>
    <row r="2078" spans="2:13">
      <c r="B2078" s="3">
        <v>45068</v>
      </c>
      <c r="C2078" s="5">
        <v>61.51</v>
      </c>
      <c r="D2078" s="5">
        <v>62.78</v>
      </c>
      <c r="E2078" s="5">
        <v>62.87</v>
      </c>
      <c r="F2078" s="5">
        <v>61.44</v>
      </c>
      <c r="G2078" s="18" t="s">
        <v>392</v>
      </c>
      <c r="H2078" s="2">
        <v>-2.1000000000000001E-2</v>
      </c>
      <c r="I2078" s="16">
        <f t="shared" si="163"/>
        <v>-2.1009072099315618E-2</v>
      </c>
      <c r="J2078" s="16">
        <f t="shared" si="164"/>
        <v>0.97899092790068443</v>
      </c>
      <c r="K2078" s="16">
        <f t="shared" si="165"/>
        <v>63.665789473684207</v>
      </c>
      <c r="L2078" s="16">
        <f t="shared" si="161"/>
        <v>62.604285714285723</v>
      </c>
      <c r="M2078" s="25" t="str">
        <f t="shared" si="162"/>
        <v>HOLD</v>
      </c>
    </row>
    <row r="2079" spans="2:13">
      <c r="B2079" s="3">
        <v>45069</v>
      </c>
      <c r="C2079" s="5">
        <v>61.4</v>
      </c>
      <c r="D2079" s="5">
        <v>61.51</v>
      </c>
      <c r="E2079" s="5">
        <v>61.67</v>
      </c>
      <c r="F2079" s="5">
        <v>61.17</v>
      </c>
      <c r="G2079" s="18" t="s">
        <v>391</v>
      </c>
      <c r="H2079" s="2">
        <v>-1.8E-3</v>
      </c>
      <c r="I2079" s="16">
        <f t="shared" si="163"/>
        <v>-1.7883271012843348E-3</v>
      </c>
      <c r="J2079" s="16">
        <f t="shared" si="164"/>
        <v>0.99821167289871571</v>
      </c>
      <c r="K2079" s="16">
        <f t="shared" si="165"/>
        <v>63.542631578947365</v>
      </c>
      <c r="L2079" s="16">
        <f t="shared" si="161"/>
        <v>62.638979591836751</v>
      </c>
      <c r="M2079" s="25" t="str">
        <f t="shared" si="162"/>
        <v>HOLD</v>
      </c>
    </row>
    <row r="2080" spans="2:13">
      <c r="B2080" s="3">
        <v>45070</v>
      </c>
      <c r="C2080" s="5">
        <v>60.88</v>
      </c>
      <c r="D2080" s="5">
        <v>61.38</v>
      </c>
      <c r="E2080" s="5">
        <v>61.43</v>
      </c>
      <c r="F2080" s="5">
        <v>60.72</v>
      </c>
      <c r="G2080" s="18" t="s">
        <v>390</v>
      </c>
      <c r="H2080" s="2">
        <v>-8.5000000000000006E-3</v>
      </c>
      <c r="I2080" s="16">
        <f t="shared" si="163"/>
        <v>-8.4690553745927696E-3</v>
      </c>
      <c r="J2080" s="16">
        <f t="shared" si="164"/>
        <v>0.99153094462540725</v>
      </c>
      <c r="K2080" s="16">
        <f t="shared" si="165"/>
        <v>63.429473684210528</v>
      </c>
      <c r="L2080" s="16">
        <f t="shared" si="161"/>
        <v>62.666938775510218</v>
      </c>
      <c r="M2080" s="25" t="str">
        <f t="shared" si="162"/>
        <v>HOLD</v>
      </c>
    </row>
    <row r="2081" spans="2:13">
      <c r="B2081" s="3">
        <v>45071</v>
      </c>
      <c r="C2081" s="5">
        <v>60.41</v>
      </c>
      <c r="D2081" s="5">
        <v>60.47</v>
      </c>
      <c r="E2081" s="5">
        <v>60.73</v>
      </c>
      <c r="F2081" s="5">
        <v>60.15</v>
      </c>
      <c r="G2081" s="18" t="s">
        <v>389</v>
      </c>
      <c r="H2081" s="2">
        <v>-7.7000000000000002E-3</v>
      </c>
      <c r="I2081" s="16">
        <f t="shared" si="163"/>
        <v>-7.7201051248358401E-3</v>
      </c>
      <c r="J2081" s="16">
        <f t="shared" si="164"/>
        <v>0.99227989487516421</v>
      </c>
      <c r="K2081" s="16">
        <f t="shared" si="165"/>
        <v>63.282105263157902</v>
      </c>
      <c r="L2081" s="16">
        <f t="shared" si="161"/>
        <v>62.676122448979605</v>
      </c>
      <c r="M2081" s="25" t="str">
        <f t="shared" si="162"/>
        <v>HOLD</v>
      </c>
    </row>
    <row r="2082" spans="2:13">
      <c r="B2082" s="3">
        <v>45072</v>
      </c>
      <c r="C2082" s="5">
        <v>60.26</v>
      </c>
      <c r="D2082" s="5">
        <v>60.45</v>
      </c>
      <c r="E2082" s="5">
        <v>60.64</v>
      </c>
      <c r="F2082" s="5">
        <v>60.11</v>
      </c>
      <c r="G2082" s="18" t="s">
        <v>388</v>
      </c>
      <c r="H2082" s="2">
        <v>-2.5000000000000001E-3</v>
      </c>
      <c r="I2082" s="16">
        <f t="shared" si="163"/>
        <v>-2.4830326104949276E-3</v>
      </c>
      <c r="J2082" s="16">
        <f t="shared" si="164"/>
        <v>0.99751696738950513</v>
      </c>
      <c r="K2082" s="16">
        <f t="shared" si="165"/>
        <v>63.085263157894758</v>
      </c>
      <c r="L2082" s="16">
        <f t="shared" si="161"/>
        <v>62.678367346938778</v>
      </c>
      <c r="M2082" s="25" t="str">
        <f t="shared" si="162"/>
        <v>HOLD</v>
      </c>
    </row>
    <row r="2083" spans="2:13">
      <c r="B2083" s="3">
        <v>45076</v>
      </c>
      <c r="C2083" s="5">
        <v>59.78</v>
      </c>
      <c r="D2083" s="5">
        <v>60.09</v>
      </c>
      <c r="E2083" s="5">
        <v>60.19</v>
      </c>
      <c r="F2083" s="5">
        <v>59.52</v>
      </c>
      <c r="G2083" s="18" t="s">
        <v>387</v>
      </c>
      <c r="H2083" s="2">
        <v>-8.0000000000000002E-3</v>
      </c>
      <c r="I2083" s="16">
        <f t="shared" si="163"/>
        <v>-7.9654829074012092E-3</v>
      </c>
      <c r="J2083" s="16">
        <f t="shared" si="164"/>
        <v>0.99203451709259882</v>
      </c>
      <c r="K2083" s="16">
        <f t="shared" si="165"/>
        <v>62.872631578947363</v>
      </c>
      <c r="L2083" s="16">
        <f t="shared" si="161"/>
        <v>62.683265306122465</v>
      </c>
      <c r="M2083" s="25" t="str">
        <f t="shared" si="162"/>
        <v>HOLD</v>
      </c>
    </row>
    <row r="2084" spans="2:13">
      <c r="B2084" s="3">
        <v>45077</v>
      </c>
      <c r="C2084" s="5">
        <v>59.66</v>
      </c>
      <c r="D2084" s="5">
        <v>59.92</v>
      </c>
      <c r="E2084" s="5">
        <v>60.28</v>
      </c>
      <c r="F2084" s="5">
        <v>59.37</v>
      </c>
      <c r="G2084" s="18" t="s">
        <v>386</v>
      </c>
      <c r="H2084" s="2">
        <v>-2E-3</v>
      </c>
      <c r="I2084" s="16">
        <f t="shared" si="163"/>
        <v>-2.0073603211777273E-3</v>
      </c>
      <c r="J2084" s="16">
        <f t="shared" si="164"/>
        <v>0.99799263967882224</v>
      </c>
      <c r="K2084" s="16">
        <f t="shared" si="165"/>
        <v>62.65</v>
      </c>
      <c r="L2084" s="16">
        <f t="shared" si="161"/>
        <v>62.666530612244919</v>
      </c>
      <c r="M2084" s="25" t="str">
        <f t="shared" si="162"/>
        <v>SELL</v>
      </c>
    </row>
    <row r="2085" spans="2:13">
      <c r="B2085" s="3">
        <v>45078</v>
      </c>
      <c r="C2085" s="5">
        <v>60</v>
      </c>
      <c r="D2085" s="5">
        <v>59.94</v>
      </c>
      <c r="E2085" s="5">
        <v>60.17</v>
      </c>
      <c r="F2085" s="5">
        <v>59.77</v>
      </c>
      <c r="G2085" s="18" t="s">
        <v>13</v>
      </c>
      <c r="H2085" s="2">
        <v>5.7000000000000002E-3</v>
      </c>
      <c r="I2085" s="16">
        <f t="shared" si="163"/>
        <v>5.6989607777405875E-3</v>
      </c>
      <c r="J2085" s="16">
        <f t="shared" si="164"/>
        <v>1.0056989607777407</v>
      </c>
      <c r="K2085" s="16">
        <f t="shared" si="165"/>
        <v>62.440000000000005</v>
      </c>
      <c r="L2085" s="16">
        <f t="shared" si="161"/>
        <v>62.653061224489818</v>
      </c>
      <c r="M2085" s="25" t="str">
        <f t="shared" si="162"/>
        <v>HOLD</v>
      </c>
    </row>
    <row r="2086" spans="2:13">
      <c r="B2086" s="3">
        <v>45079</v>
      </c>
      <c r="C2086" s="5">
        <v>61.16</v>
      </c>
      <c r="D2086" s="5">
        <v>60.27</v>
      </c>
      <c r="E2086" s="5">
        <v>61.32</v>
      </c>
      <c r="F2086" s="5">
        <v>60.08</v>
      </c>
      <c r="G2086" s="18" t="s">
        <v>223</v>
      </c>
      <c r="H2086" s="2">
        <v>1.9300000000000001E-2</v>
      </c>
      <c r="I2086" s="16">
        <f t="shared" si="163"/>
        <v>1.9333333333333275E-2</v>
      </c>
      <c r="J2086" s="16">
        <f t="shared" si="164"/>
        <v>1.0193333333333332</v>
      </c>
      <c r="K2086" s="16">
        <f t="shared" si="165"/>
        <v>62.244210526315797</v>
      </c>
      <c r="L2086" s="16">
        <f t="shared" si="161"/>
        <v>62.652040816326547</v>
      </c>
      <c r="M2086" s="25" t="str">
        <f t="shared" si="162"/>
        <v>HOLD</v>
      </c>
    </row>
    <row r="2087" spans="2:13">
      <c r="B2087" s="3">
        <v>45082</v>
      </c>
      <c r="C2087" s="5">
        <v>60.75</v>
      </c>
      <c r="D2087" s="5">
        <v>61</v>
      </c>
      <c r="E2087" s="5">
        <v>61.44</v>
      </c>
      <c r="F2087" s="5">
        <v>60.55</v>
      </c>
      <c r="G2087" s="18" t="s">
        <v>228</v>
      </c>
      <c r="H2087" s="2">
        <v>-6.7000000000000002E-3</v>
      </c>
      <c r="I2087" s="16">
        <f t="shared" si="163"/>
        <v>-6.7037279267494537E-3</v>
      </c>
      <c r="J2087" s="16">
        <f t="shared" si="164"/>
        <v>0.99329627207325055</v>
      </c>
      <c r="K2087" s="16">
        <f t="shared" si="165"/>
        <v>62.093684210526312</v>
      </c>
      <c r="L2087" s="16">
        <f t="shared" si="161"/>
        <v>62.677346938775528</v>
      </c>
      <c r="M2087" s="25" t="str">
        <f t="shared" si="162"/>
        <v>HOLD</v>
      </c>
    </row>
    <row r="2088" spans="2:13">
      <c r="B2088" s="3">
        <v>45083</v>
      </c>
      <c r="C2088" s="5">
        <v>60.31</v>
      </c>
      <c r="D2088" s="5">
        <v>60.95</v>
      </c>
      <c r="E2088" s="5">
        <v>60.99</v>
      </c>
      <c r="F2088" s="5">
        <v>60.12</v>
      </c>
      <c r="G2088" s="18" t="s">
        <v>385</v>
      </c>
      <c r="H2088" s="2">
        <v>-7.1999999999999998E-3</v>
      </c>
      <c r="I2088" s="16">
        <f t="shared" si="163"/>
        <v>-7.2427983539094277E-3</v>
      </c>
      <c r="J2088" s="16">
        <f t="shared" si="164"/>
        <v>0.9927572016460906</v>
      </c>
      <c r="K2088" s="16">
        <f t="shared" si="165"/>
        <v>61.926842105263155</v>
      </c>
      <c r="L2088" s="16">
        <f t="shared" si="161"/>
        <v>62.67428571428573</v>
      </c>
      <c r="M2088" s="25" t="str">
        <f t="shared" si="162"/>
        <v>HOLD</v>
      </c>
    </row>
    <row r="2089" spans="2:13">
      <c r="B2089" s="3">
        <v>45084</v>
      </c>
      <c r="C2089" s="5">
        <v>60.22</v>
      </c>
      <c r="D2089" s="5">
        <v>60.01</v>
      </c>
      <c r="E2089" s="5">
        <v>60.35</v>
      </c>
      <c r="F2089" s="5">
        <v>59.82</v>
      </c>
      <c r="G2089" s="18" t="s">
        <v>384</v>
      </c>
      <c r="H2089" s="2">
        <v>-1.5E-3</v>
      </c>
      <c r="I2089" s="16">
        <f t="shared" si="163"/>
        <v>-1.4922898358481745E-3</v>
      </c>
      <c r="J2089" s="16">
        <f t="shared" si="164"/>
        <v>0.99850771016415185</v>
      </c>
      <c r="K2089" s="16">
        <f t="shared" si="165"/>
        <v>61.764736842105251</v>
      </c>
      <c r="L2089" s="16">
        <f t="shared" si="161"/>
        <v>62.653061224489804</v>
      </c>
      <c r="M2089" s="25" t="str">
        <f t="shared" si="162"/>
        <v>HOLD</v>
      </c>
    </row>
    <row r="2090" spans="2:13">
      <c r="B2090" s="3">
        <v>45085</v>
      </c>
      <c r="C2090" s="5">
        <v>60.37</v>
      </c>
      <c r="D2090" s="5">
        <v>60.13</v>
      </c>
      <c r="E2090" s="5">
        <v>60.4</v>
      </c>
      <c r="F2090" s="5">
        <v>59.98</v>
      </c>
      <c r="G2090" s="18" t="s">
        <v>383</v>
      </c>
      <c r="H2090" s="2">
        <v>2.5000000000000001E-3</v>
      </c>
      <c r="I2090" s="16">
        <f t="shared" si="163"/>
        <v>2.490866821653912E-3</v>
      </c>
      <c r="J2090" s="16">
        <f t="shared" si="164"/>
        <v>1.0024908668216539</v>
      </c>
      <c r="K2090" s="16">
        <f t="shared" si="165"/>
        <v>61.592105263157883</v>
      </c>
      <c r="L2090" s="16">
        <f t="shared" si="161"/>
        <v>62.628571428571433</v>
      </c>
      <c r="M2090" s="25" t="str">
        <f t="shared" si="162"/>
        <v>HOLD</v>
      </c>
    </row>
    <row r="2091" spans="2:13">
      <c r="B2091" s="3">
        <v>45086</v>
      </c>
      <c r="C2091" s="5">
        <v>60.47</v>
      </c>
      <c r="D2091" s="5">
        <v>60.27</v>
      </c>
      <c r="E2091" s="5">
        <v>60.67</v>
      </c>
      <c r="F2091" s="5">
        <v>60.17</v>
      </c>
      <c r="G2091" s="18" t="s">
        <v>382</v>
      </c>
      <c r="H2091" s="2">
        <v>1.6999999999999999E-3</v>
      </c>
      <c r="I2091" s="16">
        <f t="shared" si="163"/>
        <v>1.6564518800729075E-3</v>
      </c>
      <c r="J2091" s="16">
        <f t="shared" si="164"/>
        <v>1.001656451880073</v>
      </c>
      <c r="K2091" s="16">
        <f t="shared" si="165"/>
        <v>61.408421052631567</v>
      </c>
      <c r="L2091" s="16">
        <f t="shared" si="161"/>
        <v>62.59816326530612</v>
      </c>
      <c r="M2091" s="25" t="str">
        <f t="shared" si="162"/>
        <v>HOLD</v>
      </c>
    </row>
    <row r="2092" spans="2:13">
      <c r="B2092" s="3">
        <v>45089</v>
      </c>
      <c r="C2092" s="5">
        <v>60.21</v>
      </c>
      <c r="D2092" s="5">
        <v>60.59</v>
      </c>
      <c r="E2092" s="5">
        <v>60.65</v>
      </c>
      <c r="F2092" s="5">
        <v>60.02</v>
      </c>
      <c r="G2092" s="18" t="s">
        <v>381</v>
      </c>
      <c r="H2092" s="2">
        <v>-4.3E-3</v>
      </c>
      <c r="I2092" s="16">
        <f t="shared" si="163"/>
        <v>-4.299652720357169E-3</v>
      </c>
      <c r="J2092" s="16">
        <f t="shared" si="164"/>
        <v>0.99570034727964285</v>
      </c>
      <c r="K2092" s="16">
        <f t="shared" si="165"/>
        <v>61.216842105263154</v>
      </c>
      <c r="L2092" s="16">
        <f t="shared" si="161"/>
        <v>62.570000000000007</v>
      </c>
      <c r="M2092" s="25" t="str">
        <f t="shared" si="162"/>
        <v>HOLD</v>
      </c>
    </row>
    <row r="2093" spans="2:13">
      <c r="B2093" s="3">
        <v>45090</v>
      </c>
      <c r="C2093" s="5">
        <v>60.45</v>
      </c>
      <c r="D2093" s="5">
        <v>60.21</v>
      </c>
      <c r="E2093" s="5">
        <v>60.67</v>
      </c>
      <c r="F2093" s="5">
        <v>60.04</v>
      </c>
      <c r="G2093" s="18" t="s">
        <v>13</v>
      </c>
      <c r="H2093" s="2">
        <v>4.0000000000000001E-3</v>
      </c>
      <c r="I2093" s="16">
        <f t="shared" si="163"/>
        <v>3.9860488290981893E-3</v>
      </c>
      <c r="J2093" s="16">
        <f t="shared" si="164"/>
        <v>1.0039860488290981</v>
      </c>
      <c r="K2093" s="16">
        <f t="shared" si="165"/>
        <v>61.020526315789468</v>
      </c>
      <c r="L2093" s="16">
        <f t="shared" si="161"/>
        <v>62.532857142857146</v>
      </c>
      <c r="M2093" s="25" t="str">
        <f t="shared" si="162"/>
        <v>HOLD</v>
      </c>
    </row>
    <row r="2094" spans="2:13">
      <c r="B2094" s="3">
        <v>45091</v>
      </c>
      <c r="C2094" s="5">
        <v>60.86</v>
      </c>
      <c r="D2094" s="5">
        <v>60.73</v>
      </c>
      <c r="E2094" s="5">
        <v>61.08</v>
      </c>
      <c r="F2094" s="5">
        <v>60.6</v>
      </c>
      <c r="G2094" s="18" t="s">
        <v>380</v>
      </c>
      <c r="H2094" s="2">
        <v>6.7999999999999996E-3</v>
      </c>
      <c r="I2094" s="16">
        <f t="shared" si="163"/>
        <v>6.7824648469809196E-3</v>
      </c>
      <c r="J2094" s="16">
        <f t="shared" si="164"/>
        <v>1.006782464846981</v>
      </c>
      <c r="K2094" s="16">
        <f t="shared" si="165"/>
        <v>60.874736842105257</v>
      </c>
      <c r="L2094" s="16">
        <f t="shared" si="161"/>
        <v>62.493061224489793</v>
      </c>
      <c r="M2094" s="25" t="str">
        <f t="shared" si="162"/>
        <v>HOLD</v>
      </c>
    </row>
    <row r="2095" spans="2:13">
      <c r="B2095" s="3">
        <v>45092</v>
      </c>
      <c r="C2095" s="5">
        <v>61.23</v>
      </c>
      <c r="D2095" s="5">
        <v>60.61</v>
      </c>
      <c r="E2095" s="5">
        <v>61.3</v>
      </c>
      <c r="F2095" s="5">
        <v>60.34</v>
      </c>
      <c r="G2095" s="18" t="s">
        <v>379</v>
      </c>
      <c r="H2095" s="2">
        <v>6.1000000000000004E-3</v>
      </c>
      <c r="I2095" s="16">
        <f t="shared" si="163"/>
        <v>6.079526782780109E-3</v>
      </c>
      <c r="J2095" s="16">
        <f t="shared" si="164"/>
        <v>1.00607952678278</v>
      </c>
      <c r="K2095" s="16">
        <f t="shared" si="165"/>
        <v>60.754210526315788</v>
      </c>
      <c r="L2095" s="16">
        <f t="shared" si="161"/>
        <v>62.465510204081625</v>
      </c>
      <c r="M2095" s="25" t="str">
        <f t="shared" si="162"/>
        <v>HOLD</v>
      </c>
    </row>
    <row r="2096" spans="2:13">
      <c r="B2096" s="3">
        <v>45093</v>
      </c>
      <c r="C2096" s="5">
        <v>61.67</v>
      </c>
      <c r="D2096" s="5">
        <v>61.6</v>
      </c>
      <c r="E2096" s="5">
        <v>62.17</v>
      </c>
      <c r="F2096" s="5">
        <v>61.48</v>
      </c>
      <c r="G2096" s="18" t="s">
        <v>378</v>
      </c>
      <c r="H2096" s="2">
        <v>7.1999999999999998E-3</v>
      </c>
      <c r="I2096" s="16">
        <f t="shared" si="163"/>
        <v>7.1860199248735077E-3</v>
      </c>
      <c r="J2096" s="16">
        <f t="shared" si="164"/>
        <v>1.0071860199248734</v>
      </c>
      <c r="K2096" s="16">
        <f t="shared" si="165"/>
        <v>60.67157894736841</v>
      </c>
      <c r="L2096" s="16">
        <f t="shared" si="161"/>
        <v>62.433469387755089</v>
      </c>
      <c r="M2096" s="25" t="str">
        <f t="shared" si="162"/>
        <v>HOLD</v>
      </c>
    </row>
    <row r="2097" spans="2:13">
      <c r="B2097" s="3">
        <v>45097</v>
      </c>
      <c r="C2097" s="5">
        <v>61.26</v>
      </c>
      <c r="D2097" s="5">
        <v>61.59</v>
      </c>
      <c r="E2097" s="5">
        <v>61.96</v>
      </c>
      <c r="F2097" s="5">
        <v>61.24</v>
      </c>
      <c r="G2097" s="18" t="s">
        <v>377</v>
      </c>
      <c r="H2097" s="2">
        <v>-6.6E-3</v>
      </c>
      <c r="I2097" s="16">
        <f t="shared" si="163"/>
        <v>-6.6482892816605108E-3</v>
      </c>
      <c r="J2097" s="16">
        <f t="shared" si="164"/>
        <v>0.9933517107183395</v>
      </c>
      <c r="K2097" s="16">
        <f t="shared" si="165"/>
        <v>60.610526315789478</v>
      </c>
      <c r="L2097" s="16">
        <f t="shared" si="161"/>
        <v>62.409591836734691</v>
      </c>
      <c r="M2097" s="25" t="str">
        <f t="shared" si="162"/>
        <v>HOLD</v>
      </c>
    </row>
    <row r="2098" spans="2:13">
      <c r="B2098" s="3">
        <v>45098</v>
      </c>
      <c r="C2098" s="5">
        <v>61.43</v>
      </c>
      <c r="D2098" s="5">
        <v>61.31</v>
      </c>
      <c r="E2098" s="5">
        <v>61.72</v>
      </c>
      <c r="F2098" s="5">
        <v>60.98</v>
      </c>
      <c r="G2098" s="18" t="s">
        <v>243</v>
      </c>
      <c r="H2098" s="2">
        <v>2.8E-3</v>
      </c>
      <c r="I2098" s="16">
        <f t="shared" si="163"/>
        <v>2.7750571335292476E-3</v>
      </c>
      <c r="J2098" s="16">
        <f t="shared" si="164"/>
        <v>1.0027750571335292</v>
      </c>
      <c r="K2098" s="16">
        <f t="shared" si="165"/>
        <v>60.597368421052636</v>
      </c>
      <c r="L2098" s="16">
        <f t="shared" si="161"/>
        <v>62.380408163265301</v>
      </c>
      <c r="M2098" s="25" t="str">
        <f t="shared" si="162"/>
        <v>HOLD</v>
      </c>
    </row>
    <row r="2099" spans="2:13">
      <c r="B2099" s="3">
        <v>45099</v>
      </c>
      <c r="C2099" s="5">
        <v>61.85</v>
      </c>
      <c r="D2099" s="5">
        <v>61.81</v>
      </c>
      <c r="E2099" s="5">
        <v>62.1</v>
      </c>
      <c r="F2099" s="5">
        <v>61.58</v>
      </c>
      <c r="G2099" s="18" t="s">
        <v>376</v>
      </c>
      <c r="H2099" s="2">
        <v>6.7999999999999996E-3</v>
      </c>
      <c r="I2099" s="16">
        <f t="shared" si="163"/>
        <v>6.8370503011558146E-3</v>
      </c>
      <c r="J2099" s="16">
        <f t="shared" si="164"/>
        <v>1.0068370503011559</v>
      </c>
      <c r="K2099" s="16">
        <f t="shared" si="165"/>
        <v>60.598947368421072</v>
      </c>
      <c r="L2099" s="16">
        <f t="shared" si="161"/>
        <v>62.356938775510201</v>
      </c>
      <c r="M2099" s="25" t="str">
        <f t="shared" si="162"/>
        <v>HOLD</v>
      </c>
    </row>
    <row r="2100" spans="2:13">
      <c r="B2100" s="3">
        <v>45100</v>
      </c>
      <c r="C2100" s="5">
        <v>61.2</v>
      </c>
      <c r="D2100" s="5">
        <v>61.94</v>
      </c>
      <c r="E2100" s="5">
        <v>61.97</v>
      </c>
      <c r="F2100" s="5">
        <v>61.18</v>
      </c>
      <c r="G2100" s="18" t="s">
        <v>375</v>
      </c>
      <c r="H2100" s="2">
        <v>-1.0500000000000001E-2</v>
      </c>
      <c r="I2100" s="16">
        <f t="shared" si="163"/>
        <v>-1.0509296685529483E-2</v>
      </c>
      <c r="J2100" s="16">
        <f t="shared" si="164"/>
        <v>0.98949070331447053</v>
      </c>
      <c r="K2100" s="16">
        <f t="shared" si="165"/>
        <v>60.650000000000006</v>
      </c>
      <c r="L2100" s="16">
        <f t="shared" si="161"/>
        <v>62.339795918367329</v>
      </c>
      <c r="M2100" s="25" t="str">
        <f t="shared" si="162"/>
        <v>HOLD</v>
      </c>
    </row>
    <row r="2101" spans="2:13">
      <c r="B2101" s="3">
        <v>45103</v>
      </c>
      <c r="C2101" s="5">
        <v>61.22</v>
      </c>
      <c r="D2101" s="5">
        <v>61.21</v>
      </c>
      <c r="E2101" s="5">
        <v>61.29</v>
      </c>
      <c r="F2101" s="5">
        <v>60.39</v>
      </c>
      <c r="G2101" s="18" t="s">
        <v>374</v>
      </c>
      <c r="H2101" s="2">
        <v>2.9999999999999997E-4</v>
      </c>
      <c r="I2101" s="16">
        <f t="shared" si="163"/>
        <v>3.2679738562085001E-4</v>
      </c>
      <c r="J2101" s="16">
        <f t="shared" si="164"/>
        <v>1.0003267973856209</v>
      </c>
      <c r="K2101" s="16">
        <f t="shared" si="165"/>
        <v>60.691578947368427</v>
      </c>
      <c r="L2101" s="16">
        <f t="shared" si="161"/>
        <v>62.29999999999999</v>
      </c>
      <c r="M2101" s="25" t="str">
        <f t="shared" si="162"/>
        <v>HOLD</v>
      </c>
    </row>
    <row r="2102" spans="2:13">
      <c r="B2102" s="3">
        <v>45104</v>
      </c>
      <c r="C2102" s="5">
        <v>61.09</v>
      </c>
      <c r="D2102" s="5">
        <v>61.22</v>
      </c>
      <c r="E2102" s="5">
        <v>61.36</v>
      </c>
      <c r="F2102" s="5">
        <v>60.98</v>
      </c>
      <c r="G2102" s="18" t="s">
        <v>373</v>
      </c>
      <c r="H2102" s="2">
        <v>-2.0999999999999999E-3</v>
      </c>
      <c r="I2102" s="16">
        <f t="shared" si="163"/>
        <v>-2.1234890558640223E-3</v>
      </c>
      <c r="J2102" s="16">
        <f t="shared" si="164"/>
        <v>0.99787651094413599</v>
      </c>
      <c r="K2102" s="16">
        <f t="shared" si="165"/>
        <v>60.742105263157903</v>
      </c>
      <c r="L2102" s="16">
        <f t="shared" si="161"/>
        <v>62.262653061224469</v>
      </c>
      <c r="M2102" s="25" t="str">
        <f t="shared" si="162"/>
        <v>HOLD</v>
      </c>
    </row>
    <row r="2103" spans="2:13">
      <c r="B2103" s="3">
        <v>45105</v>
      </c>
      <c r="C2103" s="5">
        <v>60.52</v>
      </c>
      <c r="D2103" s="5">
        <v>60.88</v>
      </c>
      <c r="E2103" s="5">
        <v>61.04</v>
      </c>
      <c r="F2103" s="5">
        <v>60.4</v>
      </c>
      <c r="G2103" s="18" t="s">
        <v>372</v>
      </c>
      <c r="H2103" s="2">
        <v>-9.2999999999999992E-3</v>
      </c>
      <c r="I2103" s="16">
        <f t="shared" si="163"/>
        <v>-9.3304959895236586E-3</v>
      </c>
      <c r="J2103" s="16">
        <f t="shared" si="164"/>
        <v>0.99066950401047638</v>
      </c>
      <c r="K2103" s="16">
        <f t="shared" si="165"/>
        <v>60.811052631578953</v>
      </c>
      <c r="L2103" s="16">
        <f t="shared" si="161"/>
        <v>62.214285714285708</v>
      </c>
      <c r="M2103" s="25" t="str">
        <f t="shared" si="162"/>
        <v>HOLD</v>
      </c>
    </row>
    <row r="2104" spans="2:13">
      <c r="B2104" s="3">
        <v>45106</v>
      </c>
      <c r="C2104" s="5">
        <v>60.02</v>
      </c>
      <c r="D2104" s="5">
        <v>60.22</v>
      </c>
      <c r="E2104" s="5">
        <v>60.35</v>
      </c>
      <c r="F2104" s="5">
        <v>59.76</v>
      </c>
      <c r="G2104" s="18" t="s">
        <v>371</v>
      </c>
      <c r="H2104" s="2">
        <v>-8.3000000000000001E-3</v>
      </c>
      <c r="I2104" s="16">
        <f t="shared" si="163"/>
        <v>-8.261731658955716E-3</v>
      </c>
      <c r="J2104" s="16">
        <f t="shared" si="164"/>
        <v>0.99173826834104428</v>
      </c>
      <c r="K2104" s="16">
        <f t="shared" si="165"/>
        <v>60.856315789473669</v>
      </c>
      <c r="L2104" s="16">
        <f t="shared" si="161"/>
        <v>62.152244897959179</v>
      </c>
      <c r="M2104" s="25" t="str">
        <f t="shared" si="162"/>
        <v>HOLD</v>
      </c>
    </row>
    <row r="2105" spans="2:13">
      <c r="B2105" s="3">
        <v>45107</v>
      </c>
      <c r="C2105" s="5">
        <v>60.22</v>
      </c>
      <c r="D2105" s="5">
        <v>60</v>
      </c>
      <c r="E2105" s="5">
        <v>60.35</v>
      </c>
      <c r="F2105" s="5">
        <v>59.87</v>
      </c>
      <c r="G2105" s="18" t="s">
        <v>370</v>
      </c>
      <c r="H2105" s="2">
        <v>3.3E-3</v>
      </c>
      <c r="I2105" s="16">
        <f t="shared" si="163"/>
        <v>3.3322225924691056E-3</v>
      </c>
      <c r="J2105" s="16">
        <f t="shared" si="164"/>
        <v>1.003332222592469</v>
      </c>
      <c r="K2105" s="16">
        <f t="shared" si="165"/>
        <v>60.857368421052627</v>
      </c>
      <c r="L2105" s="16">
        <f t="shared" ref="L2105:L2168" si="166">AVERAGE(C2056:C2104)</f>
        <v>62.077551020408158</v>
      </c>
      <c r="M2105" s="25" t="str">
        <f t="shared" ref="M2105:M2168" si="167">IF(AND(K2105&gt;L2105,K2104&lt;=L2104),"BUY",IF(AND(K2105&lt;L2105,K2104&gt;=L2104),"SELL","HOLD"))</f>
        <v>HOLD</v>
      </c>
    </row>
    <row r="2106" spans="2:13">
      <c r="B2106" s="3">
        <v>45110</v>
      </c>
      <c r="C2106" s="5">
        <v>60.58</v>
      </c>
      <c r="D2106" s="5">
        <v>60.2</v>
      </c>
      <c r="E2106" s="5">
        <v>60.63</v>
      </c>
      <c r="F2106" s="5">
        <v>60.03</v>
      </c>
      <c r="G2106" s="18" t="s">
        <v>369</v>
      </c>
      <c r="H2106" s="2">
        <v>6.0000000000000001E-3</v>
      </c>
      <c r="I2106" s="16">
        <f t="shared" si="163"/>
        <v>5.9780803719694364E-3</v>
      </c>
      <c r="J2106" s="16">
        <f t="shared" si="164"/>
        <v>1.0059780803719693</v>
      </c>
      <c r="K2106" s="16">
        <f t="shared" si="165"/>
        <v>60.807894736842115</v>
      </c>
      <c r="L2106" s="16">
        <f t="shared" si="166"/>
        <v>62.001224489795909</v>
      </c>
      <c r="M2106" s="25" t="str">
        <f t="shared" si="167"/>
        <v>HOLD</v>
      </c>
    </row>
    <row r="2107" spans="2:13">
      <c r="B2107" s="3">
        <v>45112</v>
      </c>
      <c r="C2107" s="5">
        <v>61.03</v>
      </c>
      <c r="D2107" s="5">
        <v>60.28</v>
      </c>
      <c r="E2107" s="5">
        <v>61.1</v>
      </c>
      <c r="F2107" s="5">
        <v>60.16</v>
      </c>
      <c r="G2107" s="18" t="s">
        <v>80</v>
      </c>
      <c r="H2107" s="2">
        <v>7.4000000000000003E-3</v>
      </c>
      <c r="I2107" s="16">
        <f t="shared" si="163"/>
        <v>7.4281941234731405E-3</v>
      </c>
      <c r="J2107" s="16">
        <f t="shared" si="164"/>
        <v>1.0074281941234731</v>
      </c>
      <c r="K2107" s="16">
        <f t="shared" si="165"/>
        <v>60.798947368421054</v>
      </c>
      <c r="L2107" s="16">
        <f t="shared" si="166"/>
        <v>61.930408163265298</v>
      </c>
      <c r="M2107" s="25" t="str">
        <f t="shared" si="167"/>
        <v>HOLD</v>
      </c>
    </row>
    <row r="2108" spans="2:13">
      <c r="B2108" s="3">
        <v>45113</v>
      </c>
      <c r="C2108" s="5">
        <v>60.56</v>
      </c>
      <c r="D2108" s="5">
        <v>60.73</v>
      </c>
      <c r="E2108" s="5">
        <v>61.02</v>
      </c>
      <c r="F2108" s="5">
        <v>60.5</v>
      </c>
      <c r="G2108" s="18" t="s">
        <v>368</v>
      </c>
      <c r="H2108" s="2">
        <v>-7.7000000000000002E-3</v>
      </c>
      <c r="I2108" s="16">
        <f t="shared" si="163"/>
        <v>-7.7011305915123526E-3</v>
      </c>
      <c r="J2108" s="16">
        <f t="shared" si="164"/>
        <v>0.99229886940848766</v>
      </c>
      <c r="K2108" s="16">
        <f t="shared" si="165"/>
        <v>60.836842105263166</v>
      </c>
      <c r="L2108" s="16">
        <f t="shared" si="166"/>
        <v>61.870816326530601</v>
      </c>
      <c r="M2108" s="25" t="str">
        <f t="shared" si="167"/>
        <v>HOLD</v>
      </c>
    </row>
    <row r="2109" spans="2:13">
      <c r="B2109" s="3">
        <v>45114</v>
      </c>
      <c r="C2109" s="5">
        <v>59.76</v>
      </c>
      <c r="D2109" s="5">
        <v>60.31</v>
      </c>
      <c r="E2109" s="5">
        <v>60.49</v>
      </c>
      <c r="F2109" s="5">
        <v>59.73</v>
      </c>
      <c r="G2109" s="18" t="s">
        <v>367</v>
      </c>
      <c r="H2109" s="2">
        <v>-1.32E-2</v>
      </c>
      <c r="I2109" s="16">
        <f t="shared" si="163"/>
        <v>-1.321003963011896E-2</v>
      </c>
      <c r="J2109" s="16">
        <f t="shared" si="164"/>
        <v>0.98678996036988109</v>
      </c>
      <c r="K2109" s="16">
        <f t="shared" si="165"/>
        <v>60.854736842105261</v>
      </c>
      <c r="L2109" s="16">
        <f t="shared" si="166"/>
        <v>61.803673469387746</v>
      </c>
      <c r="M2109" s="25" t="str">
        <f t="shared" si="167"/>
        <v>HOLD</v>
      </c>
    </row>
    <row r="2110" spans="2:13">
      <c r="B2110" s="3">
        <v>45117</v>
      </c>
      <c r="C2110" s="5">
        <v>59.31</v>
      </c>
      <c r="D2110" s="5">
        <v>59.97</v>
      </c>
      <c r="E2110" s="5">
        <v>60.15</v>
      </c>
      <c r="F2110" s="5">
        <v>59.14</v>
      </c>
      <c r="G2110" s="18" t="s">
        <v>366</v>
      </c>
      <c r="H2110" s="2">
        <v>-7.4999999999999997E-3</v>
      </c>
      <c r="I2110" s="16">
        <f t="shared" si="163"/>
        <v>-7.5301204819276397E-3</v>
      </c>
      <c r="J2110" s="16">
        <f t="shared" si="164"/>
        <v>0.99246987951807231</v>
      </c>
      <c r="K2110" s="16">
        <f t="shared" si="165"/>
        <v>60.822631578947373</v>
      </c>
      <c r="L2110" s="16">
        <f t="shared" si="166"/>
        <v>61.726326530612248</v>
      </c>
      <c r="M2110" s="25" t="str">
        <f t="shared" si="167"/>
        <v>HOLD</v>
      </c>
    </row>
    <row r="2111" spans="2:13">
      <c r="B2111" s="3">
        <v>45118</v>
      </c>
      <c r="C2111" s="5">
        <v>59.52</v>
      </c>
      <c r="D2111" s="5">
        <v>59.46</v>
      </c>
      <c r="E2111" s="5">
        <v>59.56</v>
      </c>
      <c r="F2111" s="5">
        <v>58.84</v>
      </c>
      <c r="G2111" s="18" t="s">
        <v>365</v>
      </c>
      <c r="H2111" s="2">
        <v>3.5000000000000001E-3</v>
      </c>
      <c r="I2111" s="16">
        <f t="shared" si="163"/>
        <v>3.5407182599898981E-3</v>
      </c>
      <c r="J2111" s="16">
        <f t="shared" si="164"/>
        <v>1.0035407182599898</v>
      </c>
      <c r="K2111" s="16">
        <f t="shared" si="165"/>
        <v>60.76157894736842</v>
      </c>
      <c r="L2111" s="16">
        <f t="shared" si="166"/>
        <v>61.637142857142855</v>
      </c>
      <c r="M2111" s="25" t="str">
        <f t="shared" si="167"/>
        <v>HOLD</v>
      </c>
    </row>
    <row r="2112" spans="2:13">
      <c r="B2112" s="3">
        <v>45119</v>
      </c>
      <c r="C2112" s="5">
        <v>59.84</v>
      </c>
      <c r="D2112" s="5">
        <v>59.75</v>
      </c>
      <c r="E2112" s="5">
        <v>60.05</v>
      </c>
      <c r="F2112" s="5">
        <v>59.44</v>
      </c>
      <c r="G2112" s="18" t="s">
        <v>364</v>
      </c>
      <c r="H2112" s="2">
        <v>5.4000000000000003E-3</v>
      </c>
      <c r="I2112" s="16">
        <f t="shared" si="163"/>
        <v>5.3763440860215101E-3</v>
      </c>
      <c r="J2112" s="16">
        <f t="shared" si="164"/>
        <v>1.0053763440860215</v>
      </c>
      <c r="K2112" s="16">
        <f t="shared" si="165"/>
        <v>60.725263157894737</v>
      </c>
      <c r="L2112" s="16">
        <f t="shared" si="166"/>
        <v>61.542653061224492</v>
      </c>
      <c r="M2112" s="25" t="str">
        <f t="shared" si="167"/>
        <v>HOLD</v>
      </c>
    </row>
    <row r="2113" spans="2:13">
      <c r="B2113" s="3">
        <v>45120</v>
      </c>
      <c r="C2113" s="5">
        <v>60.35</v>
      </c>
      <c r="D2113" s="5">
        <v>60.12</v>
      </c>
      <c r="E2113" s="5">
        <v>60.46</v>
      </c>
      <c r="F2113" s="5">
        <v>59.98</v>
      </c>
      <c r="G2113" s="18" t="s">
        <v>363</v>
      </c>
      <c r="H2113" s="2">
        <v>8.5000000000000006E-3</v>
      </c>
      <c r="I2113" s="16">
        <f t="shared" si="163"/>
        <v>8.5227272727272391E-3</v>
      </c>
      <c r="J2113" s="16">
        <f t="shared" si="164"/>
        <v>1.0085227272727273</v>
      </c>
      <c r="K2113" s="16">
        <f t="shared" si="165"/>
        <v>60.693157894736835</v>
      </c>
      <c r="L2113" s="16">
        <f t="shared" si="166"/>
        <v>61.451632653061218</v>
      </c>
      <c r="M2113" s="25" t="str">
        <f t="shared" si="167"/>
        <v>HOLD</v>
      </c>
    </row>
    <row r="2114" spans="2:13">
      <c r="B2114" s="3">
        <v>45121</v>
      </c>
      <c r="C2114" s="5">
        <v>60.9</v>
      </c>
      <c r="D2114" s="5">
        <v>60.14</v>
      </c>
      <c r="E2114" s="5">
        <v>61.04</v>
      </c>
      <c r="F2114" s="5">
        <v>60.09</v>
      </c>
      <c r="G2114" s="18" t="s">
        <v>199</v>
      </c>
      <c r="H2114" s="2">
        <v>9.1000000000000004E-3</v>
      </c>
      <c r="I2114" s="16">
        <f t="shared" si="163"/>
        <v>9.1135045567522308E-3</v>
      </c>
      <c r="J2114" s="16">
        <f t="shared" si="164"/>
        <v>1.0091135045567523</v>
      </c>
      <c r="K2114" s="16">
        <f t="shared" si="165"/>
        <v>60.666315789473678</v>
      </c>
      <c r="L2114" s="16">
        <f t="shared" si="166"/>
        <v>61.376938775510197</v>
      </c>
      <c r="M2114" s="25" t="str">
        <f t="shared" si="167"/>
        <v>HOLD</v>
      </c>
    </row>
    <row r="2115" spans="2:13">
      <c r="B2115" s="3">
        <v>45124</v>
      </c>
      <c r="C2115" s="5">
        <v>60.81</v>
      </c>
      <c r="D2115" s="5">
        <v>60.76</v>
      </c>
      <c r="E2115" s="5">
        <v>61.1</v>
      </c>
      <c r="F2115" s="5">
        <v>60.49</v>
      </c>
      <c r="G2115" s="18" t="s">
        <v>362</v>
      </c>
      <c r="H2115" s="2">
        <v>-1.5E-3</v>
      </c>
      <c r="I2115" s="16">
        <f t="shared" si="163"/>
        <v>-1.4778325123152103E-3</v>
      </c>
      <c r="J2115" s="16">
        <f t="shared" si="164"/>
        <v>0.99852216748768474</v>
      </c>
      <c r="K2115" s="16">
        <f t="shared" si="165"/>
        <v>60.648947368421048</v>
      </c>
      <c r="L2115" s="16">
        <f t="shared" si="166"/>
        <v>61.320816326530618</v>
      </c>
      <c r="M2115" s="25" t="str">
        <f t="shared" si="167"/>
        <v>HOLD</v>
      </c>
    </row>
    <row r="2116" spans="2:13">
      <c r="B2116" s="3">
        <v>45125</v>
      </c>
      <c r="C2116" s="5">
        <v>60.57</v>
      </c>
      <c r="D2116" s="5">
        <v>60.96</v>
      </c>
      <c r="E2116" s="5">
        <v>61.25</v>
      </c>
      <c r="F2116" s="5">
        <v>60.41</v>
      </c>
      <c r="G2116" s="18" t="s">
        <v>361</v>
      </c>
      <c r="H2116" s="2">
        <v>-3.8999999999999998E-3</v>
      </c>
      <c r="I2116" s="16">
        <f t="shared" si="163"/>
        <v>-3.9467192895905603E-3</v>
      </c>
      <c r="J2116" s="16">
        <f t="shared" si="164"/>
        <v>0.99605328071040944</v>
      </c>
      <c r="K2116" s="16">
        <f t="shared" si="165"/>
        <v>60.603684210526318</v>
      </c>
      <c r="L2116" s="16">
        <f t="shared" si="166"/>
        <v>61.261428571428567</v>
      </c>
      <c r="M2116" s="25" t="str">
        <f t="shared" si="167"/>
        <v>HOLD</v>
      </c>
    </row>
    <row r="2117" spans="2:13">
      <c r="B2117" s="3">
        <v>45126</v>
      </c>
      <c r="C2117" s="5">
        <v>61.64</v>
      </c>
      <c r="D2117" s="5">
        <v>60.77</v>
      </c>
      <c r="E2117" s="5">
        <v>61.79</v>
      </c>
      <c r="F2117" s="5">
        <v>60.68</v>
      </c>
      <c r="G2117" s="18" t="s">
        <v>122</v>
      </c>
      <c r="H2117" s="2">
        <v>1.77E-2</v>
      </c>
      <c r="I2117" s="16">
        <f t="shared" si="163"/>
        <v>1.7665510979032528E-2</v>
      </c>
      <c r="J2117" s="16">
        <f t="shared" si="164"/>
        <v>1.0176655109790325</v>
      </c>
      <c r="K2117" s="16">
        <f t="shared" si="165"/>
        <v>60.567368421052628</v>
      </c>
      <c r="L2117" s="16">
        <f t="shared" si="166"/>
        <v>61.191020408163268</v>
      </c>
      <c r="M2117" s="25" t="str">
        <f t="shared" si="167"/>
        <v>HOLD</v>
      </c>
    </row>
    <row r="2118" spans="2:13">
      <c r="B2118" s="3">
        <v>45127</v>
      </c>
      <c r="C2118" s="5">
        <v>62.39</v>
      </c>
      <c r="D2118" s="5">
        <v>61.68</v>
      </c>
      <c r="E2118" s="5">
        <v>62.41</v>
      </c>
      <c r="F2118" s="5">
        <v>61.67</v>
      </c>
      <c r="G2118" s="18" t="s">
        <v>360</v>
      </c>
      <c r="H2118" s="2">
        <v>1.2200000000000001E-2</v>
      </c>
      <c r="I2118" s="16">
        <f t="shared" si="163"/>
        <v>1.2167423750811162E-2</v>
      </c>
      <c r="J2118" s="16">
        <f t="shared" si="164"/>
        <v>1.0121674237508111</v>
      </c>
      <c r="K2118" s="16">
        <f t="shared" si="165"/>
        <v>60.578421052631576</v>
      </c>
      <c r="L2118" s="16">
        <f t="shared" si="166"/>
        <v>61.144489795918368</v>
      </c>
      <c r="M2118" s="25" t="str">
        <f t="shared" si="167"/>
        <v>HOLD</v>
      </c>
    </row>
    <row r="2119" spans="2:13">
      <c r="B2119" s="3">
        <v>45128</v>
      </c>
      <c r="C2119" s="5">
        <v>62.44</v>
      </c>
      <c r="D2119" s="5">
        <v>62.46</v>
      </c>
      <c r="E2119" s="5">
        <v>62.68</v>
      </c>
      <c r="F2119" s="5">
        <v>62.24</v>
      </c>
      <c r="G2119" s="18" t="s">
        <v>311</v>
      </c>
      <c r="H2119" s="2">
        <v>8.0000000000000004E-4</v>
      </c>
      <c r="I2119" s="16">
        <f t="shared" si="163"/>
        <v>8.0141048244906487E-4</v>
      </c>
      <c r="J2119" s="16">
        <f t="shared" si="164"/>
        <v>1.000801410482449</v>
      </c>
      <c r="K2119" s="16">
        <f t="shared" si="165"/>
        <v>60.606842105263169</v>
      </c>
      <c r="L2119" s="16">
        <f t="shared" si="166"/>
        <v>61.124081632653059</v>
      </c>
      <c r="M2119" s="25" t="str">
        <f t="shared" si="167"/>
        <v>HOLD</v>
      </c>
    </row>
    <row r="2120" spans="2:13">
      <c r="B2120" s="3">
        <v>45131</v>
      </c>
      <c r="C2120" s="5">
        <v>62.46</v>
      </c>
      <c r="D2120" s="5">
        <v>62.42</v>
      </c>
      <c r="E2120" s="5">
        <v>62.81</v>
      </c>
      <c r="F2120" s="5">
        <v>62.4</v>
      </c>
      <c r="G2120" s="18" t="s">
        <v>359</v>
      </c>
      <c r="H2120" s="2">
        <v>2.9999999999999997E-4</v>
      </c>
      <c r="I2120" s="16">
        <f t="shared" si="163"/>
        <v>3.2030749519543764E-4</v>
      </c>
      <c r="J2120" s="16">
        <f t="shared" si="164"/>
        <v>1.0003203074951954</v>
      </c>
      <c r="K2120" s="16">
        <f t="shared" si="165"/>
        <v>60.672105263157917</v>
      </c>
      <c r="L2120" s="16">
        <f t="shared" si="166"/>
        <v>61.102448979591834</v>
      </c>
      <c r="M2120" s="25" t="str">
        <f t="shared" si="167"/>
        <v>HOLD</v>
      </c>
    </row>
    <row r="2121" spans="2:13">
      <c r="B2121" s="3">
        <v>45132</v>
      </c>
      <c r="C2121" s="5">
        <v>62.25</v>
      </c>
      <c r="D2121" s="5">
        <v>62.3</v>
      </c>
      <c r="E2121" s="5">
        <v>62.39</v>
      </c>
      <c r="F2121" s="5">
        <v>62.04</v>
      </c>
      <c r="G2121" s="18" t="s">
        <v>22</v>
      </c>
      <c r="H2121" s="2">
        <v>-3.3999999999999998E-3</v>
      </c>
      <c r="I2121" s="16">
        <f t="shared" ref="I2121:I2184" si="168">(C2121-C2120)/C2120</f>
        <v>-3.3621517771373816E-3</v>
      </c>
      <c r="J2121" s="16">
        <f t="shared" ref="J2121:J2184" si="169">C2121/C2120</f>
        <v>0.99663784822286261</v>
      </c>
      <c r="K2121" s="16">
        <f t="shared" si="165"/>
        <v>60.737368421052643</v>
      </c>
      <c r="L2121" s="16">
        <f t="shared" si="166"/>
        <v>61.073877551020409</v>
      </c>
      <c r="M2121" s="25" t="str">
        <f t="shared" si="167"/>
        <v>HOLD</v>
      </c>
    </row>
    <row r="2122" spans="2:13">
      <c r="B2122" s="3">
        <v>45133</v>
      </c>
      <c r="C2122" s="5">
        <v>63.05</v>
      </c>
      <c r="D2122" s="5">
        <v>61.86</v>
      </c>
      <c r="E2122" s="5">
        <v>63.17</v>
      </c>
      <c r="F2122" s="5">
        <v>61.39</v>
      </c>
      <c r="G2122" s="18" t="s">
        <v>358</v>
      </c>
      <c r="H2122" s="2">
        <v>1.29E-2</v>
      </c>
      <c r="I2122" s="16">
        <f t="shared" si="168"/>
        <v>1.2851405622489914E-2</v>
      </c>
      <c r="J2122" s="16">
        <f t="shared" si="169"/>
        <v>1.01285140562249</v>
      </c>
      <c r="K2122" s="16">
        <f t="shared" si="165"/>
        <v>60.798421052631582</v>
      </c>
      <c r="L2122" s="16">
        <f t="shared" si="166"/>
        <v>61.035918367346945</v>
      </c>
      <c r="M2122" s="25" t="str">
        <f t="shared" si="167"/>
        <v>HOLD</v>
      </c>
    </row>
    <row r="2123" spans="2:13">
      <c r="B2123" s="3">
        <v>45134</v>
      </c>
      <c r="C2123" s="5">
        <v>62.44</v>
      </c>
      <c r="D2123" s="5">
        <v>63.05</v>
      </c>
      <c r="E2123" s="5">
        <v>63.26</v>
      </c>
      <c r="F2123" s="5">
        <v>62.38</v>
      </c>
      <c r="G2123" s="18" t="s">
        <v>357</v>
      </c>
      <c r="H2123" s="2">
        <v>-9.7000000000000003E-3</v>
      </c>
      <c r="I2123" s="16">
        <f t="shared" si="168"/>
        <v>-9.6748612212529655E-3</v>
      </c>
      <c r="J2123" s="16">
        <f t="shared" si="169"/>
        <v>0.99032513877874706</v>
      </c>
      <c r="K2123" s="16">
        <f t="shared" si="165"/>
        <v>60.931578947368415</v>
      </c>
      <c r="L2123" s="16">
        <f t="shared" si="166"/>
        <v>61.017755102040823</v>
      </c>
      <c r="M2123" s="25" t="str">
        <f t="shared" si="167"/>
        <v>HOLD</v>
      </c>
    </row>
    <row r="2124" spans="2:13">
      <c r="B2124" s="3">
        <v>45135</v>
      </c>
      <c r="C2124" s="5">
        <v>62.48</v>
      </c>
      <c r="D2124" s="5">
        <v>62.58</v>
      </c>
      <c r="E2124" s="5">
        <v>62.77</v>
      </c>
      <c r="F2124" s="5">
        <v>62.22</v>
      </c>
      <c r="G2124" s="18" t="s">
        <v>356</v>
      </c>
      <c r="H2124" s="2">
        <v>5.9999999999999995E-4</v>
      </c>
      <c r="I2124" s="16">
        <f t="shared" si="168"/>
        <v>6.4061499039076155E-4</v>
      </c>
      <c r="J2124" s="16">
        <f t="shared" si="169"/>
        <v>1.0006406149903908</v>
      </c>
      <c r="K2124" s="16">
        <f t="shared" si="165"/>
        <v>61.058947368421045</v>
      </c>
      <c r="L2124" s="16">
        <f t="shared" si="166"/>
        <v>61.001836734693882</v>
      </c>
      <c r="M2124" s="25" t="str">
        <f t="shared" si="167"/>
        <v>BUY</v>
      </c>
    </row>
    <row r="2125" spans="2:13">
      <c r="B2125" s="3">
        <v>45138</v>
      </c>
      <c r="C2125" s="5">
        <v>61.93</v>
      </c>
      <c r="D2125" s="5">
        <v>62.45</v>
      </c>
      <c r="E2125" s="5">
        <v>62.45</v>
      </c>
      <c r="F2125" s="5">
        <v>61.73</v>
      </c>
      <c r="G2125" s="18" t="s">
        <v>62</v>
      </c>
      <c r="H2125" s="2">
        <v>-8.8000000000000005E-3</v>
      </c>
      <c r="I2125" s="16">
        <f t="shared" si="168"/>
        <v>-8.802816901408406E-3</v>
      </c>
      <c r="J2125" s="16">
        <f t="shared" si="169"/>
        <v>0.99119718309859162</v>
      </c>
      <c r="K2125" s="16">
        <f t="shared" si="165"/>
        <v>61.177894736842113</v>
      </c>
      <c r="L2125" s="16">
        <f t="shared" si="166"/>
        <v>60.988163265306127</v>
      </c>
      <c r="M2125" s="25" t="str">
        <f t="shared" si="167"/>
        <v>HOLD</v>
      </c>
    </row>
    <row r="2126" spans="2:13">
      <c r="B2126" s="3">
        <v>45139</v>
      </c>
      <c r="C2126" s="5">
        <v>61.77</v>
      </c>
      <c r="D2126" s="5">
        <v>62.09</v>
      </c>
      <c r="E2126" s="5">
        <v>62.36</v>
      </c>
      <c r="F2126" s="5">
        <v>61.62</v>
      </c>
      <c r="G2126" s="18" t="s">
        <v>355</v>
      </c>
      <c r="H2126" s="2">
        <v>-2.5999999999999999E-3</v>
      </c>
      <c r="I2126" s="16">
        <f t="shared" si="168"/>
        <v>-2.5835620862263296E-3</v>
      </c>
      <c r="J2126" s="16">
        <f t="shared" si="169"/>
        <v>0.99741643791377366</v>
      </c>
      <c r="K2126" s="16">
        <f t="shared" si="165"/>
        <v>61.248947368421057</v>
      </c>
      <c r="L2126" s="16">
        <f t="shared" si="166"/>
        <v>60.970408163265297</v>
      </c>
      <c r="M2126" s="25" t="str">
        <f t="shared" si="167"/>
        <v>HOLD</v>
      </c>
    </row>
    <row r="2127" spans="2:13">
      <c r="B2127" s="3">
        <v>45140</v>
      </c>
      <c r="C2127" s="5">
        <v>61.96</v>
      </c>
      <c r="D2127" s="5">
        <v>61.56</v>
      </c>
      <c r="E2127" s="5">
        <v>62.58</v>
      </c>
      <c r="F2127" s="5">
        <v>61.56</v>
      </c>
      <c r="G2127" s="18" t="s">
        <v>354</v>
      </c>
      <c r="H2127" s="2">
        <v>3.0999999999999999E-3</v>
      </c>
      <c r="I2127" s="16">
        <f t="shared" si="168"/>
        <v>3.0759268253196977E-3</v>
      </c>
      <c r="J2127" s="16">
        <f t="shared" si="169"/>
        <v>1.0030759268253198</v>
      </c>
      <c r="K2127" s="16">
        <f t="shared" si="165"/>
        <v>61.287894736842105</v>
      </c>
      <c r="L2127" s="16">
        <f t="shared" si="166"/>
        <v>60.948775510204086</v>
      </c>
      <c r="M2127" s="25" t="str">
        <f t="shared" si="167"/>
        <v>HOLD</v>
      </c>
    </row>
    <row r="2128" spans="2:13">
      <c r="B2128" s="3">
        <v>45141</v>
      </c>
      <c r="C2128" s="5">
        <v>61.64</v>
      </c>
      <c r="D2128" s="5">
        <v>61.87</v>
      </c>
      <c r="E2128" s="5">
        <v>62.12</v>
      </c>
      <c r="F2128" s="5">
        <v>61.53</v>
      </c>
      <c r="G2128" s="18" t="s">
        <v>353</v>
      </c>
      <c r="H2128" s="2">
        <v>-5.1999999999999998E-3</v>
      </c>
      <c r="I2128" s="16">
        <f t="shared" si="168"/>
        <v>-5.1646223369916124E-3</v>
      </c>
      <c r="J2128" s="16">
        <f t="shared" si="169"/>
        <v>0.99483537766300834</v>
      </c>
      <c r="K2128" s="16">
        <f t="shared" si="165"/>
        <v>61.361578947368429</v>
      </c>
      <c r="L2128" s="16">
        <f t="shared" si="166"/>
        <v>60.957959183673474</v>
      </c>
      <c r="M2128" s="25" t="str">
        <f t="shared" si="167"/>
        <v>HOLD</v>
      </c>
    </row>
    <row r="2129" spans="2:13">
      <c r="B2129" s="3">
        <v>45142</v>
      </c>
      <c r="C2129" s="5">
        <v>60.71</v>
      </c>
      <c r="D2129" s="5">
        <v>61.68</v>
      </c>
      <c r="E2129" s="5">
        <v>61.89</v>
      </c>
      <c r="F2129" s="5">
        <v>60.62</v>
      </c>
      <c r="G2129" s="18" t="s">
        <v>352</v>
      </c>
      <c r="H2129" s="2">
        <v>-1.5100000000000001E-2</v>
      </c>
      <c r="I2129" s="16">
        <f t="shared" si="168"/>
        <v>-1.5087605451005836E-2</v>
      </c>
      <c r="J2129" s="16">
        <f t="shared" si="169"/>
        <v>0.98491239454899415</v>
      </c>
      <c r="K2129" s="16">
        <f t="shared" si="165"/>
        <v>61.460526315789487</v>
      </c>
      <c r="L2129" s="16">
        <f t="shared" si="166"/>
        <v>60.962857142857139</v>
      </c>
      <c r="M2129" s="25" t="str">
        <f t="shared" si="167"/>
        <v>HOLD</v>
      </c>
    </row>
    <row r="2130" spans="2:13">
      <c r="B2130" s="3">
        <v>45145</v>
      </c>
      <c r="C2130" s="5">
        <v>61.19</v>
      </c>
      <c r="D2130" s="5">
        <v>60.79</v>
      </c>
      <c r="E2130" s="5">
        <v>61.33</v>
      </c>
      <c r="F2130" s="5">
        <v>60.74</v>
      </c>
      <c r="G2130" s="18" t="s">
        <v>351</v>
      </c>
      <c r="H2130" s="2">
        <v>7.9000000000000008E-3</v>
      </c>
      <c r="I2130" s="16">
        <f t="shared" si="168"/>
        <v>7.9064404546202744E-3</v>
      </c>
      <c r="J2130" s="16">
        <f t="shared" si="169"/>
        <v>1.0079064404546203</v>
      </c>
      <c r="K2130" s="16">
        <f t="shared" si="165"/>
        <v>61.534210526315796</v>
      </c>
      <c r="L2130" s="16">
        <f t="shared" si="166"/>
        <v>60.959387755102036</v>
      </c>
      <c r="M2130" s="25" t="str">
        <f t="shared" si="167"/>
        <v>HOLD</v>
      </c>
    </row>
    <row r="2131" spans="2:13">
      <c r="B2131" s="3">
        <v>45146</v>
      </c>
      <c r="C2131" s="5">
        <v>60.92</v>
      </c>
      <c r="D2131" s="5">
        <v>61.19</v>
      </c>
      <c r="E2131" s="5">
        <v>61.35</v>
      </c>
      <c r="F2131" s="5">
        <v>60.62</v>
      </c>
      <c r="G2131" s="18" t="s">
        <v>350</v>
      </c>
      <c r="H2131" s="2">
        <v>-4.4000000000000003E-3</v>
      </c>
      <c r="I2131" s="16">
        <f t="shared" si="168"/>
        <v>-4.4124857002777584E-3</v>
      </c>
      <c r="J2131" s="16">
        <f t="shared" si="169"/>
        <v>0.99558751429972225</v>
      </c>
      <c r="K2131" s="16">
        <f t="shared" si="165"/>
        <v>61.622105263157891</v>
      </c>
      <c r="L2131" s="16">
        <f t="shared" si="166"/>
        <v>60.975306122448977</v>
      </c>
      <c r="M2131" s="25" t="str">
        <f t="shared" si="167"/>
        <v>HOLD</v>
      </c>
    </row>
    <row r="2132" spans="2:13">
      <c r="B2132" s="3">
        <v>45147</v>
      </c>
      <c r="C2132" s="5">
        <v>61.06</v>
      </c>
      <c r="D2132" s="5">
        <v>60.91</v>
      </c>
      <c r="E2132" s="5">
        <v>61.63</v>
      </c>
      <c r="F2132" s="5">
        <v>60.75</v>
      </c>
      <c r="G2132" s="18" t="s">
        <v>349</v>
      </c>
      <c r="H2132" s="2">
        <v>2.3E-3</v>
      </c>
      <c r="I2132" s="16">
        <f t="shared" si="168"/>
        <v>2.298095863427455E-3</v>
      </c>
      <c r="J2132" s="16">
        <f t="shared" si="169"/>
        <v>1.0022980958634276</v>
      </c>
      <c r="K2132" s="16">
        <f t="shared" si="165"/>
        <v>61.678947368421056</v>
      </c>
      <c r="L2132" s="16">
        <f t="shared" si="166"/>
        <v>60.988775510204079</v>
      </c>
      <c r="M2132" s="25" t="str">
        <f t="shared" si="167"/>
        <v>HOLD</v>
      </c>
    </row>
    <row r="2133" spans="2:13">
      <c r="B2133" s="3">
        <v>45148</v>
      </c>
      <c r="C2133" s="5">
        <v>60.92</v>
      </c>
      <c r="D2133" s="5">
        <v>61.35</v>
      </c>
      <c r="E2133" s="5">
        <v>61.73</v>
      </c>
      <c r="F2133" s="5">
        <v>60.79</v>
      </c>
      <c r="G2133" s="18" t="s">
        <v>348</v>
      </c>
      <c r="H2133" s="2">
        <v>-2.3E-3</v>
      </c>
      <c r="I2133" s="16">
        <f t="shared" si="168"/>
        <v>-2.2928267278087221E-3</v>
      </c>
      <c r="J2133" s="16">
        <f t="shared" si="169"/>
        <v>0.99770717327219127</v>
      </c>
      <c r="K2133" s="16">
        <f t="shared" si="165"/>
        <v>61.71631578947369</v>
      </c>
      <c r="L2133" s="16">
        <f t="shared" si="166"/>
        <v>61.014897959183664</v>
      </c>
      <c r="M2133" s="25" t="str">
        <f t="shared" si="167"/>
        <v>HOLD</v>
      </c>
    </row>
    <row r="2134" spans="2:13">
      <c r="B2134" s="3">
        <v>45149</v>
      </c>
      <c r="C2134" s="5">
        <v>61.17</v>
      </c>
      <c r="D2134" s="5">
        <v>60.84</v>
      </c>
      <c r="E2134" s="5">
        <v>61.2</v>
      </c>
      <c r="F2134" s="5">
        <v>60.69</v>
      </c>
      <c r="G2134" s="18" t="s">
        <v>347</v>
      </c>
      <c r="H2134" s="2">
        <v>4.1000000000000003E-3</v>
      </c>
      <c r="I2134" s="16">
        <f t="shared" si="168"/>
        <v>4.1037426132632957E-3</v>
      </c>
      <c r="J2134" s="16">
        <f t="shared" si="169"/>
        <v>1.0041037426132633</v>
      </c>
      <c r="K2134" s="16">
        <f t="shared" si="165"/>
        <v>61.71736842105264</v>
      </c>
      <c r="L2134" s="16">
        <f t="shared" si="166"/>
        <v>61.040612244897957</v>
      </c>
      <c r="M2134" s="25" t="str">
        <f t="shared" si="167"/>
        <v>HOLD</v>
      </c>
    </row>
    <row r="2135" spans="2:13">
      <c r="B2135" s="3">
        <v>45152</v>
      </c>
      <c r="C2135" s="5">
        <v>60.88</v>
      </c>
      <c r="D2135" s="5">
        <v>61.32</v>
      </c>
      <c r="E2135" s="5">
        <v>61.48</v>
      </c>
      <c r="F2135" s="5">
        <v>60.75</v>
      </c>
      <c r="G2135" s="18" t="s">
        <v>346</v>
      </c>
      <c r="H2135" s="2">
        <v>-4.7000000000000002E-3</v>
      </c>
      <c r="I2135" s="16">
        <f t="shared" si="168"/>
        <v>-4.74088605525583E-3</v>
      </c>
      <c r="J2135" s="16">
        <f t="shared" si="169"/>
        <v>0.9952591139447442</v>
      </c>
      <c r="K2135" s="16">
        <f t="shared" si="165"/>
        <v>61.7363157894737</v>
      </c>
      <c r="L2135" s="16">
        <f t="shared" si="166"/>
        <v>61.064489795918362</v>
      </c>
      <c r="M2135" s="25" t="str">
        <f t="shared" si="167"/>
        <v>HOLD</v>
      </c>
    </row>
    <row r="2136" spans="2:13">
      <c r="B2136" s="3">
        <v>45153</v>
      </c>
      <c r="C2136" s="5">
        <v>60.47</v>
      </c>
      <c r="D2136" s="5">
        <v>60.69</v>
      </c>
      <c r="E2136" s="5">
        <v>60.9</v>
      </c>
      <c r="F2136" s="5">
        <v>60.37</v>
      </c>
      <c r="G2136" s="18" t="s">
        <v>345</v>
      </c>
      <c r="H2136" s="2">
        <v>-6.7000000000000002E-3</v>
      </c>
      <c r="I2136" s="16">
        <f t="shared" si="168"/>
        <v>-6.7345597897503886E-3</v>
      </c>
      <c r="J2136" s="16">
        <f t="shared" si="169"/>
        <v>0.99326544021024965</v>
      </c>
      <c r="K2136" s="16">
        <f t="shared" si="165"/>
        <v>61.752631578947387</v>
      </c>
      <c r="L2136" s="16">
        <f t="shared" si="166"/>
        <v>61.058775510204086</v>
      </c>
      <c r="M2136" s="25" t="str">
        <f t="shared" si="167"/>
        <v>HOLD</v>
      </c>
    </row>
    <row r="2137" spans="2:13">
      <c r="B2137" s="3">
        <v>45154</v>
      </c>
      <c r="C2137" s="5">
        <v>60.48</v>
      </c>
      <c r="D2137" s="5">
        <v>60.54</v>
      </c>
      <c r="E2137" s="5">
        <v>60.82</v>
      </c>
      <c r="F2137" s="5">
        <v>60.4</v>
      </c>
      <c r="G2137" s="18" t="s">
        <v>194</v>
      </c>
      <c r="H2137" s="2">
        <v>2.0000000000000001E-4</v>
      </c>
      <c r="I2137" s="16">
        <f t="shared" si="168"/>
        <v>1.653712584752441E-4</v>
      </c>
      <c r="J2137" s="16">
        <f t="shared" si="169"/>
        <v>1.0001653712584753</v>
      </c>
      <c r="K2137" s="16">
        <f t="shared" si="165"/>
        <v>61.691052631578955</v>
      </c>
      <c r="L2137" s="16">
        <f t="shared" si="166"/>
        <v>61.053061224489802</v>
      </c>
      <c r="M2137" s="25" t="str">
        <f t="shared" si="167"/>
        <v>HOLD</v>
      </c>
    </row>
    <row r="2138" spans="2:13">
      <c r="B2138" s="3">
        <v>45155</v>
      </c>
      <c r="C2138" s="5">
        <v>60.61</v>
      </c>
      <c r="D2138" s="5">
        <v>60.58</v>
      </c>
      <c r="E2138" s="5">
        <v>61.02</v>
      </c>
      <c r="F2138" s="5">
        <v>60.45</v>
      </c>
      <c r="G2138" s="18" t="s">
        <v>248</v>
      </c>
      <c r="H2138" s="2">
        <v>2.0999999999999999E-3</v>
      </c>
      <c r="I2138" s="16">
        <f t="shared" si="168"/>
        <v>2.1494708994709419E-3</v>
      </c>
      <c r="J2138" s="16">
        <f t="shared" si="169"/>
        <v>1.0021494708994709</v>
      </c>
      <c r="K2138" s="16">
        <f t="shared" si="165"/>
        <v>61.590526315789475</v>
      </c>
      <c r="L2138" s="16">
        <f t="shared" si="166"/>
        <v>61.056530612244899</v>
      </c>
      <c r="M2138" s="25" t="str">
        <f t="shared" si="167"/>
        <v>HOLD</v>
      </c>
    </row>
    <row r="2139" spans="2:13">
      <c r="B2139" s="3">
        <v>45156</v>
      </c>
      <c r="C2139" s="5">
        <v>60.95</v>
      </c>
      <c r="D2139" s="5">
        <v>60.54</v>
      </c>
      <c r="E2139" s="5">
        <v>61.08</v>
      </c>
      <c r="F2139" s="5">
        <v>60.37</v>
      </c>
      <c r="G2139" s="18" t="s">
        <v>344</v>
      </c>
      <c r="H2139" s="2">
        <v>5.5999999999999999E-3</v>
      </c>
      <c r="I2139" s="16">
        <f t="shared" si="168"/>
        <v>5.6096353737007656E-3</v>
      </c>
      <c r="J2139" s="16">
        <f t="shared" si="169"/>
        <v>1.0056096353737007</v>
      </c>
      <c r="K2139" s="16">
        <f t="shared" ref="K2139:K2202" si="170">AVERAGE(C2120:C2138)</f>
        <v>61.494210526315783</v>
      </c>
      <c r="L2139" s="16">
        <f t="shared" si="166"/>
        <v>61.064489795918362</v>
      </c>
      <c r="M2139" s="25" t="str">
        <f t="shared" si="167"/>
        <v>HOLD</v>
      </c>
    </row>
    <row r="2140" spans="2:13">
      <c r="B2140" s="3">
        <v>45159</v>
      </c>
      <c r="C2140" s="5">
        <v>60.43</v>
      </c>
      <c r="D2140" s="5">
        <v>60.86</v>
      </c>
      <c r="E2140" s="5">
        <v>60.93</v>
      </c>
      <c r="F2140" s="5">
        <v>60.32</v>
      </c>
      <c r="G2140" s="18" t="s">
        <v>343</v>
      </c>
      <c r="H2140" s="2">
        <v>-8.5000000000000006E-3</v>
      </c>
      <c r="I2140" s="16">
        <f t="shared" si="168"/>
        <v>-8.5315832649713388E-3</v>
      </c>
      <c r="J2140" s="16">
        <f t="shared" si="169"/>
        <v>0.99146841673502861</v>
      </c>
      <c r="K2140" s="16">
        <f t="shared" si="170"/>
        <v>61.414736842105242</v>
      </c>
      <c r="L2140" s="16">
        <f t="shared" si="166"/>
        <v>61.076326530612242</v>
      </c>
      <c r="M2140" s="25" t="str">
        <f t="shared" si="167"/>
        <v>HOLD</v>
      </c>
    </row>
    <row r="2141" spans="2:13">
      <c r="B2141" s="3">
        <v>45160</v>
      </c>
      <c r="C2141" s="5">
        <v>60.06</v>
      </c>
      <c r="D2141" s="5">
        <v>60.34</v>
      </c>
      <c r="E2141" s="5">
        <v>60.58</v>
      </c>
      <c r="F2141" s="5">
        <v>59.97</v>
      </c>
      <c r="G2141" s="18" t="s">
        <v>342</v>
      </c>
      <c r="H2141" s="2">
        <v>-6.1000000000000004E-3</v>
      </c>
      <c r="I2141" s="16">
        <f t="shared" si="168"/>
        <v>-6.1227866953499493E-3</v>
      </c>
      <c r="J2141" s="16">
        <f t="shared" si="169"/>
        <v>0.99387721330465006</v>
      </c>
      <c r="K2141" s="16">
        <f t="shared" si="170"/>
        <v>61.31894736842105</v>
      </c>
      <c r="L2141" s="16">
        <f t="shared" si="166"/>
        <v>61.075510204081631</v>
      </c>
      <c r="M2141" s="25" t="str">
        <f t="shared" si="167"/>
        <v>HOLD</v>
      </c>
    </row>
    <row r="2142" spans="2:13">
      <c r="B2142" s="3">
        <v>45161</v>
      </c>
      <c r="C2142" s="5">
        <v>60.27</v>
      </c>
      <c r="D2142" s="5">
        <v>60.2</v>
      </c>
      <c r="E2142" s="5">
        <v>60.44</v>
      </c>
      <c r="F2142" s="5">
        <v>60.16</v>
      </c>
      <c r="G2142" s="18" t="s">
        <v>341</v>
      </c>
      <c r="H2142" s="2">
        <v>3.5000000000000001E-3</v>
      </c>
      <c r="I2142" s="16">
        <f t="shared" si="168"/>
        <v>3.4965034965035104E-3</v>
      </c>
      <c r="J2142" s="16">
        <f t="shared" si="169"/>
        <v>1.0034965034965035</v>
      </c>
      <c r="K2142" s="16">
        <f t="shared" si="170"/>
        <v>61.161578947368419</v>
      </c>
      <c r="L2142" s="16">
        <f t="shared" si="166"/>
        <v>61.07244897959184</v>
      </c>
      <c r="M2142" s="25" t="str">
        <f t="shared" si="167"/>
        <v>HOLD</v>
      </c>
    </row>
    <row r="2143" spans="2:13">
      <c r="B2143" s="3">
        <v>45162</v>
      </c>
      <c r="C2143" s="5">
        <v>60.11</v>
      </c>
      <c r="D2143" s="5">
        <v>60.27</v>
      </c>
      <c r="E2143" s="5">
        <v>60.88</v>
      </c>
      <c r="F2143" s="5">
        <v>60.09</v>
      </c>
      <c r="G2143" s="18" t="s">
        <v>340</v>
      </c>
      <c r="H2143" s="2">
        <v>-2.7000000000000001E-3</v>
      </c>
      <c r="I2143" s="16">
        <f t="shared" si="168"/>
        <v>-2.6547204247553292E-3</v>
      </c>
      <c r="J2143" s="16">
        <f t="shared" si="169"/>
        <v>0.99734527957524466</v>
      </c>
      <c r="K2143" s="16">
        <f t="shared" si="170"/>
        <v>61.047368421052639</v>
      </c>
      <c r="L2143" s="16">
        <f t="shared" si="166"/>
        <v>61.068775510204077</v>
      </c>
      <c r="M2143" s="25" t="str">
        <f t="shared" si="167"/>
        <v>SELL</v>
      </c>
    </row>
    <row r="2144" spans="2:13">
      <c r="B2144" s="3">
        <v>45163</v>
      </c>
      <c r="C2144" s="5">
        <v>60.39</v>
      </c>
      <c r="D2144" s="5">
        <v>60.41</v>
      </c>
      <c r="E2144" s="5">
        <v>60.57</v>
      </c>
      <c r="F2144" s="5">
        <v>60.01</v>
      </c>
      <c r="G2144" s="18" t="s">
        <v>339</v>
      </c>
      <c r="H2144" s="2">
        <v>4.7000000000000002E-3</v>
      </c>
      <c r="I2144" s="16">
        <f t="shared" si="168"/>
        <v>4.6581267675927657E-3</v>
      </c>
      <c r="J2144" s="16">
        <f t="shared" si="169"/>
        <v>1.0046581267675927</v>
      </c>
      <c r="K2144" s="16">
        <f t="shared" si="170"/>
        <v>60.922631578947367</v>
      </c>
      <c r="L2144" s="16">
        <f t="shared" si="166"/>
        <v>61.053469387755108</v>
      </c>
      <c r="M2144" s="25" t="str">
        <f t="shared" si="167"/>
        <v>HOLD</v>
      </c>
    </row>
    <row r="2145" spans="2:13">
      <c r="B2145" s="3">
        <v>45166</v>
      </c>
      <c r="C2145" s="5">
        <v>60.56</v>
      </c>
      <c r="D2145" s="5">
        <v>60.55</v>
      </c>
      <c r="E2145" s="5">
        <v>60.72</v>
      </c>
      <c r="F2145" s="5">
        <v>60.37</v>
      </c>
      <c r="G2145" s="18" t="s">
        <v>338</v>
      </c>
      <c r="H2145" s="2">
        <v>2.8E-3</v>
      </c>
      <c r="I2145" s="16">
        <f t="shared" si="168"/>
        <v>2.815035601920876E-3</v>
      </c>
      <c r="J2145" s="16">
        <f t="shared" si="169"/>
        <v>1.002815035601921</v>
      </c>
      <c r="K2145" s="16">
        <f t="shared" si="170"/>
        <v>60.841578947368419</v>
      </c>
      <c r="L2145" s="16">
        <f t="shared" si="166"/>
        <v>61.03632653061225</v>
      </c>
      <c r="M2145" s="25" t="str">
        <f t="shared" si="167"/>
        <v>HOLD</v>
      </c>
    </row>
    <row r="2146" spans="2:13">
      <c r="B2146" s="3">
        <v>45167</v>
      </c>
      <c r="C2146" s="5">
        <v>60.5</v>
      </c>
      <c r="D2146" s="5">
        <v>60.56</v>
      </c>
      <c r="E2146" s="5">
        <v>60.63</v>
      </c>
      <c r="F2146" s="5">
        <v>60.15</v>
      </c>
      <c r="G2146" s="18" t="s">
        <v>337</v>
      </c>
      <c r="H2146" s="2">
        <v>-1E-3</v>
      </c>
      <c r="I2146" s="16">
        <f t="shared" si="168"/>
        <v>-9.9075297225895424E-4</v>
      </c>
      <c r="J2146" s="16">
        <f t="shared" si="169"/>
        <v>0.99900924702774108</v>
      </c>
      <c r="K2146" s="16">
        <f t="shared" si="170"/>
        <v>60.777894736842107</v>
      </c>
      <c r="L2146" s="16">
        <f t="shared" si="166"/>
        <v>61.013673469387754</v>
      </c>
      <c r="M2146" s="25" t="str">
        <f t="shared" si="167"/>
        <v>HOLD</v>
      </c>
    </row>
    <row r="2147" spans="2:13">
      <c r="B2147" s="3">
        <v>45168</v>
      </c>
      <c r="C2147" s="5">
        <v>60.47</v>
      </c>
      <c r="D2147" s="5">
        <v>60.64</v>
      </c>
      <c r="E2147" s="5">
        <v>60.74</v>
      </c>
      <c r="F2147" s="5">
        <v>60.29</v>
      </c>
      <c r="G2147" s="18" t="s">
        <v>336</v>
      </c>
      <c r="H2147" s="2">
        <v>-5.0000000000000001E-4</v>
      </c>
      <c r="I2147" s="16">
        <f t="shared" si="168"/>
        <v>-4.9586776859506009E-4</v>
      </c>
      <c r="J2147" s="16">
        <f t="shared" si="169"/>
        <v>0.99950413223140488</v>
      </c>
      <c r="K2147" s="16">
        <f t="shared" si="170"/>
        <v>60.701052631578946</v>
      </c>
      <c r="L2147" s="16">
        <f t="shared" si="166"/>
        <v>60.998163265306125</v>
      </c>
      <c r="M2147" s="25" t="str">
        <f t="shared" si="167"/>
        <v>HOLD</v>
      </c>
    </row>
    <row r="2148" spans="2:13">
      <c r="B2148" s="3">
        <v>45169</v>
      </c>
      <c r="C2148" s="5">
        <v>59.83</v>
      </c>
      <c r="D2148" s="5">
        <v>60.3</v>
      </c>
      <c r="E2148" s="5">
        <v>60.47</v>
      </c>
      <c r="F2148" s="5">
        <v>59.81</v>
      </c>
      <c r="G2148" s="18" t="s">
        <v>335</v>
      </c>
      <c r="H2148" s="2">
        <v>-1.06E-2</v>
      </c>
      <c r="I2148" s="16">
        <f t="shared" si="168"/>
        <v>-1.0583760542417737E-2</v>
      </c>
      <c r="J2148" s="16">
        <f t="shared" si="169"/>
        <v>0.98941623945758228</v>
      </c>
      <c r="K2148" s="16">
        <f t="shared" si="170"/>
        <v>60.639473684210529</v>
      </c>
      <c r="L2148" s="16">
        <f t="shared" si="166"/>
        <v>60.978571428571435</v>
      </c>
      <c r="M2148" s="25" t="str">
        <f t="shared" si="167"/>
        <v>HOLD</v>
      </c>
    </row>
    <row r="2149" spans="2:13">
      <c r="B2149" s="3">
        <v>45170</v>
      </c>
      <c r="C2149" s="5">
        <v>59.31</v>
      </c>
      <c r="D2149" s="5">
        <v>60</v>
      </c>
      <c r="E2149" s="5">
        <v>60.13</v>
      </c>
      <c r="F2149" s="5">
        <v>59.12</v>
      </c>
      <c r="G2149" s="18" t="s">
        <v>288</v>
      </c>
      <c r="H2149" s="2">
        <v>-8.6999999999999994E-3</v>
      </c>
      <c r="I2149" s="16">
        <f t="shared" si="168"/>
        <v>-8.6912919939828859E-3</v>
      </c>
      <c r="J2149" s="16">
        <f t="shared" si="169"/>
        <v>0.99130870800601711</v>
      </c>
      <c r="K2149" s="16">
        <f t="shared" si="170"/>
        <v>60.593157894736841</v>
      </c>
      <c r="L2149" s="16">
        <f t="shared" si="166"/>
        <v>60.937346938775505</v>
      </c>
      <c r="M2149" s="25" t="str">
        <f t="shared" si="167"/>
        <v>HOLD</v>
      </c>
    </row>
    <row r="2150" spans="2:13">
      <c r="B2150" s="3">
        <v>45174</v>
      </c>
      <c r="C2150" s="5">
        <v>58.82</v>
      </c>
      <c r="D2150" s="5">
        <v>59.25</v>
      </c>
      <c r="E2150" s="5">
        <v>59.32</v>
      </c>
      <c r="F2150" s="5">
        <v>58.67</v>
      </c>
      <c r="G2150" s="18" t="s">
        <v>334</v>
      </c>
      <c r="H2150" s="2">
        <v>-8.3000000000000001E-3</v>
      </c>
      <c r="I2150" s="16">
        <f t="shared" si="168"/>
        <v>-8.2616759399764279E-3</v>
      </c>
      <c r="J2150" s="16">
        <f t="shared" si="169"/>
        <v>0.9917383240600236</v>
      </c>
      <c r="K2150" s="16">
        <f t="shared" si="170"/>
        <v>60.494210526315783</v>
      </c>
      <c r="L2150" s="16">
        <f t="shared" si="166"/>
        <v>60.898775510204082</v>
      </c>
      <c r="M2150" s="25" t="str">
        <f t="shared" si="167"/>
        <v>HOLD</v>
      </c>
    </row>
    <row r="2151" spans="2:13">
      <c r="B2151" s="3">
        <v>45175</v>
      </c>
      <c r="C2151" s="5">
        <v>58.78</v>
      </c>
      <c r="D2151" s="5">
        <v>58.62</v>
      </c>
      <c r="E2151" s="5">
        <v>58.83</v>
      </c>
      <c r="F2151" s="5">
        <v>58.42</v>
      </c>
      <c r="G2151" s="18" t="s">
        <v>333</v>
      </c>
      <c r="H2151" s="2">
        <v>-6.9999999999999999E-4</v>
      </c>
      <c r="I2151" s="16">
        <f t="shared" si="168"/>
        <v>-6.8004080244813238E-4</v>
      </c>
      <c r="J2151" s="16">
        <f t="shared" si="169"/>
        <v>0.9993199591975519</v>
      </c>
      <c r="K2151" s="16">
        <f t="shared" si="170"/>
        <v>60.383684210526305</v>
      </c>
      <c r="L2151" s="16">
        <f t="shared" si="166"/>
        <v>60.849795918367342</v>
      </c>
      <c r="M2151" s="25" t="str">
        <f t="shared" si="167"/>
        <v>HOLD</v>
      </c>
    </row>
    <row r="2152" spans="2:13">
      <c r="B2152" s="3">
        <v>45176</v>
      </c>
      <c r="C2152" s="5">
        <v>58.33</v>
      </c>
      <c r="D2152" s="5">
        <v>58.95</v>
      </c>
      <c r="E2152" s="5">
        <v>59.16</v>
      </c>
      <c r="F2152" s="5">
        <v>58.3</v>
      </c>
      <c r="G2152" s="18" t="s">
        <v>332</v>
      </c>
      <c r="H2152" s="2">
        <v>-7.7000000000000002E-3</v>
      </c>
      <c r="I2152" s="16">
        <f t="shared" si="168"/>
        <v>-7.6556651922423079E-3</v>
      </c>
      <c r="J2152" s="16">
        <f t="shared" si="169"/>
        <v>0.99234433480775774</v>
      </c>
      <c r="K2152" s="16">
        <f t="shared" si="170"/>
        <v>60.263684210526314</v>
      </c>
      <c r="L2152" s="16">
        <f t="shared" si="166"/>
        <v>60.802653061224497</v>
      </c>
      <c r="M2152" s="25" t="str">
        <f t="shared" si="167"/>
        <v>HOLD</v>
      </c>
    </row>
    <row r="2153" spans="2:13">
      <c r="B2153" s="3">
        <v>45177</v>
      </c>
      <c r="C2153" s="5">
        <v>58.33</v>
      </c>
      <c r="D2153" s="5">
        <v>58.3</v>
      </c>
      <c r="E2153" s="5">
        <v>58.41</v>
      </c>
      <c r="F2153" s="5">
        <v>58.01</v>
      </c>
      <c r="G2153" s="18" t="s">
        <v>138</v>
      </c>
      <c r="H2153" s="2">
        <v>0</v>
      </c>
      <c r="I2153" s="16">
        <f t="shared" si="168"/>
        <v>0</v>
      </c>
      <c r="J2153" s="16">
        <f t="shared" si="169"/>
        <v>1</v>
      </c>
      <c r="K2153" s="16">
        <f t="shared" si="170"/>
        <v>60.127368421052637</v>
      </c>
      <c r="L2153" s="16">
        <f t="shared" si="166"/>
        <v>60.757959183673464</v>
      </c>
      <c r="M2153" s="25" t="str">
        <f t="shared" si="167"/>
        <v>HOLD</v>
      </c>
    </row>
    <row r="2154" spans="2:13">
      <c r="B2154" s="3">
        <v>45180</v>
      </c>
      <c r="C2154" s="5">
        <v>58.88</v>
      </c>
      <c r="D2154" s="5">
        <v>58.4</v>
      </c>
      <c r="E2154" s="5">
        <v>58.99</v>
      </c>
      <c r="F2154" s="5">
        <v>58.22</v>
      </c>
      <c r="G2154" s="18" t="s">
        <v>326</v>
      </c>
      <c r="H2154" s="2">
        <v>9.4000000000000004E-3</v>
      </c>
      <c r="I2154" s="16">
        <f t="shared" si="168"/>
        <v>9.4291102348706378E-3</v>
      </c>
      <c r="J2154" s="16">
        <f t="shared" si="169"/>
        <v>1.0094291102348707</v>
      </c>
      <c r="K2154" s="16">
        <f t="shared" si="170"/>
        <v>59.97789473684211</v>
      </c>
      <c r="L2154" s="16">
        <f t="shared" si="166"/>
        <v>60.723469387755095</v>
      </c>
      <c r="M2154" s="25" t="str">
        <f t="shared" si="167"/>
        <v>HOLD</v>
      </c>
    </row>
    <row r="2155" spans="2:13">
      <c r="B2155" s="3">
        <v>45181</v>
      </c>
      <c r="C2155" s="5">
        <v>58.3</v>
      </c>
      <c r="D2155" s="5">
        <v>58.99</v>
      </c>
      <c r="E2155" s="5">
        <v>59</v>
      </c>
      <c r="F2155" s="5">
        <v>58.19</v>
      </c>
      <c r="G2155" s="18" t="s">
        <v>331</v>
      </c>
      <c r="H2155" s="2">
        <v>-9.9000000000000008E-3</v>
      </c>
      <c r="I2155" s="16">
        <f t="shared" si="168"/>
        <v>-9.8505434782609601E-3</v>
      </c>
      <c r="J2155" s="16">
        <f t="shared" si="169"/>
        <v>0.99014945652173902</v>
      </c>
      <c r="K2155" s="16">
        <f t="shared" si="170"/>
        <v>59.872631578947377</v>
      </c>
      <c r="L2155" s="16">
        <f t="shared" si="166"/>
        <v>60.696122448979594</v>
      </c>
      <c r="M2155" s="25" t="str">
        <f t="shared" si="167"/>
        <v>HOLD</v>
      </c>
    </row>
    <row r="2156" spans="2:13">
      <c r="B2156" s="3">
        <v>45182</v>
      </c>
      <c r="C2156" s="5">
        <v>58.44</v>
      </c>
      <c r="D2156" s="5">
        <v>58.4</v>
      </c>
      <c r="E2156" s="5">
        <v>58.68</v>
      </c>
      <c r="F2156" s="5">
        <v>58.34</v>
      </c>
      <c r="G2156" s="18" t="s">
        <v>330</v>
      </c>
      <c r="H2156" s="2">
        <v>2.3999999999999998E-3</v>
      </c>
      <c r="I2156" s="16">
        <f t="shared" si="168"/>
        <v>2.4013722126929771E-3</v>
      </c>
      <c r="J2156" s="16">
        <f t="shared" si="169"/>
        <v>1.002401372212693</v>
      </c>
      <c r="K2156" s="16">
        <f t="shared" si="170"/>
        <v>59.758421052631583</v>
      </c>
      <c r="L2156" s="16">
        <f t="shared" si="166"/>
        <v>60.6495918367347</v>
      </c>
      <c r="M2156" s="25" t="str">
        <f t="shared" si="167"/>
        <v>HOLD</v>
      </c>
    </row>
    <row r="2157" spans="2:13">
      <c r="B2157" s="3">
        <v>45183</v>
      </c>
      <c r="C2157" s="5">
        <v>58.46</v>
      </c>
      <c r="D2157" s="5">
        <v>58.24</v>
      </c>
      <c r="E2157" s="5">
        <v>58.59</v>
      </c>
      <c r="F2157" s="5">
        <v>58.19</v>
      </c>
      <c r="G2157" s="18" t="s">
        <v>232</v>
      </c>
      <c r="H2157" s="2">
        <v>2.9999999999999997E-4</v>
      </c>
      <c r="I2157" s="16">
        <f t="shared" si="168"/>
        <v>3.4223134839156616E-4</v>
      </c>
      <c r="J2157" s="16">
        <f t="shared" si="169"/>
        <v>1.0003422313483916</v>
      </c>
      <c r="K2157" s="16">
        <f t="shared" si="170"/>
        <v>59.651052631578956</v>
      </c>
      <c r="L2157" s="16">
        <f t="shared" si="166"/>
        <v>60.596734693877565</v>
      </c>
      <c r="M2157" s="25" t="str">
        <f t="shared" si="167"/>
        <v>HOLD</v>
      </c>
    </row>
    <row r="2158" spans="2:13">
      <c r="B2158" s="3">
        <v>45184</v>
      </c>
      <c r="C2158" s="5">
        <v>57.94</v>
      </c>
      <c r="D2158" s="5">
        <v>58.41</v>
      </c>
      <c r="E2158" s="5">
        <v>58.63</v>
      </c>
      <c r="F2158" s="5">
        <v>57.75</v>
      </c>
      <c r="G2158" s="18" t="s">
        <v>329</v>
      </c>
      <c r="H2158" s="2">
        <v>-8.8999999999999999E-3</v>
      </c>
      <c r="I2158" s="16">
        <f t="shared" si="168"/>
        <v>-8.8949709202874299E-3</v>
      </c>
      <c r="J2158" s="16">
        <f t="shared" si="169"/>
        <v>0.99110502907971254</v>
      </c>
      <c r="K2158" s="16">
        <f t="shared" si="170"/>
        <v>59.537894736842119</v>
      </c>
      <c r="L2158" s="16">
        <f t="shared" si="166"/>
        <v>60.553877551020427</v>
      </c>
      <c r="M2158" s="25" t="str">
        <f t="shared" si="167"/>
        <v>HOLD</v>
      </c>
    </row>
    <row r="2159" spans="2:13">
      <c r="B2159" s="3">
        <v>45187</v>
      </c>
      <c r="C2159" s="5">
        <v>58.3</v>
      </c>
      <c r="D2159" s="5">
        <v>57.98</v>
      </c>
      <c r="E2159" s="5">
        <v>58.35</v>
      </c>
      <c r="F2159" s="5">
        <v>57.63</v>
      </c>
      <c r="G2159" s="18" t="s">
        <v>328</v>
      </c>
      <c r="H2159" s="2">
        <v>6.1999999999999998E-3</v>
      </c>
      <c r="I2159" s="16">
        <f t="shared" si="168"/>
        <v>6.2133241284086892E-3</v>
      </c>
      <c r="J2159" s="16">
        <f t="shared" si="169"/>
        <v>1.0062133241284086</v>
      </c>
      <c r="K2159" s="16">
        <f t="shared" si="170"/>
        <v>59.379473684210538</v>
      </c>
      <c r="L2159" s="16">
        <f t="shared" si="166"/>
        <v>60.516734693877567</v>
      </c>
      <c r="M2159" s="25" t="str">
        <f t="shared" si="167"/>
        <v>HOLD</v>
      </c>
    </row>
    <row r="2160" spans="2:13">
      <c r="B2160" s="3">
        <v>45188</v>
      </c>
      <c r="C2160" s="5">
        <v>58.18</v>
      </c>
      <c r="D2160" s="5">
        <v>58.26</v>
      </c>
      <c r="E2160" s="5">
        <v>58.39</v>
      </c>
      <c r="F2160" s="5">
        <v>57.92</v>
      </c>
      <c r="G2160" s="18" t="s">
        <v>327</v>
      </c>
      <c r="H2160" s="2">
        <v>-2.0999999999999999E-3</v>
      </c>
      <c r="I2160" s="16">
        <f t="shared" si="168"/>
        <v>-2.0583190394510712E-3</v>
      </c>
      <c r="J2160" s="16">
        <f t="shared" si="169"/>
        <v>0.99794168096054892</v>
      </c>
      <c r="K2160" s="16">
        <f t="shared" si="170"/>
        <v>59.267368421052637</v>
      </c>
      <c r="L2160" s="16">
        <f t="shared" si="166"/>
        <v>60.496122448979612</v>
      </c>
      <c r="M2160" s="25" t="str">
        <f t="shared" si="167"/>
        <v>HOLD</v>
      </c>
    </row>
    <row r="2161" spans="2:13">
      <c r="B2161" s="3">
        <v>45189</v>
      </c>
      <c r="C2161" s="5">
        <v>58.44</v>
      </c>
      <c r="D2161" s="5">
        <v>58.3</v>
      </c>
      <c r="E2161" s="5">
        <v>58.83</v>
      </c>
      <c r="F2161" s="5">
        <v>58.08</v>
      </c>
      <c r="G2161" s="18" t="s">
        <v>326</v>
      </c>
      <c r="H2161" s="2">
        <v>4.4999999999999997E-3</v>
      </c>
      <c r="I2161" s="16">
        <f t="shared" si="168"/>
        <v>4.4688896528016159E-3</v>
      </c>
      <c r="J2161" s="16">
        <f t="shared" si="169"/>
        <v>1.0044688896528016</v>
      </c>
      <c r="K2161" s="16">
        <f t="shared" si="170"/>
        <v>59.168421052631579</v>
      </c>
      <c r="L2161" s="16">
        <f t="shared" si="166"/>
        <v>60.468775510204097</v>
      </c>
      <c r="M2161" s="25" t="str">
        <f t="shared" si="167"/>
        <v>HOLD</v>
      </c>
    </row>
    <row r="2162" spans="2:13">
      <c r="B2162" s="3">
        <v>45190</v>
      </c>
      <c r="C2162" s="5">
        <v>57.54</v>
      </c>
      <c r="D2162" s="5">
        <v>58.37</v>
      </c>
      <c r="E2162" s="5">
        <v>58.42</v>
      </c>
      <c r="F2162" s="5">
        <v>57.42</v>
      </c>
      <c r="G2162" s="18" t="s">
        <v>325</v>
      </c>
      <c r="H2162" s="2">
        <v>-1.54E-2</v>
      </c>
      <c r="I2162" s="16">
        <f t="shared" si="168"/>
        <v>-1.5400410677618047E-2</v>
      </c>
      <c r="J2162" s="16">
        <f t="shared" si="169"/>
        <v>0.98459958932238201</v>
      </c>
      <c r="K2162" s="16">
        <f t="shared" si="170"/>
        <v>59.072105263157901</v>
      </c>
      <c r="L2162" s="16">
        <f t="shared" si="166"/>
        <v>60.440204081632665</v>
      </c>
      <c r="M2162" s="25" t="str">
        <f t="shared" si="167"/>
        <v>HOLD</v>
      </c>
    </row>
    <row r="2163" spans="2:13">
      <c r="B2163" s="3">
        <v>45191</v>
      </c>
      <c r="C2163" s="5">
        <v>57.6</v>
      </c>
      <c r="D2163" s="5">
        <v>57.85</v>
      </c>
      <c r="E2163" s="5">
        <v>57.97</v>
      </c>
      <c r="F2163" s="5">
        <v>57.5</v>
      </c>
      <c r="G2163" s="18" t="s">
        <v>324</v>
      </c>
      <c r="H2163" s="2">
        <v>1E-3</v>
      </c>
      <c r="I2163" s="16">
        <f t="shared" si="168"/>
        <v>1.0427528675704253E-3</v>
      </c>
      <c r="J2163" s="16">
        <f t="shared" si="169"/>
        <v>1.0010427528675705</v>
      </c>
      <c r="K2163" s="16">
        <f t="shared" si="170"/>
        <v>58.936842105263153</v>
      </c>
      <c r="L2163" s="16">
        <f t="shared" si="166"/>
        <v>60.382857142857155</v>
      </c>
      <c r="M2163" s="25" t="str">
        <f t="shared" si="167"/>
        <v>HOLD</v>
      </c>
    </row>
    <row r="2164" spans="2:13">
      <c r="B2164" s="3">
        <v>45194</v>
      </c>
      <c r="C2164" s="5">
        <v>57</v>
      </c>
      <c r="D2164" s="5">
        <v>57.4</v>
      </c>
      <c r="E2164" s="5">
        <v>57.49</v>
      </c>
      <c r="F2164" s="5">
        <v>56.74</v>
      </c>
      <c r="G2164" s="18" t="s">
        <v>323</v>
      </c>
      <c r="H2164" s="2">
        <v>-1.04E-2</v>
      </c>
      <c r="I2164" s="16">
        <f t="shared" si="168"/>
        <v>-1.041666666666669E-2</v>
      </c>
      <c r="J2164" s="16">
        <f t="shared" si="169"/>
        <v>0.98958333333333326</v>
      </c>
      <c r="K2164" s="16">
        <f t="shared" si="170"/>
        <v>58.789999999999985</v>
      </c>
      <c r="L2164" s="16">
        <f t="shared" si="166"/>
        <v>60.315510204081654</v>
      </c>
      <c r="M2164" s="25" t="str">
        <f t="shared" si="167"/>
        <v>HOLD</v>
      </c>
    </row>
    <row r="2165" spans="2:13">
      <c r="B2165" s="3">
        <v>45195</v>
      </c>
      <c r="C2165" s="5">
        <v>56.53</v>
      </c>
      <c r="D2165" s="5">
        <v>56.73</v>
      </c>
      <c r="E2165" s="5">
        <v>56.9</v>
      </c>
      <c r="F2165" s="5">
        <v>56.4</v>
      </c>
      <c r="G2165" s="18" t="s">
        <v>322</v>
      </c>
      <c r="H2165" s="2">
        <v>-8.2000000000000007E-3</v>
      </c>
      <c r="I2165" s="16">
        <f t="shared" si="168"/>
        <v>-8.2456140350877002E-3</v>
      </c>
      <c r="J2165" s="16">
        <f t="shared" si="169"/>
        <v>0.99175438596491228</v>
      </c>
      <c r="K2165" s="16">
        <f t="shared" si="170"/>
        <v>58.60263157894736</v>
      </c>
      <c r="L2165" s="16">
        <f t="shared" si="166"/>
        <v>60.237755102040836</v>
      </c>
      <c r="M2165" s="25" t="str">
        <f t="shared" si="167"/>
        <v>HOLD</v>
      </c>
    </row>
    <row r="2166" spans="2:13">
      <c r="B2166" s="3">
        <v>45196</v>
      </c>
      <c r="C2166" s="5">
        <v>55.95</v>
      </c>
      <c r="D2166" s="5">
        <v>56.42</v>
      </c>
      <c r="E2166" s="5">
        <v>56.53</v>
      </c>
      <c r="F2166" s="5">
        <v>55.68</v>
      </c>
      <c r="G2166" s="18" t="s">
        <v>321</v>
      </c>
      <c r="H2166" s="2">
        <v>-1.03E-2</v>
      </c>
      <c r="I2166" s="16">
        <f t="shared" si="168"/>
        <v>-1.0260038917388966E-2</v>
      </c>
      <c r="J2166" s="16">
        <f t="shared" si="169"/>
        <v>0.98973996108261109</v>
      </c>
      <c r="K2166" s="16">
        <f t="shared" si="170"/>
        <v>58.393684210526303</v>
      </c>
      <c r="L2166" s="16">
        <f t="shared" si="166"/>
        <v>60.155306122448998</v>
      </c>
      <c r="M2166" s="25" t="str">
        <f t="shared" si="167"/>
        <v>HOLD</v>
      </c>
    </row>
    <row r="2167" spans="2:13">
      <c r="B2167" s="3">
        <v>45197</v>
      </c>
      <c r="C2167" s="5">
        <v>55.81</v>
      </c>
      <c r="D2167" s="5">
        <v>56.23</v>
      </c>
      <c r="E2167" s="5">
        <v>56.32</v>
      </c>
      <c r="F2167" s="5">
        <v>55.7</v>
      </c>
      <c r="G2167" s="18" t="s">
        <v>320</v>
      </c>
      <c r="H2167" s="2">
        <v>-2.5000000000000001E-3</v>
      </c>
      <c r="I2167" s="16">
        <f t="shared" si="168"/>
        <v>-2.5022341376228878E-3</v>
      </c>
      <c r="J2167" s="16">
        <f t="shared" si="169"/>
        <v>0.99749776586237715</v>
      </c>
      <c r="K2167" s="16">
        <f t="shared" si="170"/>
        <v>58.155789473684216</v>
      </c>
      <c r="L2167" s="16">
        <f t="shared" si="166"/>
        <v>60.039183673469388</v>
      </c>
      <c r="M2167" s="25" t="str">
        <f t="shared" si="167"/>
        <v>HOLD</v>
      </c>
    </row>
    <row r="2168" spans="2:13">
      <c r="B2168" s="3">
        <v>45198</v>
      </c>
      <c r="C2168" s="5">
        <v>55.98</v>
      </c>
      <c r="D2168" s="5">
        <v>56.14</v>
      </c>
      <c r="E2168" s="5">
        <v>56.27</v>
      </c>
      <c r="F2168" s="5">
        <v>55.62</v>
      </c>
      <c r="G2168" s="18" t="s">
        <v>319</v>
      </c>
      <c r="H2168" s="2">
        <v>3.0000000000000001E-3</v>
      </c>
      <c r="I2168" s="16">
        <f t="shared" si="168"/>
        <v>3.0460490951441425E-3</v>
      </c>
      <c r="J2168" s="16">
        <f t="shared" si="169"/>
        <v>1.0030460490951441</v>
      </c>
      <c r="K2168" s="16">
        <f t="shared" si="170"/>
        <v>57.944210526315771</v>
      </c>
      <c r="L2168" s="16">
        <f t="shared" si="166"/>
        <v>59.904897959183678</v>
      </c>
      <c r="M2168" s="25" t="str">
        <f t="shared" si="167"/>
        <v>HOLD</v>
      </c>
    </row>
    <row r="2169" spans="2:13">
      <c r="B2169" s="3">
        <v>45201</v>
      </c>
      <c r="C2169" s="5">
        <v>55.48</v>
      </c>
      <c r="D2169" s="5">
        <v>55.91</v>
      </c>
      <c r="E2169" s="5">
        <v>56.01</v>
      </c>
      <c r="F2169" s="5">
        <v>55.08</v>
      </c>
      <c r="G2169" s="18" t="s">
        <v>151</v>
      </c>
      <c r="H2169" s="2">
        <v>-8.8999999999999999E-3</v>
      </c>
      <c r="I2169" s="16">
        <f t="shared" si="168"/>
        <v>-8.9317613433369074E-3</v>
      </c>
      <c r="J2169" s="16">
        <f t="shared" si="169"/>
        <v>0.99106823865666305</v>
      </c>
      <c r="K2169" s="16">
        <f t="shared" si="170"/>
        <v>57.768947368421045</v>
      </c>
      <c r="L2169" s="16">
        <f t="shared" ref="L2169:L2232" si="171">AVERAGE(C2120:C2168)</f>
        <v>59.773061224489801</v>
      </c>
      <c r="M2169" s="25" t="str">
        <f t="shared" ref="M2169:M2232" si="172">IF(AND(K2169&gt;L2169,K2168&lt;=L2168),"BUY",IF(AND(K2169&lt;L2169,K2168&gt;=L2168),"SELL","HOLD"))</f>
        <v>HOLD</v>
      </c>
    </row>
    <row r="2170" spans="2:13">
      <c r="B2170" s="3">
        <v>45202</v>
      </c>
      <c r="C2170" s="5">
        <v>54.88</v>
      </c>
      <c r="D2170" s="5">
        <v>55.16</v>
      </c>
      <c r="E2170" s="5">
        <v>55.42</v>
      </c>
      <c r="F2170" s="5">
        <v>54.78</v>
      </c>
      <c r="G2170" s="18" t="s">
        <v>318</v>
      </c>
      <c r="H2170" s="2">
        <v>-1.0800000000000001E-2</v>
      </c>
      <c r="I2170" s="16">
        <f t="shared" si="168"/>
        <v>-1.0814708002883821E-2</v>
      </c>
      <c r="J2170" s="16">
        <f t="shared" si="169"/>
        <v>0.98918529199711613</v>
      </c>
      <c r="K2170" s="16">
        <f t="shared" si="170"/>
        <v>57.593157894736841</v>
      </c>
      <c r="L2170" s="16">
        <f t="shared" si="171"/>
        <v>59.630612244897954</v>
      </c>
      <c r="M2170" s="25" t="str">
        <f t="shared" si="172"/>
        <v>HOLD</v>
      </c>
    </row>
    <row r="2171" spans="2:13">
      <c r="B2171" s="3">
        <v>45203</v>
      </c>
      <c r="C2171" s="5">
        <v>55.04</v>
      </c>
      <c r="D2171" s="5">
        <v>54.89</v>
      </c>
      <c r="E2171" s="5">
        <v>55.28</v>
      </c>
      <c r="F2171" s="5">
        <v>54.71</v>
      </c>
      <c r="G2171" s="18" t="s">
        <v>26</v>
      </c>
      <c r="H2171" s="2">
        <v>2.8999999999999998E-3</v>
      </c>
      <c r="I2171" s="16">
        <f t="shared" si="168"/>
        <v>2.9154518950436693E-3</v>
      </c>
      <c r="J2171" s="16">
        <f t="shared" si="169"/>
        <v>1.0029154518950436</v>
      </c>
      <c r="K2171" s="16">
        <f t="shared" si="170"/>
        <v>57.387894736842114</v>
      </c>
      <c r="L2171" s="16">
        <f t="shared" si="171"/>
        <v>59.48020408163265</v>
      </c>
      <c r="M2171" s="25" t="str">
        <f t="shared" si="172"/>
        <v>HOLD</v>
      </c>
    </row>
    <row r="2172" spans="2:13">
      <c r="B2172" s="3">
        <v>45204</v>
      </c>
      <c r="C2172" s="5">
        <v>52.38</v>
      </c>
      <c r="D2172" s="5">
        <v>54.74</v>
      </c>
      <c r="E2172" s="5">
        <v>54.95</v>
      </c>
      <c r="F2172" s="5">
        <v>52.24</v>
      </c>
      <c r="G2172" s="18" t="s">
        <v>317</v>
      </c>
      <c r="H2172" s="2">
        <v>-4.8300000000000003E-2</v>
      </c>
      <c r="I2172" s="16">
        <f t="shared" si="168"/>
        <v>-4.8328488372092963E-2</v>
      </c>
      <c r="J2172" s="16">
        <f t="shared" si="169"/>
        <v>0.95167151162790709</v>
      </c>
      <c r="K2172" s="16">
        <f t="shared" si="170"/>
        <v>57.214736842105275</v>
      </c>
      <c r="L2172" s="16">
        <f t="shared" si="171"/>
        <v>59.316734693877542</v>
      </c>
      <c r="M2172" s="25" t="str">
        <f t="shared" si="172"/>
        <v>HOLD</v>
      </c>
    </row>
    <row r="2173" spans="2:13">
      <c r="B2173" s="3">
        <v>45205</v>
      </c>
      <c r="C2173" s="5">
        <v>53.14</v>
      </c>
      <c r="D2173" s="5">
        <v>52.04</v>
      </c>
      <c r="E2173" s="5">
        <v>53.29</v>
      </c>
      <c r="F2173" s="5">
        <v>51.55</v>
      </c>
      <c r="G2173" s="18" t="s">
        <v>316</v>
      </c>
      <c r="H2173" s="2">
        <v>1.4500000000000001E-2</v>
      </c>
      <c r="I2173" s="16">
        <f t="shared" si="168"/>
        <v>1.4509354715540244E-2</v>
      </c>
      <c r="J2173" s="16">
        <f t="shared" si="169"/>
        <v>1.0145093547155402</v>
      </c>
      <c r="K2173" s="16">
        <f t="shared" si="170"/>
        <v>56.901578947368442</v>
      </c>
      <c r="L2173" s="16">
        <f t="shared" si="171"/>
        <v>59.111428571428576</v>
      </c>
      <c r="M2173" s="25" t="str">
        <f t="shared" si="172"/>
        <v>HOLD</v>
      </c>
    </row>
    <row r="2174" spans="2:13">
      <c r="B2174" s="3">
        <v>45208</v>
      </c>
      <c r="C2174" s="5">
        <v>52.88</v>
      </c>
      <c r="D2174" s="5">
        <v>52.96</v>
      </c>
      <c r="E2174" s="5">
        <v>53.15</v>
      </c>
      <c r="F2174" s="5">
        <v>52.11</v>
      </c>
      <c r="G2174" s="18" t="s">
        <v>315</v>
      </c>
      <c r="H2174" s="2">
        <v>-4.8999999999999998E-3</v>
      </c>
      <c r="I2174" s="16">
        <f t="shared" si="168"/>
        <v>-4.8927361686111779E-3</v>
      </c>
      <c r="J2174" s="16">
        <f t="shared" si="169"/>
        <v>0.99510726383138881</v>
      </c>
      <c r="K2174" s="16">
        <f t="shared" si="170"/>
        <v>56.59947368421053</v>
      </c>
      <c r="L2174" s="16">
        <f t="shared" si="171"/>
        <v>58.920816326530613</v>
      </c>
      <c r="M2174" s="25" t="str">
        <f t="shared" si="172"/>
        <v>HOLD</v>
      </c>
    </row>
    <row r="2175" spans="2:13">
      <c r="B2175" s="3">
        <v>45209</v>
      </c>
      <c r="C2175" s="5">
        <v>54.03</v>
      </c>
      <c r="D2175" s="5">
        <v>54.13</v>
      </c>
      <c r="E2175" s="5">
        <v>54.33</v>
      </c>
      <c r="F2175" s="5">
        <v>53.56</v>
      </c>
      <c r="G2175" s="18" t="s">
        <v>314</v>
      </c>
      <c r="H2175" s="2">
        <v>2.1700000000000001E-2</v>
      </c>
      <c r="I2175" s="16">
        <f t="shared" si="168"/>
        <v>2.1747352496217825E-2</v>
      </c>
      <c r="J2175" s="16">
        <f t="shared" si="169"/>
        <v>1.0217473524962177</v>
      </c>
      <c r="K2175" s="16">
        <f t="shared" si="170"/>
        <v>56.31421052631579</v>
      </c>
      <c r="L2175" s="16">
        <f t="shared" si="171"/>
        <v>58.736122448979586</v>
      </c>
      <c r="M2175" s="25" t="str">
        <f t="shared" si="172"/>
        <v>HOLD</v>
      </c>
    </row>
    <row r="2176" spans="2:13">
      <c r="B2176" s="3">
        <v>45210</v>
      </c>
      <c r="C2176" s="5">
        <v>53.71</v>
      </c>
      <c r="D2176" s="5">
        <v>54.22</v>
      </c>
      <c r="E2176" s="5">
        <v>54.28</v>
      </c>
      <c r="F2176" s="5">
        <v>53.02</v>
      </c>
      <c r="G2176" s="18" t="s">
        <v>313</v>
      </c>
      <c r="H2176" s="2">
        <v>-5.8999999999999999E-3</v>
      </c>
      <c r="I2176" s="16">
        <f t="shared" si="168"/>
        <v>-5.9226355728299145E-3</v>
      </c>
      <c r="J2176" s="16">
        <f t="shared" si="169"/>
        <v>0.9940773644271701</v>
      </c>
      <c r="K2176" s="16">
        <f t="shared" si="170"/>
        <v>56.082105263157892</v>
      </c>
      <c r="L2176" s="16">
        <f t="shared" si="171"/>
        <v>58.578163265306124</v>
      </c>
      <c r="M2176" s="25" t="str">
        <f t="shared" si="172"/>
        <v>HOLD</v>
      </c>
    </row>
    <row r="2177" spans="2:13">
      <c r="B2177" s="3">
        <v>45211</v>
      </c>
      <c r="C2177" s="5">
        <v>52.81</v>
      </c>
      <c r="D2177" s="5">
        <v>53.76</v>
      </c>
      <c r="E2177" s="5">
        <v>53.83</v>
      </c>
      <c r="F2177" s="5">
        <v>52.43</v>
      </c>
      <c r="G2177" s="18" t="s">
        <v>312</v>
      </c>
      <c r="H2177" s="2">
        <v>-1.6799999999999999E-2</v>
      </c>
      <c r="I2177" s="16">
        <f t="shared" si="168"/>
        <v>-1.6756656116179457E-2</v>
      </c>
      <c r="J2177" s="16">
        <f t="shared" si="169"/>
        <v>0.98324334388382051</v>
      </c>
      <c r="K2177" s="16">
        <f t="shared" si="170"/>
        <v>55.832105263157892</v>
      </c>
      <c r="L2177" s="16">
        <f t="shared" si="171"/>
        <v>58.409795918367358</v>
      </c>
      <c r="M2177" s="25" t="str">
        <f t="shared" si="172"/>
        <v>HOLD</v>
      </c>
    </row>
    <row r="2178" spans="2:13">
      <c r="B2178" s="3">
        <v>45212</v>
      </c>
      <c r="C2178" s="5">
        <v>52.89</v>
      </c>
      <c r="D2178" s="5">
        <v>52.74</v>
      </c>
      <c r="E2178" s="5">
        <v>53.42</v>
      </c>
      <c r="F2178" s="5">
        <v>52.64</v>
      </c>
      <c r="G2178" s="18" t="s">
        <v>9</v>
      </c>
      <c r="H2178" s="2">
        <v>1.5E-3</v>
      </c>
      <c r="I2178" s="16">
        <f t="shared" si="168"/>
        <v>1.5148646089755404E-3</v>
      </c>
      <c r="J2178" s="16">
        <f t="shared" si="169"/>
        <v>1.0015148646089755</v>
      </c>
      <c r="K2178" s="16">
        <f t="shared" si="170"/>
        <v>55.562105263157896</v>
      </c>
      <c r="L2178" s="16">
        <f t="shared" si="171"/>
        <v>58.229591836734706</v>
      </c>
      <c r="M2178" s="25" t="str">
        <f t="shared" si="172"/>
        <v>HOLD</v>
      </c>
    </row>
    <row r="2179" spans="2:13">
      <c r="B2179" s="3">
        <v>45215</v>
      </c>
      <c r="C2179" s="5">
        <v>53.43</v>
      </c>
      <c r="D2179" s="5">
        <v>53.02</v>
      </c>
      <c r="E2179" s="5">
        <v>53.56</v>
      </c>
      <c r="F2179" s="5">
        <v>52.84</v>
      </c>
      <c r="G2179" s="18" t="s">
        <v>311</v>
      </c>
      <c r="H2179" s="2">
        <v>1.0200000000000001E-2</v>
      </c>
      <c r="I2179" s="16">
        <f t="shared" si="168"/>
        <v>1.0209869540555855E-2</v>
      </c>
      <c r="J2179" s="16">
        <f t="shared" si="169"/>
        <v>1.0102098695405559</v>
      </c>
      <c r="K2179" s="16">
        <f t="shared" si="170"/>
        <v>55.277368421052628</v>
      </c>
      <c r="L2179" s="16">
        <f t="shared" si="171"/>
        <v>58.070000000000007</v>
      </c>
      <c r="M2179" s="25" t="str">
        <f t="shared" si="172"/>
        <v>HOLD</v>
      </c>
    </row>
    <row r="2180" spans="2:13">
      <c r="B2180" s="3">
        <v>45216</v>
      </c>
      <c r="C2180" s="5">
        <v>54.07</v>
      </c>
      <c r="D2180" s="5">
        <v>53.31</v>
      </c>
      <c r="E2180" s="5">
        <v>54.1</v>
      </c>
      <c r="F2180" s="5">
        <v>53.21</v>
      </c>
      <c r="G2180" s="18" t="s">
        <v>310</v>
      </c>
      <c r="H2180" s="2">
        <v>1.2E-2</v>
      </c>
      <c r="I2180" s="16">
        <f t="shared" si="168"/>
        <v>1.1978289350552136E-2</v>
      </c>
      <c r="J2180" s="16">
        <f t="shared" si="169"/>
        <v>1.0119782893505522</v>
      </c>
      <c r="K2180" s="16">
        <f t="shared" si="170"/>
        <v>55.027368421052628</v>
      </c>
      <c r="L2180" s="16">
        <f t="shared" si="171"/>
        <v>57.911632653061218</v>
      </c>
      <c r="M2180" s="25" t="str">
        <f t="shared" si="172"/>
        <v>HOLD</v>
      </c>
    </row>
    <row r="2181" spans="2:13">
      <c r="B2181" s="3">
        <v>45217</v>
      </c>
      <c r="C2181" s="5">
        <v>54.05</v>
      </c>
      <c r="D2181" s="5">
        <v>54.1</v>
      </c>
      <c r="E2181" s="5">
        <v>54.53</v>
      </c>
      <c r="F2181" s="5">
        <v>53.92</v>
      </c>
      <c r="G2181" s="18" t="s">
        <v>309</v>
      </c>
      <c r="H2181" s="2">
        <v>-4.0000000000000002E-4</v>
      </c>
      <c r="I2181" s="16">
        <f t="shared" si="168"/>
        <v>-3.6989088218981187E-4</v>
      </c>
      <c r="J2181" s="16">
        <f t="shared" si="169"/>
        <v>0.99963010911781014</v>
      </c>
      <c r="K2181" s="16">
        <f t="shared" si="170"/>
        <v>54.797368421052624</v>
      </c>
      <c r="L2181" s="16">
        <f t="shared" si="171"/>
        <v>57.771836734693871</v>
      </c>
      <c r="M2181" s="25" t="str">
        <f t="shared" si="172"/>
        <v>HOLD</v>
      </c>
    </row>
    <row r="2182" spans="2:13">
      <c r="B2182" s="3">
        <v>45218</v>
      </c>
      <c r="C2182" s="5">
        <v>54.35</v>
      </c>
      <c r="D2182" s="5">
        <v>54.16</v>
      </c>
      <c r="E2182" s="5">
        <v>54.76</v>
      </c>
      <c r="F2182" s="5">
        <v>53.86</v>
      </c>
      <c r="G2182" s="18" t="s">
        <v>279</v>
      </c>
      <c r="H2182" s="2">
        <v>5.5999999999999999E-3</v>
      </c>
      <c r="I2182" s="16">
        <f t="shared" si="168"/>
        <v>5.5504162812211703E-3</v>
      </c>
      <c r="J2182" s="16">
        <f t="shared" si="169"/>
        <v>1.0055504162812212</v>
      </c>
      <c r="K2182" s="16">
        <f t="shared" si="170"/>
        <v>54.613684210526323</v>
      </c>
      <c r="L2182" s="16">
        <f t="shared" si="171"/>
        <v>57.628775510204093</v>
      </c>
      <c r="M2182" s="25" t="str">
        <f t="shared" si="172"/>
        <v>HOLD</v>
      </c>
    </row>
    <row r="2183" spans="2:13">
      <c r="B2183" s="3">
        <v>45219</v>
      </c>
      <c r="C2183" s="5">
        <v>54.57</v>
      </c>
      <c r="D2183" s="5">
        <v>54.53</v>
      </c>
      <c r="E2183" s="5">
        <v>55.02</v>
      </c>
      <c r="F2183" s="5">
        <v>54.44</v>
      </c>
      <c r="G2183" s="18" t="s">
        <v>177</v>
      </c>
      <c r="H2183" s="2">
        <v>4.0000000000000001E-3</v>
      </c>
      <c r="I2183" s="16">
        <f t="shared" si="168"/>
        <v>4.0478380864765202E-3</v>
      </c>
      <c r="J2183" s="16">
        <f t="shared" si="169"/>
        <v>1.0040478380864766</v>
      </c>
      <c r="K2183" s="16">
        <f t="shared" si="170"/>
        <v>54.44263157894737</v>
      </c>
      <c r="L2183" s="16">
        <f t="shared" si="171"/>
        <v>57.494693877551022</v>
      </c>
      <c r="M2183" s="25" t="str">
        <f t="shared" si="172"/>
        <v>HOLD</v>
      </c>
    </row>
    <row r="2184" spans="2:13">
      <c r="B2184" s="3">
        <v>45222</v>
      </c>
      <c r="C2184" s="5">
        <v>54.08</v>
      </c>
      <c r="D2184" s="5">
        <v>54.38</v>
      </c>
      <c r="E2184" s="5">
        <v>54.89</v>
      </c>
      <c r="F2184" s="5">
        <v>54.04</v>
      </c>
      <c r="G2184" s="18" t="s">
        <v>207</v>
      </c>
      <c r="H2184" s="2">
        <v>-8.9999999999999993E-3</v>
      </c>
      <c r="I2184" s="16">
        <f t="shared" si="168"/>
        <v>-8.9792926516401323E-3</v>
      </c>
      <c r="J2184" s="16">
        <f t="shared" si="169"/>
        <v>0.9910207073483599</v>
      </c>
      <c r="K2184" s="16">
        <f t="shared" si="170"/>
        <v>54.314736842105262</v>
      </c>
      <c r="L2184" s="16">
        <f t="shared" si="171"/>
        <v>57.360000000000014</v>
      </c>
      <c r="M2184" s="25" t="str">
        <f t="shared" si="172"/>
        <v>HOLD</v>
      </c>
    </row>
    <row r="2185" spans="2:13">
      <c r="B2185" s="3">
        <v>45223</v>
      </c>
      <c r="C2185" s="5">
        <v>55.64</v>
      </c>
      <c r="D2185" s="5">
        <v>55.65</v>
      </c>
      <c r="E2185" s="5">
        <v>56.17</v>
      </c>
      <c r="F2185" s="5">
        <v>55.3</v>
      </c>
      <c r="G2185" s="18" t="s">
        <v>308</v>
      </c>
      <c r="H2185" s="2">
        <v>2.8799999999999999E-2</v>
      </c>
      <c r="I2185" s="16">
        <f t="shared" ref="I2185:I2248" si="173">(C2185-C2184)/C2184</f>
        <v>2.8846153846153889E-2</v>
      </c>
      <c r="J2185" s="16">
        <f t="shared" ref="J2185:J2248" si="174">C2185/C2184</f>
        <v>1.028846153846154</v>
      </c>
      <c r="K2185" s="16">
        <f t="shared" si="170"/>
        <v>54.185789473684224</v>
      </c>
      <c r="L2185" s="16">
        <f t="shared" si="171"/>
        <v>57.221224489795929</v>
      </c>
      <c r="M2185" s="25" t="str">
        <f t="shared" si="172"/>
        <v>HOLD</v>
      </c>
    </row>
    <row r="2186" spans="2:13">
      <c r="B2186" s="3">
        <v>45224</v>
      </c>
      <c r="C2186" s="5">
        <v>56.12</v>
      </c>
      <c r="D2186" s="5">
        <v>55.76</v>
      </c>
      <c r="E2186" s="5">
        <v>56.22</v>
      </c>
      <c r="F2186" s="5">
        <v>55.56</v>
      </c>
      <c r="G2186" s="18" t="s">
        <v>307</v>
      </c>
      <c r="H2186" s="2">
        <v>8.6E-3</v>
      </c>
      <c r="I2186" s="16">
        <f t="shared" si="173"/>
        <v>8.6268871315599727E-3</v>
      </c>
      <c r="J2186" s="16">
        <f t="shared" si="174"/>
        <v>1.00862688713156</v>
      </c>
      <c r="K2186" s="16">
        <f t="shared" si="170"/>
        <v>54.169473684210537</v>
      </c>
      <c r="L2186" s="16">
        <f t="shared" si="171"/>
        <v>57.122653061224497</v>
      </c>
      <c r="M2186" s="25" t="str">
        <f t="shared" si="172"/>
        <v>HOLD</v>
      </c>
    </row>
    <row r="2187" spans="2:13">
      <c r="B2187" s="3">
        <v>45225</v>
      </c>
      <c r="C2187" s="5">
        <v>55.78</v>
      </c>
      <c r="D2187" s="5">
        <v>56.37</v>
      </c>
      <c r="E2187" s="5">
        <v>56.63</v>
      </c>
      <c r="F2187" s="5">
        <v>55.72</v>
      </c>
      <c r="G2187" s="18" t="s">
        <v>306</v>
      </c>
      <c r="H2187" s="2">
        <v>-6.1000000000000004E-3</v>
      </c>
      <c r="I2187" s="16">
        <f t="shared" si="173"/>
        <v>-6.0584461867426286E-3</v>
      </c>
      <c r="J2187" s="16">
        <f t="shared" si="174"/>
        <v>0.99394155381325733</v>
      </c>
      <c r="K2187" s="16">
        <f t="shared" si="170"/>
        <v>54.18578947368421</v>
      </c>
      <c r="L2187" s="16">
        <f t="shared" si="171"/>
        <v>57.033673469387764</v>
      </c>
      <c r="M2187" s="25" t="str">
        <f t="shared" si="172"/>
        <v>HOLD</v>
      </c>
    </row>
    <row r="2188" spans="2:13">
      <c r="B2188" s="3">
        <v>45226</v>
      </c>
      <c r="C2188" s="5">
        <v>55.24</v>
      </c>
      <c r="D2188" s="5">
        <v>55.55</v>
      </c>
      <c r="E2188" s="5">
        <v>56.13</v>
      </c>
      <c r="F2188" s="5">
        <v>55.1</v>
      </c>
      <c r="G2188" s="18" t="s">
        <v>305</v>
      </c>
      <c r="H2188" s="2">
        <v>-9.7000000000000003E-3</v>
      </c>
      <c r="I2188" s="16">
        <f t="shared" si="173"/>
        <v>-9.6808892076012745E-3</v>
      </c>
      <c r="J2188" s="16">
        <f t="shared" si="174"/>
        <v>0.99031911079239876</v>
      </c>
      <c r="K2188" s="16">
        <f t="shared" si="170"/>
        <v>54.175263157894747</v>
      </c>
      <c r="L2188" s="16">
        <f t="shared" si="171"/>
        <v>56.935102040816339</v>
      </c>
      <c r="M2188" s="25" t="str">
        <f t="shared" si="172"/>
        <v>HOLD</v>
      </c>
    </row>
    <row r="2189" spans="2:13">
      <c r="B2189" s="3">
        <v>45229</v>
      </c>
      <c r="C2189" s="5">
        <v>56.15</v>
      </c>
      <c r="D2189" s="5">
        <v>55.43</v>
      </c>
      <c r="E2189" s="5">
        <v>56.28</v>
      </c>
      <c r="F2189" s="5">
        <v>55.42</v>
      </c>
      <c r="G2189" s="18" t="s">
        <v>304</v>
      </c>
      <c r="H2189" s="2">
        <v>1.6500000000000001E-2</v>
      </c>
      <c r="I2189" s="16">
        <f t="shared" si="173"/>
        <v>1.6473569876900733E-2</v>
      </c>
      <c r="J2189" s="16">
        <f t="shared" si="174"/>
        <v>1.0164735698769007</v>
      </c>
      <c r="K2189" s="16">
        <f t="shared" si="170"/>
        <v>54.162631578947362</v>
      </c>
      <c r="L2189" s="16">
        <f t="shared" si="171"/>
        <v>56.818571428571438</v>
      </c>
      <c r="M2189" s="25" t="str">
        <f t="shared" si="172"/>
        <v>HOLD</v>
      </c>
    </row>
    <row r="2190" spans="2:13">
      <c r="B2190" s="3">
        <v>45230</v>
      </c>
      <c r="C2190" s="5">
        <v>56.49</v>
      </c>
      <c r="D2190" s="5">
        <v>56.57</v>
      </c>
      <c r="E2190" s="5">
        <v>56.72</v>
      </c>
      <c r="F2190" s="5">
        <v>56.15</v>
      </c>
      <c r="G2190" s="18" t="s">
        <v>303</v>
      </c>
      <c r="H2190" s="2">
        <v>6.1000000000000004E-3</v>
      </c>
      <c r="I2190" s="16">
        <f t="shared" si="173"/>
        <v>6.0552092609083424E-3</v>
      </c>
      <c r="J2190" s="16">
        <f t="shared" si="174"/>
        <v>1.0060552092609083</v>
      </c>
      <c r="K2190" s="16">
        <f t="shared" si="170"/>
        <v>54.229473684210532</v>
      </c>
      <c r="L2190" s="16">
        <f t="shared" si="171"/>
        <v>56.731224489795927</v>
      </c>
      <c r="M2190" s="25" t="str">
        <f t="shared" si="172"/>
        <v>HOLD</v>
      </c>
    </row>
    <row r="2191" spans="2:13">
      <c r="B2191" s="3">
        <v>45231</v>
      </c>
      <c r="C2191" s="5">
        <v>56.44</v>
      </c>
      <c r="D2191" s="5">
        <v>56.8</v>
      </c>
      <c r="E2191" s="5">
        <v>56.88</v>
      </c>
      <c r="F2191" s="5">
        <v>56.26</v>
      </c>
      <c r="G2191" s="18" t="s">
        <v>230</v>
      </c>
      <c r="H2191" s="2">
        <v>-8.9999999999999998E-4</v>
      </c>
      <c r="I2191" s="16">
        <f t="shared" si="173"/>
        <v>-8.8511240927605344E-4</v>
      </c>
      <c r="J2191" s="16">
        <f t="shared" si="174"/>
        <v>0.99911488759072398</v>
      </c>
      <c r="K2191" s="16">
        <f t="shared" si="170"/>
        <v>54.305789473684207</v>
      </c>
      <c r="L2191" s="16">
        <f t="shared" si="171"/>
        <v>56.658367346938782</v>
      </c>
      <c r="M2191" s="25" t="str">
        <f t="shared" si="172"/>
        <v>HOLD</v>
      </c>
    </row>
    <row r="2192" spans="2:13">
      <c r="B2192" s="3">
        <v>45232</v>
      </c>
      <c r="C2192" s="5">
        <v>57.09</v>
      </c>
      <c r="D2192" s="5">
        <v>56.5</v>
      </c>
      <c r="E2192" s="5">
        <v>57.15</v>
      </c>
      <c r="F2192" s="5">
        <v>56.35</v>
      </c>
      <c r="G2192" s="18" t="s">
        <v>302</v>
      </c>
      <c r="H2192" s="2">
        <v>1.15E-2</v>
      </c>
      <c r="I2192" s="16">
        <f t="shared" si="173"/>
        <v>1.1516654854713071E-2</v>
      </c>
      <c r="J2192" s="16">
        <f t="shared" si="174"/>
        <v>1.011516654854713</v>
      </c>
      <c r="K2192" s="16">
        <f t="shared" si="170"/>
        <v>54.519473684210531</v>
      </c>
      <c r="L2192" s="16">
        <f t="shared" si="171"/>
        <v>56.580204081632658</v>
      </c>
      <c r="M2192" s="25" t="str">
        <f t="shared" si="172"/>
        <v>HOLD</v>
      </c>
    </row>
    <row r="2193" spans="2:13">
      <c r="B2193" s="3">
        <v>45233</v>
      </c>
      <c r="C2193" s="5">
        <v>56.74</v>
      </c>
      <c r="D2193" s="5">
        <v>57.4</v>
      </c>
      <c r="E2193" s="5">
        <v>57.59</v>
      </c>
      <c r="F2193" s="5">
        <v>56.7</v>
      </c>
      <c r="G2193" s="18" t="s">
        <v>301</v>
      </c>
      <c r="H2193" s="2">
        <v>-6.1000000000000004E-3</v>
      </c>
      <c r="I2193" s="16">
        <f t="shared" si="173"/>
        <v>-6.130670870555288E-3</v>
      </c>
      <c r="J2193" s="16">
        <f t="shared" si="174"/>
        <v>0.9938693291294447</v>
      </c>
      <c r="K2193" s="16">
        <f t="shared" si="170"/>
        <v>54.727368421052631</v>
      </c>
      <c r="L2193" s="16">
        <f t="shared" si="171"/>
        <v>56.518571428571434</v>
      </c>
      <c r="M2193" s="25" t="str">
        <f t="shared" si="172"/>
        <v>HOLD</v>
      </c>
    </row>
    <row r="2194" spans="2:13">
      <c r="B2194" s="3">
        <v>45236</v>
      </c>
      <c r="C2194" s="5">
        <v>56.97</v>
      </c>
      <c r="D2194" s="5">
        <v>56.78</v>
      </c>
      <c r="E2194" s="5">
        <v>57.28</v>
      </c>
      <c r="F2194" s="5">
        <v>56.74</v>
      </c>
      <c r="G2194" s="18" t="s">
        <v>300</v>
      </c>
      <c r="H2194" s="2">
        <v>4.1000000000000003E-3</v>
      </c>
      <c r="I2194" s="16">
        <f t="shared" si="173"/>
        <v>4.0535777229467199E-3</v>
      </c>
      <c r="J2194" s="16">
        <f t="shared" si="174"/>
        <v>1.0040535777229467</v>
      </c>
      <c r="K2194" s="16">
        <f t="shared" si="170"/>
        <v>54.930526315789464</v>
      </c>
      <c r="L2194" s="16">
        <f t="shared" si="171"/>
        <v>56.444081632653059</v>
      </c>
      <c r="M2194" s="25" t="str">
        <f t="shared" si="172"/>
        <v>HOLD</v>
      </c>
    </row>
    <row r="2195" spans="2:13">
      <c r="B2195" s="3">
        <v>45237</v>
      </c>
      <c r="C2195" s="5">
        <v>57.18</v>
      </c>
      <c r="D2195" s="5">
        <v>56.92</v>
      </c>
      <c r="E2195" s="5">
        <v>57.4</v>
      </c>
      <c r="F2195" s="5">
        <v>56.73</v>
      </c>
      <c r="G2195" s="18" t="s">
        <v>299</v>
      </c>
      <c r="H2195" s="2">
        <v>3.7000000000000002E-3</v>
      </c>
      <c r="I2195" s="16">
        <f t="shared" si="173"/>
        <v>3.6861506055819002E-3</v>
      </c>
      <c r="J2195" s="16">
        <f t="shared" si="174"/>
        <v>1.0036861506055819</v>
      </c>
      <c r="K2195" s="16">
        <f t="shared" si="170"/>
        <v>55.08526315789473</v>
      </c>
      <c r="L2195" s="16">
        <f t="shared" si="171"/>
        <v>56.370816326530601</v>
      </c>
      <c r="M2195" s="25" t="str">
        <f t="shared" si="172"/>
        <v>HOLD</v>
      </c>
    </row>
    <row r="2196" spans="2:13">
      <c r="B2196" s="3">
        <v>45238</v>
      </c>
      <c r="C2196" s="5">
        <v>57.09</v>
      </c>
      <c r="D2196" s="5">
        <v>57.32</v>
      </c>
      <c r="E2196" s="5">
        <v>57.47</v>
      </c>
      <c r="F2196" s="5">
        <v>56.92</v>
      </c>
      <c r="G2196" s="18" t="s">
        <v>289</v>
      </c>
      <c r="H2196" s="2">
        <v>-1.6000000000000001E-3</v>
      </c>
      <c r="I2196" s="16">
        <f t="shared" si="173"/>
        <v>-1.573976915005182E-3</v>
      </c>
      <c r="J2196" s="16">
        <f t="shared" si="174"/>
        <v>0.99842602308499484</v>
      </c>
      <c r="K2196" s="16">
        <f t="shared" si="170"/>
        <v>55.267894736842102</v>
      </c>
      <c r="L2196" s="16">
        <f t="shared" si="171"/>
        <v>56.303061224489788</v>
      </c>
      <c r="M2196" s="25" t="str">
        <f t="shared" si="172"/>
        <v>HOLD</v>
      </c>
    </row>
    <row r="2197" spans="2:13">
      <c r="B2197" s="3">
        <v>45239</v>
      </c>
      <c r="C2197" s="5">
        <v>56.66</v>
      </c>
      <c r="D2197" s="5">
        <v>57.03</v>
      </c>
      <c r="E2197" s="5">
        <v>57.14</v>
      </c>
      <c r="F2197" s="5">
        <v>56.37</v>
      </c>
      <c r="G2197" s="18" t="s">
        <v>298</v>
      </c>
      <c r="H2197" s="2">
        <v>-7.4999999999999997E-3</v>
      </c>
      <c r="I2197" s="16">
        <f t="shared" si="173"/>
        <v>-7.5319670695394433E-3</v>
      </c>
      <c r="J2197" s="16">
        <f t="shared" si="174"/>
        <v>0.9924680329304606</v>
      </c>
      <c r="K2197" s="16">
        <f t="shared" si="170"/>
        <v>55.493157894736839</v>
      </c>
      <c r="L2197" s="16">
        <f t="shared" si="171"/>
        <v>56.234081632653059</v>
      </c>
      <c r="M2197" s="25" t="str">
        <f t="shared" si="172"/>
        <v>HOLD</v>
      </c>
    </row>
    <row r="2198" spans="2:13">
      <c r="B2198" s="3">
        <v>45240</v>
      </c>
      <c r="C2198" s="5">
        <v>56.72</v>
      </c>
      <c r="D2198" s="5">
        <v>56.87</v>
      </c>
      <c r="E2198" s="5">
        <v>56.92</v>
      </c>
      <c r="F2198" s="5">
        <v>56.06</v>
      </c>
      <c r="G2198" s="18" t="s">
        <v>297</v>
      </c>
      <c r="H2198" s="2">
        <v>1.1000000000000001E-3</v>
      </c>
      <c r="I2198" s="16">
        <f t="shared" si="173"/>
        <v>1.0589481115425745E-3</v>
      </c>
      <c r="J2198" s="16">
        <f t="shared" si="174"/>
        <v>1.0010589481115426</v>
      </c>
      <c r="K2198" s="16">
        <f t="shared" si="170"/>
        <v>55.691578947368427</v>
      </c>
      <c r="L2198" s="16">
        <f t="shared" si="171"/>
        <v>56.169387755102029</v>
      </c>
      <c r="M2198" s="25" t="str">
        <f t="shared" si="172"/>
        <v>HOLD</v>
      </c>
    </row>
    <row r="2199" spans="2:13">
      <c r="B2199" s="3">
        <v>45243</v>
      </c>
      <c r="C2199" s="5">
        <v>56.93</v>
      </c>
      <c r="D2199" s="5">
        <v>56.62</v>
      </c>
      <c r="E2199" s="5">
        <v>57.1</v>
      </c>
      <c r="F2199" s="5">
        <v>56.6</v>
      </c>
      <c r="G2199" s="18" t="s">
        <v>296</v>
      </c>
      <c r="H2199" s="2">
        <v>3.7000000000000002E-3</v>
      </c>
      <c r="I2199" s="16">
        <f t="shared" si="173"/>
        <v>3.7023977433004382E-3</v>
      </c>
      <c r="J2199" s="16">
        <f t="shared" si="174"/>
        <v>1.0037023977433004</v>
      </c>
      <c r="K2199" s="16">
        <f t="shared" si="170"/>
        <v>55.864736842105266</v>
      </c>
      <c r="L2199" s="16">
        <f t="shared" si="171"/>
        <v>56.116530612244887</v>
      </c>
      <c r="M2199" s="25" t="str">
        <f t="shared" si="172"/>
        <v>HOLD</v>
      </c>
    </row>
    <row r="2200" spans="2:13">
      <c r="B2200" s="3">
        <v>45244</v>
      </c>
      <c r="C2200" s="5">
        <v>57.1</v>
      </c>
      <c r="D2200" s="5">
        <v>57.02</v>
      </c>
      <c r="E2200" s="5">
        <v>57.24</v>
      </c>
      <c r="F2200" s="5">
        <v>56.81</v>
      </c>
      <c r="G2200" s="18" t="s">
        <v>295</v>
      </c>
      <c r="H2200" s="2">
        <v>3.0000000000000001E-3</v>
      </c>
      <c r="I2200" s="16">
        <f t="shared" si="173"/>
        <v>2.9861233093272741E-3</v>
      </c>
      <c r="J2200" s="16">
        <f t="shared" si="174"/>
        <v>1.0029861233093273</v>
      </c>
      <c r="K2200" s="16">
        <f t="shared" si="170"/>
        <v>56.015263157894744</v>
      </c>
      <c r="L2200" s="16">
        <f t="shared" si="171"/>
        <v>56.077959183673457</v>
      </c>
      <c r="M2200" s="25" t="str">
        <f t="shared" si="172"/>
        <v>HOLD</v>
      </c>
    </row>
    <row r="2201" spans="2:13">
      <c r="B2201" s="3">
        <v>45245</v>
      </c>
      <c r="C2201" s="5">
        <v>57.21</v>
      </c>
      <c r="D2201" s="5">
        <v>57.3</v>
      </c>
      <c r="E2201" s="5">
        <v>57.33</v>
      </c>
      <c r="F2201" s="5">
        <v>56.75</v>
      </c>
      <c r="G2201" s="18" t="s">
        <v>294</v>
      </c>
      <c r="H2201" s="2">
        <v>1.9E-3</v>
      </c>
      <c r="I2201" s="16">
        <f t="shared" si="173"/>
        <v>1.9264448336252088E-3</v>
      </c>
      <c r="J2201" s="16">
        <f t="shared" si="174"/>
        <v>1.0019264448336251</v>
      </c>
      <c r="K2201" s="16">
        <f t="shared" si="170"/>
        <v>56.175789473684205</v>
      </c>
      <c r="L2201" s="16">
        <f t="shared" si="171"/>
        <v>56.043673469387734</v>
      </c>
      <c r="M2201" s="25" t="str">
        <f t="shared" si="172"/>
        <v>BUY</v>
      </c>
    </row>
    <row r="2202" spans="2:13">
      <c r="B2202" s="3">
        <v>45246</v>
      </c>
      <c r="C2202" s="5">
        <v>57.15</v>
      </c>
      <c r="D2202" s="5">
        <v>57.25</v>
      </c>
      <c r="E2202" s="5">
        <v>57.53</v>
      </c>
      <c r="F2202" s="5">
        <v>56.81</v>
      </c>
      <c r="G2202" s="18" t="s">
        <v>293</v>
      </c>
      <c r="H2202" s="2">
        <v>-1E-3</v>
      </c>
      <c r="I2202" s="16">
        <f t="shared" si="173"/>
        <v>-1.0487676979549427E-3</v>
      </c>
      <c r="J2202" s="16">
        <f t="shared" si="174"/>
        <v>0.99895123230204508</v>
      </c>
      <c r="K2202" s="16">
        <f t="shared" si="170"/>
        <v>56.326315789473689</v>
      </c>
      <c r="L2202" s="16">
        <f t="shared" si="171"/>
        <v>56.020816326530593</v>
      </c>
      <c r="M2202" s="25" t="str">
        <f t="shared" si="172"/>
        <v>HOLD</v>
      </c>
    </row>
    <row r="2203" spans="2:13">
      <c r="B2203" s="3">
        <v>45247</v>
      </c>
      <c r="C2203" s="5">
        <v>57.26</v>
      </c>
      <c r="D2203" s="5">
        <v>57.19</v>
      </c>
      <c r="E2203" s="5">
        <v>57.34</v>
      </c>
      <c r="F2203" s="5">
        <v>56.7</v>
      </c>
      <c r="G2203" s="18" t="s">
        <v>258</v>
      </c>
      <c r="H2203" s="2">
        <v>1.9E-3</v>
      </c>
      <c r="I2203" s="16">
        <f t="shared" si="173"/>
        <v>1.9247594050743558E-3</v>
      </c>
      <c r="J2203" s="16">
        <f t="shared" si="174"/>
        <v>1.0019247594050744</v>
      </c>
      <c r="K2203" s="16">
        <f t="shared" ref="K2203:K2266" si="175">AVERAGE(C2184:C2202)</f>
        <v>56.462105263157895</v>
      </c>
      <c r="L2203" s="16">
        <f t="shared" si="171"/>
        <v>55.996734693877542</v>
      </c>
      <c r="M2203" s="25" t="str">
        <f t="shared" si="172"/>
        <v>HOLD</v>
      </c>
    </row>
    <row r="2204" spans="2:13">
      <c r="B2204" s="3">
        <v>45250</v>
      </c>
      <c r="C2204" s="5">
        <v>57.4</v>
      </c>
      <c r="D2204" s="5">
        <v>57.05</v>
      </c>
      <c r="E2204" s="5">
        <v>57.58</v>
      </c>
      <c r="F2204" s="5">
        <v>56.96</v>
      </c>
      <c r="G2204" s="18" t="s">
        <v>292</v>
      </c>
      <c r="H2204" s="2">
        <v>2.3999999999999998E-3</v>
      </c>
      <c r="I2204" s="16">
        <f t="shared" si="173"/>
        <v>2.4449877750611347E-3</v>
      </c>
      <c r="J2204" s="16">
        <f t="shared" si="174"/>
        <v>1.0024449877750612</v>
      </c>
      <c r="K2204" s="16">
        <f t="shared" si="175"/>
        <v>56.629473684210531</v>
      </c>
      <c r="L2204" s="16">
        <f t="shared" si="171"/>
        <v>55.963673469387743</v>
      </c>
      <c r="M2204" s="25" t="str">
        <f t="shared" si="172"/>
        <v>HOLD</v>
      </c>
    </row>
    <row r="2205" spans="2:13">
      <c r="B2205" s="3">
        <v>45251</v>
      </c>
      <c r="C2205" s="5">
        <v>58.03</v>
      </c>
      <c r="D2205" s="5">
        <v>57.46</v>
      </c>
      <c r="E2205" s="5">
        <v>58.04</v>
      </c>
      <c r="F2205" s="5">
        <v>57.33</v>
      </c>
      <c r="G2205" s="18" t="s">
        <v>291</v>
      </c>
      <c r="H2205" s="2">
        <v>1.0999999999999999E-2</v>
      </c>
      <c r="I2205" s="16">
        <f t="shared" si="173"/>
        <v>1.0975609756097605E-2</v>
      </c>
      <c r="J2205" s="16">
        <f t="shared" si="174"/>
        <v>1.0109756097560976</v>
      </c>
      <c r="K2205" s="16">
        <f t="shared" si="175"/>
        <v>56.722105263157893</v>
      </c>
      <c r="L2205" s="16">
        <f t="shared" si="171"/>
        <v>55.945306122448962</v>
      </c>
      <c r="M2205" s="25" t="str">
        <f t="shared" si="172"/>
        <v>HOLD</v>
      </c>
    </row>
    <row r="2206" spans="2:13">
      <c r="B2206" s="3">
        <v>45252</v>
      </c>
      <c r="C2206" s="5">
        <v>58.42</v>
      </c>
      <c r="D2206" s="5">
        <v>58.26</v>
      </c>
      <c r="E2206" s="5">
        <v>58.53</v>
      </c>
      <c r="F2206" s="5">
        <v>58.13</v>
      </c>
      <c r="G2206" s="18" t="s">
        <v>28</v>
      </c>
      <c r="H2206" s="2">
        <v>6.7000000000000002E-3</v>
      </c>
      <c r="I2206" s="16">
        <f t="shared" si="173"/>
        <v>6.7206617266930991E-3</v>
      </c>
      <c r="J2206" s="16">
        <f t="shared" si="174"/>
        <v>1.0067206617266931</v>
      </c>
      <c r="K2206" s="16">
        <f t="shared" si="175"/>
        <v>56.822631578947373</v>
      </c>
      <c r="L2206" s="16">
        <f t="shared" si="171"/>
        <v>55.936938775510193</v>
      </c>
      <c r="M2206" s="25" t="str">
        <f t="shared" si="172"/>
        <v>HOLD</v>
      </c>
    </row>
    <row r="2207" spans="2:13">
      <c r="B2207" s="3">
        <v>45254</v>
      </c>
      <c r="C2207" s="5">
        <v>58.57</v>
      </c>
      <c r="D2207" s="5">
        <v>58.46</v>
      </c>
      <c r="E2207" s="5">
        <v>58.75</v>
      </c>
      <c r="F2207" s="5">
        <v>58.33</v>
      </c>
      <c r="G2207" s="18" t="s">
        <v>290</v>
      </c>
      <c r="H2207" s="2">
        <v>2.5999999999999999E-3</v>
      </c>
      <c r="I2207" s="16">
        <f t="shared" si="173"/>
        <v>2.5676138308798114E-3</v>
      </c>
      <c r="J2207" s="16">
        <f t="shared" si="174"/>
        <v>1.0025676138308799</v>
      </c>
      <c r="K2207" s="16">
        <f t="shared" si="175"/>
        <v>56.961578947368423</v>
      </c>
      <c r="L2207" s="16">
        <f t="shared" si="171"/>
        <v>55.936122448979589</v>
      </c>
      <c r="M2207" s="25" t="str">
        <f t="shared" si="172"/>
        <v>HOLD</v>
      </c>
    </row>
    <row r="2208" spans="2:13">
      <c r="B2208" s="3">
        <v>45257</v>
      </c>
      <c r="C2208" s="5">
        <v>58.46</v>
      </c>
      <c r="D2208" s="5">
        <v>58.54</v>
      </c>
      <c r="E2208" s="5">
        <v>58.69</v>
      </c>
      <c r="F2208" s="5">
        <v>58.27</v>
      </c>
      <c r="G2208" s="18" t="s">
        <v>74</v>
      </c>
      <c r="H2208" s="2">
        <v>-1.9E-3</v>
      </c>
      <c r="I2208" s="16">
        <f t="shared" si="173"/>
        <v>-1.8780945876728603E-3</v>
      </c>
      <c r="J2208" s="16">
        <f t="shared" si="174"/>
        <v>0.99812190541232715</v>
      </c>
      <c r="K2208" s="16">
        <f t="shared" si="175"/>
        <v>57.136842105263156</v>
      </c>
      <c r="L2208" s="16">
        <f t="shared" si="171"/>
        <v>55.948979591836746</v>
      </c>
      <c r="M2208" s="25" t="str">
        <f t="shared" si="172"/>
        <v>HOLD</v>
      </c>
    </row>
    <row r="2209" spans="2:13">
      <c r="B2209" s="3">
        <v>45258</v>
      </c>
      <c r="C2209" s="5">
        <v>58.58</v>
      </c>
      <c r="D2209" s="5">
        <v>58.4</v>
      </c>
      <c r="E2209" s="5">
        <v>58.83</v>
      </c>
      <c r="F2209" s="5">
        <v>58.36</v>
      </c>
      <c r="G2209" s="18" t="s">
        <v>289</v>
      </c>
      <c r="H2209" s="2">
        <v>2.0999999999999999E-3</v>
      </c>
      <c r="I2209" s="16">
        <f t="shared" si="173"/>
        <v>2.0526855969893506E-3</v>
      </c>
      <c r="J2209" s="16">
        <f t="shared" si="174"/>
        <v>1.0020526855969893</v>
      </c>
      <c r="K2209" s="16">
        <f t="shared" si="175"/>
        <v>57.258421052631569</v>
      </c>
      <c r="L2209" s="16">
        <f t="shared" si="171"/>
        <v>55.95224489795919</v>
      </c>
      <c r="M2209" s="25" t="str">
        <f t="shared" si="172"/>
        <v>HOLD</v>
      </c>
    </row>
    <row r="2210" spans="2:13">
      <c r="B2210" s="3">
        <v>45259</v>
      </c>
      <c r="C2210" s="5">
        <v>58.23</v>
      </c>
      <c r="D2210" s="5">
        <v>58.58</v>
      </c>
      <c r="E2210" s="5">
        <v>58.67</v>
      </c>
      <c r="F2210" s="5">
        <v>58.1</v>
      </c>
      <c r="G2210" s="18" t="s">
        <v>288</v>
      </c>
      <c r="H2210" s="2">
        <v>-6.0000000000000001E-3</v>
      </c>
      <c r="I2210" s="16">
        <f t="shared" si="173"/>
        <v>-5.9747354045749648E-3</v>
      </c>
      <c r="J2210" s="16">
        <f t="shared" si="174"/>
        <v>0.99402526459542506</v>
      </c>
      <c r="K2210" s="16">
        <f t="shared" si="175"/>
        <v>57.368421052631568</v>
      </c>
      <c r="L2210" s="16">
        <f t="shared" si="171"/>
        <v>55.960408163265306</v>
      </c>
      <c r="M2210" s="25" t="str">
        <f t="shared" si="172"/>
        <v>HOLD</v>
      </c>
    </row>
    <row r="2211" spans="2:13">
      <c r="B2211" s="3">
        <v>45260</v>
      </c>
      <c r="C2211" s="5">
        <v>58.44</v>
      </c>
      <c r="D2211" s="5">
        <v>57.96</v>
      </c>
      <c r="E2211" s="5">
        <v>58.46</v>
      </c>
      <c r="F2211" s="5">
        <v>57.6</v>
      </c>
      <c r="G2211" s="18" t="s">
        <v>287</v>
      </c>
      <c r="H2211" s="2">
        <v>3.5999999999999999E-3</v>
      </c>
      <c r="I2211" s="16">
        <f t="shared" si="173"/>
        <v>3.6063884595569445E-3</v>
      </c>
      <c r="J2211" s="16">
        <f t="shared" si="174"/>
        <v>1.003606388459557</v>
      </c>
      <c r="K2211" s="16">
        <f t="shared" si="175"/>
        <v>57.462631578947367</v>
      </c>
      <c r="L2211" s="16">
        <f t="shared" si="171"/>
        <v>55.956122448979599</v>
      </c>
      <c r="M2211" s="25" t="str">
        <f t="shared" si="172"/>
        <v>HOLD</v>
      </c>
    </row>
    <row r="2212" spans="2:13">
      <c r="B2212" s="3">
        <v>45261</v>
      </c>
      <c r="C2212" s="5">
        <v>58.64</v>
      </c>
      <c r="D2212" s="5">
        <v>58.27</v>
      </c>
      <c r="E2212" s="5">
        <v>58.69</v>
      </c>
      <c r="F2212" s="5">
        <v>58.24</v>
      </c>
      <c r="G2212" s="18" t="s">
        <v>286</v>
      </c>
      <c r="H2212" s="2">
        <v>3.3999999999999998E-3</v>
      </c>
      <c r="I2212" s="16">
        <f t="shared" si="173"/>
        <v>3.4223134839151755E-3</v>
      </c>
      <c r="J2212" s="16">
        <f t="shared" si="174"/>
        <v>1.0034223134839151</v>
      </c>
      <c r="K2212" s="16">
        <f t="shared" si="175"/>
        <v>57.533684210526324</v>
      </c>
      <c r="L2212" s="16">
        <f t="shared" si="171"/>
        <v>55.974489795918387</v>
      </c>
      <c r="M2212" s="25" t="str">
        <f t="shared" si="172"/>
        <v>HOLD</v>
      </c>
    </row>
    <row r="2213" spans="2:13">
      <c r="B2213" s="3">
        <v>45264</v>
      </c>
      <c r="C2213" s="5">
        <v>58.57</v>
      </c>
      <c r="D2213" s="5">
        <v>58.59</v>
      </c>
      <c r="E2213" s="5">
        <v>58.96</v>
      </c>
      <c r="F2213" s="5">
        <v>58.44</v>
      </c>
      <c r="G2213" s="18" t="s">
        <v>285</v>
      </c>
      <c r="H2213" s="2">
        <v>-1.1999999999999999E-3</v>
      </c>
      <c r="I2213" s="16">
        <f t="shared" si="173"/>
        <v>-1.1937244201910007E-3</v>
      </c>
      <c r="J2213" s="16">
        <f t="shared" si="174"/>
        <v>0.99880627557980894</v>
      </c>
      <c r="K2213" s="16">
        <f t="shared" si="175"/>
        <v>57.633684210526326</v>
      </c>
      <c r="L2213" s="16">
        <f t="shared" si="171"/>
        <v>55.995714285714307</v>
      </c>
      <c r="M2213" s="25" t="str">
        <f t="shared" si="172"/>
        <v>HOLD</v>
      </c>
    </row>
    <row r="2214" spans="2:13">
      <c r="B2214" s="3">
        <v>45265</v>
      </c>
      <c r="C2214" s="5">
        <v>58.66</v>
      </c>
      <c r="D2214" s="5">
        <v>58.55</v>
      </c>
      <c r="E2214" s="5">
        <v>58.83</v>
      </c>
      <c r="F2214" s="5">
        <v>58.42</v>
      </c>
      <c r="G2214" s="18" t="s">
        <v>284</v>
      </c>
      <c r="H2214" s="2">
        <v>1.5E-3</v>
      </c>
      <c r="I2214" s="16">
        <f t="shared" si="173"/>
        <v>1.5366228444595579E-3</v>
      </c>
      <c r="J2214" s="16">
        <f t="shared" si="174"/>
        <v>1.0015366228444595</v>
      </c>
      <c r="K2214" s="16">
        <f t="shared" si="175"/>
        <v>57.717894736842112</v>
      </c>
      <c r="L2214" s="16">
        <f t="shared" si="171"/>
        <v>56.027755102040835</v>
      </c>
      <c r="M2214" s="25" t="str">
        <f t="shared" si="172"/>
        <v>HOLD</v>
      </c>
    </row>
    <row r="2215" spans="2:13">
      <c r="B2215" s="3">
        <v>45266</v>
      </c>
      <c r="C2215" s="5">
        <v>58.6</v>
      </c>
      <c r="D2215" s="5">
        <v>58.56</v>
      </c>
      <c r="E2215" s="5">
        <v>58.73</v>
      </c>
      <c r="F2215" s="5">
        <v>58.21</v>
      </c>
      <c r="G2215" s="18" t="s">
        <v>283</v>
      </c>
      <c r="H2215" s="2">
        <v>-1E-3</v>
      </c>
      <c r="I2215" s="16">
        <f t="shared" si="173"/>
        <v>-1.0228435049436614E-3</v>
      </c>
      <c r="J2215" s="16">
        <f t="shared" si="174"/>
        <v>0.99897715649505636</v>
      </c>
      <c r="K2215" s="16">
        <f t="shared" si="175"/>
        <v>57.795789473684216</v>
      </c>
      <c r="L2215" s="16">
        <f t="shared" si="171"/>
        <v>56.071224489795945</v>
      </c>
      <c r="M2215" s="25" t="str">
        <f t="shared" si="172"/>
        <v>HOLD</v>
      </c>
    </row>
    <row r="2216" spans="2:13">
      <c r="B2216" s="3">
        <v>45267</v>
      </c>
      <c r="C2216" s="5">
        <v>58.74</v>
      </c>
      <c r="D2216" s="5">
        <v>58.67</v>
      </c>
      <c r="E2216" s="5">
        <v>58.89</v>
      </c>
      <c r="F2216" s="5">
        <v>58.39</v>
      </c>
      <c r="G2216" s="18" t="s">
        <v>282</v>
      </c>
      <c r="H2216" s="2">
        <v>2.3999999999999998E-3</v>
      </c>
      <c r="I2216" s="16">
        <f t="shared" si="173"/>
        <v>2.3890784982935251E-3</v>
      </c>
      <c r="J2216" s="16">
        <f t="shared" si="174"/>
        <v>1.0023890784982936</v>
      </c>
      <c r="K2216" s="16">
        <f t="shared" si="175"/>
        <v>57.875263157894743</v>
      </c>
      <c r="L2216" s="16">
        <f t="shared" si="171"/>
        <v>56.125306122448997</v>
      </c>
      <c r="M2216" s="25" t="str">
        <f t="shared" si="172"/>
        <v>HOLD</v>
      </c>
    </row>
    <row r="2217" spans="2:13">
      <c r="B2217" s="3">
        <v>45268</v>
      </c>
      <c r="C2217" s="5">
        <v>58.61</v>
      </c>
      <c r="D2217" s="5">
        <v>58.74</v>
      </c>
      <c r="E2217" s="5">
        <v>58.75</v>
      </c>
      <c r="F2217" s="5">
        <v>58.37</v>
      </c>
      <c r="G2217" s="18" t="s">
        <v>108</v>
      </c>
      <c r="H2217" s="2">
        <v>-2.2000000000000001E-3</v>
      </c>
      <c r="I2217" s="16">
        <f t="shared" si="173"/>
        <v>-2.2131426625809085E-3</v>
      </c>
      <c r="J2217" s="16">
        <f t="shared" si="174"/>
        <v>0.99778685733741912</v>
      </c>
      <c r="K2217" s="16">
        <f t="shared" si="175"/>
        <v>57.984736842105264</v>
      </c>
      <c r="L2217" s="16">
        <f t="shared" si="171"/>
        <v>56.185102040816332</v>
      </c>
      <c r="M2217" s="25" t="str">
        <f t="shared" si="172"/>
        <v>HOLD</v>
      </c>
    </row>
    <row r="2218" spans="2:13">
      <c r="B2218" s="3">
        <v>45271</v>
      </c>
      <c r="C2218" s="5">
        <v>59.04</v>
      </c>
      <c r="D2218" s="5">
        <v>58.83</v>
      </c>
      <c r="E2218" s="5">
        <v>59.09</v>
      </c>
      <c r="F2218" s="5">
        <v>58.5</v>
      </c>
      <c r="G2218" s="18" t="s">
        <v>281</v>
      </c>
      <c r="H2218" s="2">
        <v>7.3000000000000001E-3</v>
      </c>
      <c r="I2218" s="16">
        <f t="shared" si="173"/>
        <v>7.3366319740658546E-3</v>
      </c>
      <c r="J2218" s="16">
        <f t="shared" si="174"/>
        <v>1.0073366319740658</v>
      </c>
      <c r="K2218" s="16">
        <f t="shared" si="175"/>
        <v>58.084210526315793</v>
      </c>
      <c r="L2218" s="16">
        <f t="shared" si="171"/>
        <v>56.2387755102041</v>
      </c>
      <c r="M2218" s="25" t="str">
        <f t="shared" si="172"/>
        <v>HOLD</v>
      </c>
    </row>
    <row r="2219" spans="2:13">
      <c r="B2219" s="3">
        <v>45272</v>
      </c>
      <c r="C2219" s="5">
        <v>59.42</v>
      </c>
      <c r="D2219" s="5">
        <v>59.2</v>
      </c>
      <c r="E2219" s="5">
        <v>59.42</v>
      </c>
      <c r="F2219" s="5">
        <v>58.9</v>
      </c>
      <c r="G2219" s="18" t="s">
        <v>280</v>
      </c>
      <c r="H2219" s="2">
        <v>6.4000000000000003E-3</v>
      </c>
      <c r="I2219" s="16">
        <f t="shared" si="173"/>
        <v>6.4363143631436751E-3</v>
      </c>
      <c r="J2219" s="16">
        <f t="shared" si="174"/>
        <v>1.0064363143631436</v>
      </c>
      <c r="K2219" s="16">
        <f t="shared" si="175"/>
        <v>58.195263157894736</v>
      </c>
      <c r="L2219" s="16">
        <f t="shared" si="171"/>
        <v>56.311428571428578</v>
      </c>
      <c r="M2219" s="25" t="str">
        <f t="shared" si="172"/>
        <v>HOLD</v>
      </c>
    </row>
    <row r="2220" spans="2:13">
      <c r="B2220" s="3">
        <v>45273</v>
      </c>
      <c r="C2220" s="5">
        <v>59.93</v>
      </c>
      <c r="D2220" s="5">
        <v>59.45</v>
      </c>
      <c r="E2220" s="5">
        <v>60.02</v>
      </c>
      <c r="F2220" s="5">
        <v>59.26</v>
      </c>
      <c r="G2220" s="18" t="s">
        <v>279</v>
      </c>
      <c r="H2220" s="2">
        <v>8.6E-3</v>
      </c>
      <c r="I2220" s="16">
        <f t="shared" si="173"/>
        <v>8.5829686974082456E-3</v>
      </c>
      <c r="J2220" s="16">
        <f t="shared" si="174"/>
        <v>1.0085829686974082</v>
      </c>
      <c r="K2220" s="16">
        <f t="shared" si="175"/>
        <v>58.317368421052642</v>
      </c>
      <c r="L2220" s="16">
        <f t="shared" si="171"/>
        <v>56.404081632653067</v>
      </c>
      <c r="M2220" s="25" t="str">
        <f t="shared" si="172"/>
        <v>HOLD</v>
      </c>
    </row>
    <row r="2221" spans="2:13">
      <c r="B2221" s="3">
        <v>45274</v>
      </c>
      <c r="C2221" s="5">
        <v>59.04</v>
      </c>
      <c r="D2221" s="5">
        <v>59.97</v>
      </c>
      <c r="E2221" s="5">
        <v>60.04</v>
      </c>
      <c r="F2221" s="5">
        <v>58.77</v>
      </c>
      <c r="G2221" s="18" t="s">
        <v>278</v>
      </c>
      <c r="H2221" s="2">
        <v>-1.49E-2</v>
      </c>
      <c r="I2221" s="16">
        <f t="shared" si="173"/>
        <v>-1.485065910228601E-2</v>
      </c>
      <c r="J2221" s="16">
        <f t="shared" si="174"/>
        <v>0.985149340897714</v>
      </c>
      <c r="K2221" s="16">
        <f t="shared" si="175"/>
        <v>58.460526315789473</v>
      </c>
      <c r="L2221" s="16">
        <f t="shared" si="171"/>
        <v>56.503877551020402</v>
      </c>
      <c r="M2221" s="25" t="str">
        <f t="shared" si="172"/>
        <v>HOLD</v>
      </c>
    </row>
    <row r="2222" spans="2:13">
      <c r="B2222" s="3">
        <v>45275</v>
      </c>
      <c r="C2222" s="5">
        <v>58.6</v>
      </c>
      <c r="D2222" s="5">
        <v>58.83</v>
      </c>
      <c r="E2222" s="5">
        <v>59.17</v>
      </c>
      <c r="F2222" s="5">
        <v>57.8</v>
      </c>
      <c r="G2222" s="18" t="s">
        <v>277</v>
      </c>
      <c r="H2222" s="2">
        <v>-7.4999999999999997E-3</v>
      </c>
      <c r="I2222" s="16">
        <f t="shared" si="173"/>
        <v>-7.4525745257452191E-3</v>
      </c>
      <c r="J2222" s="16">
        <f t="shared" si="174"/>
        <v>0.99254742547425479</v>
      </c>
      <c r="K2222" s="16">
        <f t="shared" si="175"/>
        <v>58.559999999999995</v>
      </c>
      <c r="L2222" s="16">
        <f t="shared" si="171"/>
        <v>56.639795918367348</v>
      </c>
      <c r="M2222" s="25" t="str">
        <f t="shared" si="172"/>
        <v>HOLD</v>
      </c>
    </row>
    <row r="2223" spans="2:13">
      <c r="B2223" s="3">
        <v>45278</v>
      </c>
      <c r="C2223" s="5">
        <v>59.02</v>
      </c>
      <c r="D2223" s="5">
        <v>58.8</v>
      </c>
      <c r="E2223" s="5">
        <v>59.49</v>
      </c>
      <c r="F2223" s="5">
        <v>58.62</v>
      </c>
      <c r="G2223" s="18" t="s">
        <v>276</v>
      </c>
      <c r="H2223" s="2">
        <v>7.1999999999999998E-3</v>
      </c>
      <c r="I2223" s="16">
        <f t="shared" si="173"/>
        <v>7.167235494880575E-3</v>
      </c>
      <c r="J2223" s="16">
        <f t="shared" si="174"/>
        <v>1.0071672354948806</v>
      </c>
      <c r="K2223" s="16">
        <f t="shared" si="175"/>
        <v>58.63052631578946</v>
      </c>
      <c r="L2223" s="16">
        <f t="shared" si="171"/>
        <v>56.751224489795909</v>
      </c>
      <c r="M2223" s="25" t="str">
        <f t="shared" si="172"/>
        <v>HOLD</v>
      </c>
    </row>
    <row r="2224" spans="2:13">
      <c r="B2224" s="3">
        <v>45279</v>
      </c>
      <c r="C2224" s="5">
        <v>58.83</v>
      </c>
      <c r="D2224" s="5">
        <v>59</v>
      </c>
      <c r="E2224" s="5">
        <v>59.2</v>
      </c>
      <c r="F2224" s="5">
        <v>58.63</v>
      </c>
      <c r="G2224" s="18" t="s">
        <v>275</v>
      </c>
      <c r="H2224" s="2">
        <v>-3.2000000000000002E-3</v>
      </c>
      <c r="I2224" s="16">
        <f t="shared" si="173"/>
        <v>-3.2192477126398648E-3</v>
      </c>
      <c r="J2224" s="16">
        <f t="shared" si="174"/>
        <v>0.99678075228736018</v>
      </c>
      <c r="K2224" s="16">
        <f t="shared" si="175"/>
        <v>58.715789473684204</v>
      </c>
      <c r="L2224" s="16">
        <f t="shared" si="171"/>
        <v>56.876530612244885</v>
      </c>
      <c r="M2224" s="25" t="str">
        <f t="shared" si="172"/>
        <v>HOLD</v>
      </c>
    </row>
    <row r="2225" spans="2:13">
      <c r="B2225" s="3">
        <v>45280</v>
      </c>
      <c r="C2225" s="5">
        <v>57.61</v>
      </c>
      <c r="D2225" s="5">
        <v>58.5</v>
      </c>
      <c r="E2225" s="5">
        <v>58.67</v>
      </c>
      <c r="F2225" s="5">
        <v>57.57</v>
      </c>
      <c r="G2225" s="18" t="s">
        <v>274</v>
      </c>
      <c r="H2225" s="2">
        <v>-2.07E-2</v>
      </c>
      <c r="I2225" s="16">
        <f t="shared" si="173"/>
        <v>-2.073771885092638E-2</v>
      </c>
      <c r="J2225" s="16">
        <f t="shared" si="174"/>
        <v>0.97926228114907365</v>
      </c>
      <c r="K2225" s="16">
        <f t="shared" si="175"/>
        <v>58.757894736842097</v>
      </c>
      <c r="L2225" s="16">
        <f t="shared" si="171"/>
        <v>56.974489795918359</v>
      </c>
      <c r="M2225" s="25" t="str">
        <f t="shared" si="172"/>
        <v>HOLD</v>
      </c>
    </row>
    <row r="2226" spans="2:13">
      <c r="B2226" s="3">
        <v>45281</v>
      </c>
      <c r="C2226" s="5">
        <v>57.99</v>
      </c>
      <c r="D2226" s="5">
        <v>57.85</v>
      </c>
      <c r="E2226" s="5">
        <v>58.07</v>
      </c>
      <c r="F2226" s="5">
        <v>57.47</v>
      </c>
      <c r="G2226" s="18" t="s">
        <v>273</v>
      </c>
      <c r="H2226" s="2">
        <v>6.6E-3</v>
      </c>
      <c r="I2226" s="16">
        <f t="shared" si="173"/>
        <v>6.5960770699531775E-3</v>
      </c>
      <c r="J2226" s="16">
        <f t="shared" si="174"/>
        <v>1.0065960770699531</v>
      </c>
      <c r="K2226" s="16">
        <f t="shared" si="175"/>
        <v>58.715263157894718</v>
      </c>
      <c r="L2226" s="16">
        <f t="shared" si="171"/>
        <v>57.054081632653052</v>
      </c>
      <c r="M2226" s="25" t="str">
        <f t="shared" si="172"/>
        <v>HOLD</v>
      </c>
    </row>
    <row r="2227" spans="2:13">
      <c r="B2227" s="3">
        <v>45282</v>
      </c>
      <c r="C2227" s="5">
        <v>58.32</v>
      </c>
      <c r="D2227" s="5">
        <v>58.12</v>
      </c>
      <c r="E2227" s="5">
        <v>58.46</v>
      </c>
      <c r="F2227" s="5">
        <v>58.02</v>
      </c>
      <c r="G2227" s="18" t="s">
        <v>154</v>
      </c>
      <c r="H2227" s="2">
        <v>5.7000000000000002E-3</v>
      </c>
      <c r="I2227" s="16">
        <f t="shared" si="173"/>
        <v>5.6906363166062818E-3</v>
      </c>
      <c r="J2227" s="16">
        <f t="shared" si="174"/>
        <v>1.0056906363166063</v>
      </c>
      <c r="K2227" s="16">
        <f t="shared" si="175"/>
        <v>58.684736842105252</v>
      </c>
      <c r="L2227" s="16">
        <f t="shared" si="171"/>
        <v>57.159795918367337</v>
      </c>
      <c r="M2227" s="25" t="str">
        <f t="shared" si="172"/>
        <v>HOLD</v>
      </c>
    </row>
    <row r="2228" spans="2:13">
      <c r="B2228" s="3">
        <v>45286</v>
      </c>
      <c r="C2228" s="5">
        <v>58.56</v>
      </c>
      <c r="D2228" s="5">
        <v>58.06</v>
      </c>
      <c r="E2228" s="5">
        <v>58.71</v>
      </c>
      <c r="F2228" s="5">
        <v>58.06</v>
      </c>
      <c r="G2228" s="18" t="s">
        <v>272</v>
      </c>
      <c r="H2228" s="2">
        <v>4.1000000000000003E-3</v>
      </c>
      <c r="I2228" s="16">
        <f t="shared" si="173"/>
        <v>4.1152263374485938E-3</v>
      </c>
      <c r="J2228" s="16">
        <f t="shared" si="174"/>
        <v>1.0041152263374487</v>
      </c>
      <c r="K2228" s="16">
        <f t="shared" si="175"/>
        <v>58.677368421052627</v>
      </c>
      <c r="L2228" s="16">
        <f t="shared" si="171"/>
        <v>57.270612244897961</v>
      </c>
      <c r="M2228" s="25" t="str">
        <f t="shared" si="172"/>
        <v>HOLD</v>
      </c>
    </row>
    <row r="2229" spans="2:13">
      <c r="B2229" s="3">
        <v>45287</v>
      </c>
      <c r="C2229" s="5">
        <v>58.71</v>
      </c>
      <c r="D2229" s="5">
        <v>58.64</v>
      </c>
      <c r="E2229" s="5">
        <v>58.77</v>
      </c>
      <c r="F2229" s="5">
        <v>58.4</v>
      </c>
      <c r="G2229" s="18" t="s">
        <v>271</v>
      </c>
      <c r="H2229" s="2">
        <v>2.5999999999999999E-3</v>
      </c>
      <c r="I2229" s="16">
        <f t="shared" si="173"/>
        <v>2.5614754098360411E-3</v>
      </c>
      <c r="J2229" s="16">
        <f t="shared" si="174"/>
        <v>1.002561475409836</v>
      </c>
      <c r="K2229" s="16">
        <f t="shared" si="175"/>
        <v>58.676315789473676</v>
      </c>
      <c r="L2229" s="16">
        <f t="shared" si="171"/>
        <v>57.375306122448976</v>
      </c>
      <c r="M2229" s="25" t="str">
        <f t="shared" si="172"/>
        <v>HOLD</v>
      </c>
    </row>
    <row r="2230" spans="2:13">
      <c r="B2230" s="3">
        <v>45288</v>
      </c>
      <c r="C2230" s="5">
        <v>58.75</v>
      </c>
      <c r="D2230" s="5">
        <v>58.65</v>
      </c>
      <c r="E2230" s="5">
        <v>58.87</v>
      </c>
      <c r="F2230" s="5">
        <v>58.53</v>
      </c>
      <c r="G2230" s="18" t="s">
        <v>176</v>
      </c>
      <c r="H2230" s="2">
        <v>6.9999999999999999E-4</v>
      </c>
      <c r="I2230" s="16">
        <f t="shared" si="173"/>
        <v>6.8131493782999739E-4</v>
      </c>
      <c r="J2230" s="16">
        <f t="shared" si="174"/>
        <v>1.00068131493783</v>
      </c>
      <c r="K2230" s="16">
        <f t="shared" si="175"/>
        <v>58.701578947368432</v>
      </c>
      <c r="L2230" s="16">
        <f t="shared" si="171"/>
        <v>57.470000000000006</v>
      </c>
      <c r="M2230" s="25" t="str">
        <f t="shared" si="172"/>
        <v>HOLD</v>
      </c>
    </row>
    <row r="2231" spans="2:13">
      <c r="B2231" s="3">
        <v>45289</v>
      </c>
      <c r="C2231" s="5">
        <v>58.93</v>
      </c>
      <c r="D2231" s="5">
        <v>58.74</v>
      </c>
      <c r="E2231" s="5">
        <v>58.98</v>
      </c>
      <c r="F2231" s="5">
        <v>58.63</v>
      </c>
      <c r="G2231" s="18" t="s">
        <v>270</v>
      </c>
      <c r="H2231" s="2">
        <v>3.0999999999999999E-3</v>
      </c>
      <c r="I2231" s="16">
        <f t="shared" si="173"/>
        <v>3.0638297872340376E-3</v>
      </c>
      <c r="J2231" s="16">
        <f t="shared" si="174"/>
        <v>1.0030638297872341</v>
      </c>
      <c r="K2231" s="16">
        <f t="shared" si="175"/>
        <v>58.717894736842112</v>
      </c>
      <c r="L2231" s="16">
        <f t="shared" si="171"/>
        <v>57.565918367346939</v>
      </c>
      <c r="M2231" s="25" t="str">
        <f t="shared" si="172"/>
        <v>HOLD</v>
      </c>
    </row>
    <row r="2232" spans="2:13">
      <c r="B2232" s="3">
        <v>45293</v>
      </c>
      <c r="C2232" s="5">
        <v>59.82</v>
      </c>
      <c r="D2232" s="5">
        <v>58.8</v>
      </c>
      <c r="E2232" s="5">
        <v>59.88</v>
      </c>
      <c r="F2232" s="5">
        <v>58.67</v>
      </c>
      <c r="G2232" s="18" t="s">
        <v>269</v>
      </c>
      <c r="H2232" s="2">
        <v>1.5100000000000001E-2</v>
      </c>
      <c r="I2232" s="16">
        <f t="shared" si="173"/>
        <v>1.5102664177838123E-2</v>
      </c>
      <c r="J2232" s="16">
        <f t="shared" si="174"/>
        <v>1.0151026641778382</v>
      </c>
      <c r="K2232" s="16">
        <f t="shared" si="175"/>
        <v>58.733157894736856</v>
      </c>
      <c r="L2232" s="16">
        <f t="shared" si="171"/>
        <v>57.659387755102038</v>
      </c>
      <c r="M2232" s="25" t="str">
        <f t="shared" si="172"/>
        <v>HOLD</v>
      </c>
    </row>
    <row r="2233" spans="2:13">
      <c r="B2233" s="3">
        <v>45294</v>
      </c>
      <c r="C2233" s="5">
        <v>59.96</v>
      </c>
      <c r="D2233" s="5">
        <v>59.93</v>
      </c>
      <c r="E2233" s="5">
        <v>60.2</v>
      </c>
      <c r="F2233" s="5">
        <v>59.76</v>
      </c>
      <c r="G2233" s="18" t="s">
        <v>268</v>
      </c>
      <c r="H2233" s="2">
        <v>2.3E-3</v>
      </c>
      <c r="I2233" s="16">
        <f t="shared" si="173"/>
        <v>2.3403543965229115E-3</v>
      </c>
      <c r="J2233" s="16">
        <f t="shared" si="174"/>
        <v>1.0023403543965228</v>
      </c>
      <c r="K2233" s="16">
        <f t="shared" si="175"/>
        <v>58.798947368421068</v>
      </c>
      <c r="L2233" s="16">
        <f t="shared" ref="L2233:L2296" si="176">AVERAGE(C2184:C2232)</f>
        <v>57.766530612244885</v>
      </c>
      <c r="M2233" s="25" t="str">
        <f t="shared" ref="M2233:M2296" si="177">IF(AND(K2233&gt;L2233,K2232&lt;=L2232),"BUY",IF(AND(K2233&lt;L2233,K2232&gt;=L2232),"SELL","HOLD"))</f>
        <v>HOLD</v>
      </c>
    </row>
    <row r="2234" spans="2:13">
      <c r="B2234" s="3">
        <v>45295</v>
      </c>
      <c r="C2234" s="5">
        <v>59.76</v>
      </c>
      <c r="D2234" s="5">
        <v>60.05</v>
      </c>
      <c r="E2234" s="5">
        <v>60.26</v>
      </c>
      <c r="F2234" s="5">
        <v>59.66</v>
      </c>
      <c r="G2234" s="18" t="s">
        <v>131</v>
      </c>
      <c r="H2234" s="2">
        <v>-3.3E-3</v>
      </c>
      <c r="I2234" s="16">
        <f t="shared" si="173"/>
        <v>-3.3355570380253978E-3</v>
      </c>
      <c r="J2234" s="16">
        <f t="shared" si="174"/>
        <v>0.99666444296197465</v>
      </c>
      <c r="K2234" s="16">
        <f t="shared" si="175"/>
        <v>58.867368421052646</v>
      </c>
      <c r="L2234" s="16">
        <f t="shared" si="176"/>
        <v>57.886530612244897</v>
      </c>
      <c r="M2234" s="25" t="str">
        <f t="shared" si="177"/>
        <v>HOLD</v>
      </c>
    </row>
    <row r="2235" spans="2:13">
      <c r="B2235" s="3">
        <v>45296</v>
      </c>
      <c r="C2235" s="5">
        <v>59.67</v>
      </c>
      <c r="D2235" s="5">
        <v>59.8</v>
      </c>
      <c r="E2235" s="5">
        <v>59.95</v>
      </c>
      <c r="F2235" s="5">
        <v>59.09</v>
      </c>
      <c r="G2235" s="18" t="s">
        <v>267</v>
      </c>
      <c r="H2235" s="2">
        <v>-1.5E-3</v>
      </c>
      <c r="I2235" s="16">
        <f t="shared" si="173"/>
        <v>-1.5060240963854804E-3</v>
      </c>
      <c r="J2235" s="16">
        <f t="shared" si="174"/>
        <v>0.99849397590361455</v>
      </c>
      <c r="K2235" s="16">
        <f t="shared" si="175"/>
        <v>58.928421052631585</v>
      </c>
      <c r="L2235" s="16">
        <f t="shared" si="176"/>
        <v>57.970612244897964</v>
      </c>
      <c r="M2235" s="25" t="str">
        <f t="shared" si="177"/>
        <v>HOLD</v>
      </c>
    </row>
    <row r="2236" spans="2:13">
      <c r="B2236" s="3">
        <v>45299</v>
      </c>
      <c r="C2236" s="5">
        <v>60.11</v>
      </c>
      <c r="D2236" s="5">
        <v>59.68</v>
      </c>
      <c r="E2236" s="5">
        <v>60.18</v>
      </c>
      <c r="F2236" s="5">
        <v>59.42</v>
      </c>
      <c r="G2236" s="18" t="s">
        <v>266</v>
      </c>
      <c r="H2236" s="2">
        <v>7.4000000000000003E-3</v>
      </c>
      <c r="I2236" s="16">
        <f t="shared" si="173"/>
        <v>7.3738897268308653E-3</v>
      </c>
      <c r="J2236" s="16">
        <f t="shared" si="174"/>
        <v>1.007373889726831</v>
      </c>
      <c r="K2236" s="16">
        <f t="shared" si="175"/>
        <v>58.977368421052638</v>
      </c>
      <c r="L2236" s="16">
        <f t="shared" si="176"/>
        <v>58.043061224489804</v>
      </c>
      <c r="M2236" s="25" t="str">
        <f t="shared" si="177"/>
        <v>HOLD</v>
      </c>
    </row>
    <row r="2237" spans="2:13">
      <c r="B2237" s="3">
        <v>45300</v>
      </c>
      <c r="C2237" s="5">
        <v>60</v>
      </c>
      <c r="D2237" s="5">
        <v>59.99</v>
      </c>
      <c r="E2237" s="5">
        <v>60.13</v>
      </c>
      <c r="F2237" s="5">
        <v>59.62</v>
      </c>
      <c r="G2237" s="18" t="s">
        <v>265</v>
      </c>
      <c r="H2237" s="2">
        <v>-1.8E-3</v>
      </c>
      <c r="I2237" s="16">
        <f t="shared" si="173"/>
        <v>-1.8299783729828552E-3</v>
      </c>
      <c r="J2237" s="16">
        <f t="shared" si="174"/>
        <v>0.99817002162701718</v>
      </c>
      <c r="K2237" s="16">
        <f t="shared" si="175"/>
        <v>59.056315789473693</v>
      </c>
      <c r="L2237" s="16">
        <f t="shared" si="176"/>
        <v>58.131428571428579</v>
      </c>
      <c r="M2237" s="25" t="str">
        <f t="shared" si="177"/>
        <v>HOLD</v>
      </c>
    </row>
    <row r="2238" spans="2:13">
      <c r="B2238" s="3">
        <v>45301</v>
      </c>
      <c r="C2238" s="5">
        <v>60.2</v>
      </c>
      <c r="D2238" s="5">
        <v>60.22</v>
      </c>
      <c r="E2238" s="5">
        <v>60.41</v>
      </c>
      <c r="F2238" s="5">
        <v>59.98</v>
      </c>
      <c r="G2238" s="18" t="s">
        <v>264</v>
      </c>
      <c r="H2238" s="2">
        <v>3.3E-3</v>
      </c>
      <c r="I2238" s="16">
        <f t="shared" si="173"/>
        <v>3.3333333333333808E-3</v>
      </c>
      <c r="J2238" s="16">
        <f t="shared" si="174"/>
        <v>1.0033333333333334</v>
      </c>
      <c r="K2238" s="16">
        <f t="shared" si="175"/>
        <v>59.106842105263155</v>
      </c>
      <c r="L2238" s="16">
        <f t="shared" si="176"/>
        <v>58.228571428571435</v>
      </c>
      <c r="M2238" s="25" t="str">
        <f t="shared" si="177"/>
        <v>HOLD</v>
      </c>
    </row>
    <row r="2239" spans="2:13">
      <c r="B2239" s="3">
        <v>45302</v>
      </c>
      <c r="C2239" s="5">
        <v>59.81</v>
      </c>
      <c r="D2239" s="5">
        <v>60.25</v>
      </c>
      <c r="E2239" s="5">
        <v>60.26</v>
      </c>
      <c r="F2239" s="5">
        <v>59.69</v>
      </c>
      <c r="G2239" s="18" t="s">
        <v>263</v>
      </c>
      <c r="H2239" s="2">
        <v>-6.4999999999999997E-3</v>
      </c>
      <c r="I2239" s="16">
        <f t="shared" si="173"/>
        <v>-6.4784053156146269E-3</v>
      </c>
      <c r="J2239" s="16">
        <f t="shared" si="174"/>
        <v>0.99352159468438539</v>
      </c>
      <c r="K2239" s="16">
        <f t="shared" si="175"/>
        <v>59.147894736842112</v>
      </c>
      <c r="L2239" s="16">
        <f t="shared" si="176"/>
        <v>58.311224489795919</v>
      </c>
      <c r="M2239" s="25" t="str">
        <f t="shared" si="177"/>
        <v>HOLD</v>
      </c>
    </row>
    <row r="2240" spans="2:13">
      <c r="B2240" s="3">
        <v>45303</v>
      </c>
      <c r="C2240" s="5">
        <v>60.39</v>
      </c>
      <c r="D2240" s="5">
        <v>60.08</v>
      </c>
      <c r="E2240" s="5">
        <v>60.46</v>
      </c>
      <c r="F2240" s="5">
        <v>59.87</v>
      </c>
      <c r="G2240" s="18" t="s">
        <v>262</v>
      </c>
      <c r="H2240" s="2">
        <v>9.7000000000000003E-3</v>
      </c>
      <c r="I2240" s="16">
        <f t="shared" si="173"/>
        <v>9.6973750208994864E-3</v>
      </c>
      <c r="J2240" s="16">
        <f t="shared" si="174"/>
        <v>1.0096973750208995</v>
      </c>
      <c r="K2240" s="16">
        <f t="shared" si="175"/>
        <v>59.141578947368423</v>
      </c>
      <c r="L2240" s="16">
        <f t="shared" si="176"/>
        <v>58.378979591836732</v>
      </c>
      <c r="M2240" s="25" t="str">
        <f t="shared" si="177"/>
        <v>HOLD</v>
      </c>
    </row>
    <row r="2241" spans="2:13">
      <c r="B2241" s="3">
        <v>45307</v>
      </c>
      <c r="C2241" s="5">
        <v>59.99</v>
      </c>
      <c r="D2241" s="5">
        <v>60.39</v>
      </c>
      <c r="E2241" s="5">
        <v>60.43</v>
      </c>
      <c r="F2241" s="5">
        <v>59.85</v>
      </c>
      <c r="G2241" s="18" t="s">
        <v>132</v>
      </c>
      <c r="H2241" s="2">
        <v>-6.6E-3</v>
      </c>
      <c r="I2241" s="16">
        <f t="shared" si="173"/>
        <v>-6.6236131809902067E-3</v>
      </c>
      <c r="J2241" s="16">
        <f t="shared" si="174"/>
        <v>0.99337638681900975</v>
      </c>
      <c r="K2241" s="16">
        <f t="shared" si="175"/>
        <v>59.212631578947381</v>
      </c>
      <c r="L2241" s="16">
        <f t="shared" si="176"/>
        <v>58.459591836734695</v>
      </c>
      <c r="M2241" s="25" t="str">
        <f t="shared" si="177"/>
        <v>HOLD</v>
      </c>
    </row>
    <row r="2242" spans="2:13">
      <c r="B2242" s="3">
        <v>45308</v>
      </c>
      <c r="C2242" s="5">
        <v>59.99</v>
      </c>
      <c r="D2242" s="5">
        <v>59.86</v>
      </c>
      <c r="E2242" s="5">
        <v>60.21</v>
      </c>
      <c r="F2242" s="5">
        <v>59.82</v>
      </c>
      <c r="G2242" s="18" t="s">
        <v>261</v>
      </c>
      <c r="H2242" s="2">
        <v>0</v>
      </c>
      <c r="I2242" s="16">
        <f t="shared" si="173"/>
        <v>0</v>
      </c>
      <c r="J2242" s="16">
        <f t="shared" si="174"/>
        <v>1</v>
      </c>
      <c r="K2242" s="16">
        <f t="shared" si="175"/>
        <v>59.285789473684211</v>
      </c>
      <c r="L2242" s="16">
        <f t="shared" si="176"/>
        <v>58.518775510204073</v>
      </c>
      <c r="M2242" s="25" t="str">
        <f t="shared" si="177"/>
        <v>HOLD</v>
      </c>
    </row>
    <row r="2243" spans="2:13">
      <c r="B2243" s="3">
        <v>45309</v>
      </c>
      <c r="C2243" s="5">
        <v>60.16</v>
      </c>
      <c r="D2243" s="5">
        <v>59.69</v>
      </c>
      <c r="E2243" s="5">
        <v>60.23</v>
      </c>
      <c r="F2243" s="5">
        <v>59.53</v>
      </c>
      <c r="G2243" s="18" t="s">
        <v>44</v>
      </c>
      <c r="H2243" s="2">
        <v>2.8E-3</v>
      </c>
      <c r="I2243" s="16">
        <f t="shared" si="173"/>
        <v>2.8338056342722888E-3</v>
      </c>
      <c r="J2243" s="16">
        <f t="shared" si="174"/>
        <v>1.0028338056342723</v>
      </c>
      <c r="K2243" s="16">
        <f t="shared" si="175"/>
        <v>59.336842105263152</v>
      </c>
      <c r="L2243" s="16">
        <f t="shared" si="176"/>
        <v>58.585102040816309</v>
      </c>
      <c r="M2243" s="25" t="str">
        <f t="shared" si="177"/>
        <v>HOLD</v>
      </c>
    </row>
    <row r="2244" spans="2:13">
      <c r="B2244" s="3">
        <v>45310</v>
      </c>
      <c r="C2244" s="5">
        <v>59.83</v>
      </c>
      <c r="D2244" s="5">
        <v>60.26</v>
      </c>
      <c r="E2244" s="5">
        <v>60.28</v>
      </c>
      <c r="F2244" s="5">
        <v>59.64</v>
      </c>
      <c r="G2244" s="18" t="s">
        <v>260</v>
      </c>
      <c r="H2244" s="2">
        <v>-5.4999999999999997E-3</v>
      </c>
      <c r="I2244" s="16">
        <f t="shared" si="173"/>
        <v>-5.4853723404255043E-3</v>
      </c>
      <c r="J2244" s="16">
        <f t="shared" si="174"/>
        <v>0.99451462765957455</v>
      </c>
      <c r="K2244" s="16">
        <f t="shared" si="175"/>
        <v>59.406842105263159</v>
      </c>
      <c r="L2244" s="16">
        <f t="shared" si="176"/>
        <v>58.650204081632637</v>
      </c>
      <c r="M2244" s="25" t="str">
        <f t="shared" si="177"/>
        <v>HOLD</v>
      </c>
    </row>
    <row r="2245" spans="2:13">
      <c r="B2245" s="3">
        <v>45313</v>
      </c>
      <c r="C2245" s="5">
        <v>59.57</v>
      </c>
      <c r="D2245" s="5">
        <v>59.76</v>
      </c>
      <c r="E2245" s="5">
        <v>60.06</v>
      </c>
      <c r="F2245" s="5">
        <v>59.44</v>
      </c>
      <c r="G2245" s="18" t="s">
        <v>259</v>
      </c>
      <c r="H2245" s="2">
        <v>-4.3E-3</v>
      </c>
      <c r="I2245" s="16">
        <f t="shared" si="173"/>
        <v>-4.3456459969914429E-3</v>
      </c>
      <c r="J2245" s="16">
        <f t="shared" si="174"/>
        <v>0.99565435400300861</v>
      </c>
      <c r="K2245" s="16">
        <f t="shared" si="175"/>
        <v>59.523684210526319</v>
      </c>
      <c r="L2245" s="16">
        <f t="shared" si="176"/>
        <v>58.704285714285703</v>
      </c>
      <c r="M2245" s="25" t="str">
        <f t="shared" si="177"/>
        <v>HOLD</v>
      </c>
    </row>
    <row r="2246" spans="2:13">
      <c r="B2246" s="3">
        <v>45314</v>
      </c>
      <c r="C2246" s="5">
        <v>59.85</v>
      </c>
      <c r="D2246" s="5">
        <v>59.53</v>
      </c>
      <c r="E2246" s="5">
        <v>60</v>
      </c>
      <c r="F2246" s="5">
        <v>59.46</v>
      </c>
      <c r="G2246" s="18" t="s">
        <v>258</v>
      </c>
      <c r="H2246" s="2">
        <v>4.7000000000000002E-3</v>
      </c>
      <c r="I2246" s="16">
        <f t="shared" si="173"/>
        <v>4.7003525264395019E-3</v>
      </c>
      <c r="J2246" s="16">
        <f t="shared" si="174"/>
        <v>1.0047003525264395</v>
      </c>
      <c r="K2246" s="16">
        <f t="shared" si="175"/>
        <v>59.606842105263148</v>
      </c>
      <c r="L2246" s="16">
        <f t="shared" si="176"/>
        <v>58.754897959183658</v>
      </c>
      <c r="M2246" s="25" t="str">
        <f t="shared" si="177"/>
        <v>HOLD</v>
      </c>
    </row>
    <row r="2247" spans="2:13">
      <c r="B2247" s="3">
        <v>45315</v>
      </c>
      <c r="C2247" s="5">
        <v>58.91</v>
      </c>
      <c r="D2247" s="5">
        <v>59.8</v>
      </c>
      <c r="E2247" s="5">
        <v>59.81</v>
      </c>
      <c r="F2247" s="5">
        <v>58.89</v>
      </c>
      <c r="G2247" s="18" t="s">
        <v>257</v>
      </c>
      <c r="H2247" s="2">
        <v>-1.5699999999999999E-2</v>
      </c>
      <c r="I2247" s="16">
        <f t="shared" si="173"/>
        <v>-1.5705931495405261E-2</v>
      </c>
      <c r="J2247" s="16">
        <f t="shared" si="174"/>
        <v>0.98429406850459478</v>
      </c>
      <c r="K2247" s="16">
        <f t="shared" si="175"/>
        <v>59.687368421052632</v>
      </c>
      <c r="L2247" s="16">
        <f t="shared" si="176"/>
        <v>58.819999999999979</v>
      </c>
      <c r="M2247" s="25" t="str">
        <f t="shared" si="177"/>
        <v>HOLD</v>
      </c>
    </row>
    <row r="2248" spans="2:13">
      <c r="B2248" s="3">
        <v>45316</v>
      </c>
      <c r="C2248" s="5">
        <v>59.16</v>
      </c>
      <c r="D2248" s="5">
        <v>59.01</v>
      </c>
      <c r="E2248" s="5">
        <v>59.17</v>
      </c>
      <c r="F2248" s="5">
        <v>58.66</v>
      </c>
      <c r="G2248" s="18" t="s">
        <v>256</v>
      </c>
      <c r="H2248" s="2">
        <v>4.1999999999999997E-3</v>
      </c>
      <c r="I2248" s="16">
        <f t="shared" si="173"/>
        <v>4.2437616703445936E-3</v>
      </c>
      <c r="J2248" s="16">
        <f t="shared" si="174"/>
        <v>1.0042437616703446</v>
      </c>
      <c r="K2248" s="16">
        <f t="shared" si="175"/>
        <v>59.705789473684213</v>
      </c>
      <c r="L2248" s="16">
        <f t="shared" si="176"/>
        <v>58.864693877550998</v>
      </c>
      <c r="M2248" s="25" t="str">
        <f t="shared" si="177"/>
        <v>HOLD</v>
      </c>
    </row>
    <row r="2249" spans="2:13">
      <c r="B2249" s="3">
        <v>45317</v>
      </c>
      <c r="C2249" s="5">
        <v>59.37</v>
      </c>
      <c r="D2249" s="5">
        <v>59.25</v>
      </c>
      <c r="E2249" s="5">
        <v>59.49</v>
      </c>
      <c r="F2249" s="5">
        <v>59.13</v>
      </c>
      <c r="G2249" s="18" t="s">
        <v>255</v>
      </c>
      <c r="H2249" s="2">
        <v>3.5000000000000001E-3</v>
      </c>
      <c r="I2249" s="16">
        <f t="shared" ref="I2249:I2312" si="178">(C2249-C2248)/C2248</f>
        <v>3.5496957403651263E-3</v>
      </c>
      <c r="J2249" s="16">
        <f t="shared" ref="J2249:J2312" si="179">C2249/C2248</f>
        <v>1.0035496957403651</v>
      </c>
      <c r="K2249" s="16">
        <f t="shared" si="175"/>
        <v>59.729473684210532</v>
      </c>
      <c r="L2249" s="16">
        <f t="shared" si="176"/>
        <v>58.910204081632635</v>
      </c>
      <c r="M2249" s="25" t="str">
        <f t="shared" si="177"/>
        <v>HOLD</v>
      </c>
    </row>
    <row r="2250" spans="2:13">
      <c r="B2250" s="3">
        <v>45320</v>
      </c>
      <c r="C2250" s="5">
        <v>59.73</v>
      </c>
      <c r="D2250" s="5">
        <v>59.34</v>
      </c>
      <c r="E2250" s="5">
        <v>59.79</v>
      </c>
      <c r="F2250" s="5">
        <v>59.17</v>
      </c>
      <c r="G2250" s="18" t="s">
        <v>254</v>
      </c>
      <c r="H2250" s="2">
        <v>6.1000000000000004E-3</v>
      </c>
      <c r="I2250" s="16">
        <f t="shared" si="178"/>
        <v>6.0636685194542603E-3</v>
      </c>
      <c r="J2250" s="16">
        <f t="shared" si="179"/>
        <v>1.0060636685194542</v>
      </c>
      <c r="K2250" s="16">
        <f t="shared" si="175"/>
        <v>59.762105263157899</v>
      </c>
      <c r="L2250" s="16">
        <f t="shared" si="176"/>
        <v>58.956530612244869</v>
      </c>
      <c r="M2250" s="25" t="str">
        <f t="shared" si="177"/>
        <v>HOLD</v>
      </c>
    </row>
    <row r="2251" spans="2:13">
      <c r="B2251" s="3">
        <v>45321</v>
      </c>
      <c r="C2251" s="5">
        <v>59.9</v>
      </c>
      <c r="D2251" s="5">
        <v>59.85</v>
      </c>
      <c r="E2251" s="5">
        <v>60.02</v>
      </c>
      <c r="F2251" s="5">
        <v>59.44</v>
      </c>
      <c r="G2251" s="18" t="s">
        <v>253</v>
      </c>
      <c r="H2251" s="2">
        <v>2.8E-3</v>
      </c>
      <c r="I2251" s="16">
        <f t="shared" si="178"/>
        <v>2.8461409676879576E-3</v>
      </c>
      <c r="J2251" s="16">
        <f t="shared" si="179"/>
        <v>1.0028461409676879</v>
      </c>
      <c r="K2251" s="16">
        <f t="shared" si="175"/>
        <v>59.804210526315785</v>
      </c>
      <c r="L2251" s="16">
        <f t="shared" si="176"/>
        <v>59.007959183673442</v>
      </c>
      <c r="M2251" s="25" t="str">
        <f t="shared" si="177"/>
        <v>HOLD</v>
      </c>
    </row>
    <row r="2252" spans="2:13">
      <c r="B2252" s="3">
        <v>45322</v>
      </c>
      <c r="C2252" s="5">
        <v>59.49</v>
      </c>
      <c r="D2252" s="5">
        <v>60.1</v>
      </c>
      <c r="E2252" s="5">
        <v>60.45</v>
      </c>
      <c r="F2252" s="5">
        <v>59.29</v>
      </c>
      <c r="G2252" s="18" t="s">
        <v>252</v>
      </c>
      <c r="H2252" s="2">
        <v>-6.7999999999999996E-3</v>
      </c>
      <c r="I2252" s="16">
        <f t="shared" si="178"/>
        <v>-6.8447412353922635E-3</v>
      </c>
      <c r="J2252" s="16">
        <f t="shared" si="179"/>
        <v>0.99315525876460775</v>
      </c>
      <c r="K2252" s="16">
        <f t="shared" si="175"/>
        <v>59.808421052631587</v>
      </c>
      <c r="L2252" s="16">
        <f t="shared" si="176"/>
        <v>59.064081632653028</v>
      </c>
      <c r="M2252" s="25" t="str">
        <f t="shared" si="177"/>
        <v>HOLD</v>
      </c>
    </row>
    <row r="2253" spans="2:13">
      <c r="B2253" s="3">
        <v>45323</v>
      </c>
      <c r="C2253" s="5">
        <v>60.98</v>
      </c>
      <c r="D2253" s="5">
        <v>59.57</v>
      </c>
      <c r="E2253" s="5">
        <v>61.01</v>
      </c>
      <c r="F2253" s="5">
        <v>59.36</v>
      </c>
      <c r="G2253" s="18" t="s">
        <v>245</v>
      </c>
      <c r="H2253" s="2">
        <v>2.5000000000000001E-2</v>
      </c>
      <c r="I2253" s="16">
        <f t="shared" si="178"/>
        <v>2.5046226256513614E-2</v>
      </c>
      <c r="J2253" s="16">
        <f t="shared" si="179"/>
        <v>1.0250462262565136</v>
      </c>
      <c r="K2253" s="16">
        <f t="shared" si="175"/>
        <v>59.783684210526324</v>
      </c>
      <c r="L2253" s="16">
        <f t="shared" si="176"/>
        <v>59.109591836734651</v>
      </c>
      <c r="M2253" s="25" t="str">
        <f t="shared" si="177"/>
        <v>HOLD</v>
      </c>
    </row>
    <row r="2254" spans="2:13">
      <c r="B2254" s="3">
        <v>45324</v>
      </c>
      <c r="C2254" s="5">
        <v>60.54</v>
      </c>
      <c r="D2254" s="5">
        <v>60.82</v>
      </c>
      <c r="E2254" s="5">
        <v>60.87</v>
      </c>
      <c r="F2254" s="5">
        <v>60.23</v>
      </c>
      <c r="G2254" s="18" t="s">
        <v>58</v>
      </c>
      <c r="H2254" s="2">
        <v>-7.1999999999999998E-3</v>
      </c>
      <c r="I2254" s="16">
        <f t="shared" si="178"/>
        <v>-7.2154804854050137E-3</v>
      </c>
      <c r="J2254" s="16">
        <f t="shared" si="179"/>
        <v>0.99278451951459501</v>
      </c>
      <c r="K2254" s="16">
        <f t="shared" si="175"/>
        <v>59.847894736842115</v>
      </c>
      <c r="L2254" s="16">
        <f t="shared" si="176"/>
        <v>59.182653061224457</v>
      </c>
      <c r="M2254" s="25" t="str">
        <f t="shared" si="177"/>
        <v>HOLD</v>
      </c>
    </row>
    <row r="2255" spans="2:13">
      <c r="B2255" s="3">
        <v>45327</v>
      </c>
      <c r="C2255" s="5">
        <v>60.04</v>
      </c>
      <c r="D2255" s="5">
        <v>60.38</v>
      </c>
      <c r="E2255" s="5">
        <v>60.38</v>
      </c>
      <c r="F2255" s="5">
        <v>59.88</v>
      </c>
      <c r="G2255" s="18" t="s">
        <v>251</v>
      </c>
      <c r="H2255" s="2">
        <v>-8.3000000000000001E-3</v>
      </c>
      <c r="I2255" s="16">
        <f t="shared" si="178"/>
        <v>-8.2590023125206479E-3</v>
      </c>
      <c r="J2255" s="16">
        <f t="shared" si="179"/>
        <v>0.99174099768747936</v>
      </c>
      <c r="K2255" s="16">
        <f t="shared" si="175"/>
        <v>59.893684210526317</v>
      </c>
      <c r="L2255" s="16">
        <f t="shared" si="176"/>
        <v>59.233877551020385</v>
      </c>
      <c r="M2255" s="25" t="str">
        <f t="shared" si="177"/>
        <v>HOLD</v>
      </c>
    </row>
    <row r="2256" spans="2:13">
      <c r="B2256" s="3">
        <v>45328</v>
      </c>
      <c r="C2256" s="5">
        <v>59.94</v>
      </c>
      <c r="D2256" s="5">
        <v>59.96</v>
      </c>
      <c r="E2256" s="5">
        <v>60.05</v>
      </c>
      <c r="F2256" s="5">
        <v>59.68</v>
      </c>
      <c r="G2256" s="18" t="s">
        <v>250</v>
      </c>
      <c r="H2256" s="2">
        <v>-1.6999999999999999E-3</v>
      </c>
      <c r="I2256" s="16">
        <f t="shared" si="178"/>
        <v>-1.6655562958028218E-3</v>
      </c>
      <c r="J2256" s="16">
        <f t="shared" si="179"/>
        <v>0.99833444370419722</v>
      </c>
      <c r="K2256" s="16">
        <f t="shared" si="175"/>
        <v>59.889999999999993</v>
      </c>
      <c r="L2256" s="16">
        <f t="shared" si="176"/>
        <v>59.266938775510177</v>
      </c>
      <c r="M2256" s="25" t="str">
        <f t="shared" si="177"/>
        <v>HOLD</v>
      </c>
    </row>
    <row r="2257" spans="2:13">
      <c r="B2257" s="3">
        <v>45329</v>
      </c>
      <c r="C2257" s="5">
        <v>59.99</v>
      </c>
      <c r="D2257" s="5">
        <v>60.07</v>
      </c>
      <c r="E2257" s="5">
        <v>60.21</v>
      </c>
      <c r="F2257" s="5">
        <v>59.94</v>
      </c>
      <c r="G2257" s="18" t="s">
        <v>249</v>
      </c>
      <c r="H2257" s="2">
        <v>8.0000000000000004E-4</v>
      </c>
      <c r="I2257" s="16">
        <f t="shared" si="178"/>
        <v>8.3416750083423869E-4</v>
      </c>
      <c r="J2257" s="16">
        <f t="shared" si="179"/>
        <v>1.0008341675008343</v>
      </c>
      <c r="K2257" s="16">
        <f t="shared" si="175"/>
        <v>59.886842105263156</v>
      </c>
      <c r="L2257" s="16">
        <f t="shared" si="176"/>
        <v>59.29489795918365</v>
      </c>
      <c r="M2257" s="25" t="str">
        <f t="shared" si="177"/>
        <v>HOLD</v>
      </c>
    </row>
    <row r="2258" spans="2:13">
      <c r="B2258" s="3">
        <v>45330</v>
      </c>
      <c r="C2258" s="5">
        <v>59.83</v>
      </c>
      <c r="D2258" s="5">
        <v>59.89</v>
      </c>
      <c r="E2258" s="5">
        <v>59.97</v>
      </c>
      <c r="F2258" s="5">
        <v>59.41</v>
      </c>
      <c r="G2258" s="18" t="s">
        <v>248</v>
      </c>
      <c r="H2258" s="2">
        <v>-2.7000000000000001E-3</v>
      </c>
      <c r="I2258" s="16">
        <f t="shared" si="178"/>
        <v>-2.6671111851975945E-3</v>
      </c>
      <c r="J2258" s="16">
        <f t="shared" si="179"/>
        <v>0.99733288881480242</v>
      </c>
      <c r="K2258" s="16">
        <f t="shared" si="175"/>
        <v>59.8757894736842</v>
      </c>
      <c r="L2258" s="16">
        <f t="shared" si="176"/>
        <v>59.326122448979575</v>
      </c>
      <c r="M2258" s="25" t="str">
        <f t="shared" si="177"/>
        <v>HOLD</v>
      </c>
    </row>
    <row r="2259" spans="2:13">
      <c r="B2259" s="3">
        <v>45331</v>
      </c>
      <c r="C2259" s="5">
        <v>59.56</v>
      </c>
      <c r="D2259" s="5">
        <v>59.47</v>
      </c>
      <c r="E2259" s="5">
        <v>59.58</v>
      </c>
      <c r="F2259" s="5">
        <v>59.03</v>
      </c>
      <c r="G2259" s="18" t="s">
        <v>142</v>
      </c>
      <c r="H2259" s="2">
        <v>-4.4999999999999997E-3</v>
      </c>
      <c r="I2259" s="16">
        <f t="shared" si="178"/>
        <v>-4.5127862276449276E-3</v>
      </c>
      <c r="J2259" s="16">
        <f t="shared" si="179"/>
        <v>0.99548721377235505</v>
      </c>
      <c r="K2259" s="16">
        <f t="shared" si="175"/>
        <v>59.876842105263151</v>
      </c>
      <c r="L2259" s="16">
        <f t="shared" si="176"/>
        <v>59.351632653061216</v>
      </c>
      <c r="M2259" s="25" t="str">
        <f t="shared" si="177"/>
        <v>HOLD</v>
      </c>
    </row>
    <row r="2260" spans="2:13">
      <c r="B2260" s="3">
        <v>45334</v>
      </c>
      <c r="C2260" s="5">
        <v>59.7</v>
      </c>
      <c r="D2260" s="5">
        <v>59.66</v>
      </c>
      <c r="E2260" s="5">
        <v>59.76</v>
      </c>
      <c r="F2260" s="5">
        <v>58.96</v>
      </c>
      <c r="G2260" s="18" t="s">
        <v>247</v>
      </c>
      <c r="H2260" s="2">
        <v>2.3999999999999998E-3</v>
      </c>
      <c r="I2260" s="16">
        <f t="shared" si="178"/>
        <v>2.3505708529214333E-3</v>
      </c>
      <c r="J2260" s="16">
        <f t="shared" si="179"/>
        <v>1.0023505708529215</v>
      </c>
      <c r="K2260" s="16">
        <f t="shared" si="175"/>
        <v>59.833157894736829</v>
      </c>
      <c r="L2260" s="16">
        <f t="shared" si="176"/>
        <v>59.378775510204072</v>
      </c>
      <c r="M2260" s="25" t="str">
        <f t="shared" si="177"/>
        <v>HOLD</v>
      </c>
    </row>
    <row r="2261" spans="2:13">
      <c r="B2261" s="3">
        <v>45335</v>
      </c>
      <c r="C2261" s="5">
        <v>59.35</v>
      </c>
      <c r="D2261" s="5">
        <v>59.5</v>
      </c>
      <c r="E2261" s="5">
        <v>60.65</v>
      </c>
      <c r="F2261" s="5">
        <v>58.79</v>
      </c>
      <c r="G2261" s="18" t="s">
        <v>246</v>
      </c>
      <c r="H2261" s="2">
        <v>-5.8999999999999999E-3</v>
      </c>
      <c r="I2261" s="16">
        <f t="shared" si="178"/>
        <v>-5.862646566164178E-3</v>
      </c>
      <c r="J2261" s="16">
        <f t="shared" si="179"/>
        <v>0.9941373534338358</v>
      </c>
      <c r="K2261" s="16">
        <f t="shared" si="175"/>
        <v>59.817894736842113</v>
      </c>
      <c r="L2261" s="16">
        <f t="shared" si="176"/>
        <v>59.404489795918352</v>
      </c>
      <c r="M2261" s="25" t="str">
        <f t="shared" si="177"/>
        <v>HOLD</v>
      </c>
    </row>
    <row r="2262" spans="2:13">
      <c r="B2262" s="3">
        <v>45336</v>
      </c>
      <c r="C2262" s="5">
        <v>59.29</v>
      </c>
      <c r="D2262" s="5">
        <v>59.17</v>
      </c>
      <c r="E2262" s="5">
        <v>59.59</v>
      </c>
      <c r="F2262" s="5">
        <v>59.03</v>
      </c>
      <c r="G2262" s="18" t="s">
        <v>245</v>
      </c>
      <c r="H2262" s="2">
        <v>-1E-3</v>
      </c>
      <c r="I2262" s="16">
        <f t="shared" si="178"/>
        <v>-1.0109519797809987E-3</v>
      </c>
      <c r="J2262" s="16">
        <f t="shared" si="179"/>
        <v>0.99898904802021904</v>
      </c>
      <c r="K2262" s="16">
        <f t="shared" si="175"/>
        <v>59.784210526315796</v>
      </c>
      <c r="L2262" s="16">
        <f t="shared" si="176"/>
        <v>59.418979591836717</v>
      </c>
      <c r="M2262" s="25" t="str">
        <f t="shared" si="177"/>
        <v>HOLD</v>
      </c>
    </row>
    <row r="2263" spans="2:13">
      <c r="B2263" s="3">
        <v>45337</v>
      </c>
      <c r="C2263" s="5">
        <v>59.4</v>
      </c>
      <c r="D2263" s="5">
        <v>59.42</v>
      </c>
      <c r="E2263" s="5">
        <v>59.59</v>
      </c>
      <c r="F2263" s="5">
        <v>59.13</v>
      </c>
      <c r="G2263" s="18" t="s">
        <v>244</v>
      </c>
      <c r="H2263" s="2">
        <v>1.9E-3</v>
      </c>
      <c r="I2263" s="16">
        <f t="shared" si="178"/>
        <v>1.8552875695732743E-3</v>
      </c>
      <c r="J2263" s="16">
        <f t="shared" si="179"/>
        <v>1.0018552875695732</v>
      </c>
      <c r="K2263" s="16">
        <f t="shared" si="175"/>
        <v>59.73842105263158</v>
      </c>
      <c r="L2263" s="16">
        <f t="shared" si="176"/>
        <v>59.433673469387749</v>
      </c>
      <c r="M2263" s="25" t="str">
        <f t="shared" si="177"/>
        <v>HOLD</v>
      </c>
    </row>
    <row r="2264" spans="2:13">
      <c r="B2264" s="3">
        <v>45338</v>
      </c>
      <c r="C2264" s="5">
        <v>59.39</v>
      </c>
      <c r="D2264" s="5">
        <v>59.35</v>
      </c>
      <c r="E2264" s="5">
        <v>59.62</v>
      </c>
      <c r="F2264" s="5">
        <v>58.96</v>
      </c>
      <c r="G2264" s="18" t="s">
        <v>243</v>
      </c>
      <c r="H2264" s="2">
        <v>-2.0000000000000001E-4</v>
      </c>
      <c r="I2264" s="16">
        <f t="shared" si="178"/>
        <v>-1.6835016835013486E-4</v>
      </c>
      <c r="J2264" s="16">
        <f t="shared" si="179"/>
        <v>0.99983164983164985</v>
      </c>
      <c r="K2264" s="16">
        <f t="shared" si="175"/>
        <v>59.715789473684218</v>
      </c>
      <c r="L2264" s="16">
        <f t="shared" si="176"/>
        <v>59.448775510204079</v>
      </c>
      <c r="M2264" s="25" t="str">
        <f t="shared" si="177"/>
        <v>HOLD</v>
      </c>
    </row>
    <row r="2265" spans="2:13">
      <c r="B2265" s="3">
        <v>45342</v>
      </c>
      <c r="C2265" s="5">
        <v>60.7</v>
      </c>
      <c r="D2265" s="5">
        <v>59.6</v>
      </c>
      <c r="E2265" s="5">
        <v>60.84</v>
      </c>
      <c r="F2265" s="5">
        <v>59.51</v>
      </c>
      <c r="G2265" s="18" t="s">
        <v>242</v>
      </c>
      <c r="H2265" s="2">
        <v>2.2100000000000002E-2</v>
      </c>
      <c r="I2265" s="16">
        <f t="shared" si="178"/>
        <v>2.2057585452096351E-2</v>
      </c>
      <c r="J2265" s="16">
        <f t="shared" si="179"/>
        <v>1.0220575854520964</v>
      </c>
      <c r="K2265" s="16">
        <f t="shared" si="175"/>
        <v>59.706315789473685</v>
      </c>
      <c r="L2265" s="16">
        <f t="shared" si="176"/>
        <v>59.464897959183659</v>
      </c>
      <c r="M2265" s="25" t="str">
        <f t="shared" si="177"/>
        <v>HOLD</v>
      </c>
    </row>
    <row r="2266" spans="2:13">
      <c r="B2266" s="3">
        <v>45343</v>
      </c>
      <c r="C2266" s="5">
        <v>61.24</v>
      </c>
      <c r="D2266" s="5">
        <v>60.99</v>
      </c>
      <c r="E2266" s="5">
        <v>61.28</v>
      </c>
      <c r="F2266" s="5">
        <v>60.83</v>
      </c>
      <c r="G2266" s="18" t="s">
        <v>241</v>
      </c>
      <c r="H2266" s="2">
        <v>8.8999999999999999E-3</v>
      </c>
      <c r="I2266" s="16">
        <f t="shared" si="178"/>
        <v>8.8962108731466087E-3</v>
      </c>
      <c r="J2266" s="16">
        <f t="shared" si="179"/>
        <v>1.0088962108731465</v>
      </c>
      <c r="K2266" s="16">
        <f t="shared" si="175"/>
        <v>59.751052631578958</v>
      </c>
      <c r="L2266" s="16">
        <f t="shared" si="176"/>
        <v>59.504897959183651</v>
      </c>
      <c r="M2266" s="25" t="str">
        <f t="shared" si="177"/>
        <v>HOLD</v>
      </c>
    </row>
    <row r="2267" spans="2:13">
      <c r="B2267" s="3">
        <v>45344</v>
      </c>
      <c r="C2267" s="5">
        <v>61.15</v>
      </c>
      <c r="D2267" s="5">
        <v>60.99</v>
      </c>
      <c r="E2267" s="5">
        <v>61.25</v>
      </c>
      <c r="F2267" s="5">
        <v>60.5</v>
      </c>
      <c r="G2267" s="18" t="s">
        <v>240</v>
      </c>
      <c r="H2267" s="2">
        <v>-1.5E-3</v>
      </c>
      <c r="I2267" s="16">
        <f t="shared" si="178"/>
        <v>-1.4696276943174953E-3</v>
      </c>
      <c r="J2267" s="16">
        <f t="shared" si="179"/>
        <v>0.99853037230568253</v>
      </c>
      <c r="K2267" s="16">
        <f t="shared" ref="K2267:K2330" si="180">AVERAGE(C2248:C2266)</f>
        <v>59.873684210526321</v>
      </c>
      <c r="L2267" s="16">
        <f t="shared" si="176"/>
        <v>59.558571428571405</v>
      </c>
      <c r="M2267" s="25" t="str">
        <f t="shared" si="177"/>
        <v>HOLD</v>
      </c>
    </row>
    <row r="2268" spans="2:13">
      <c r="B2268" s="3">
        <v>45345</v>
      </c>
      <c r="C2268" s="5">
        <v>61.2</v>
      </c>
      <c r="D2268" s="5">
        <v>61.09</v>
      </c>
      <c r="E2268" s="5">
        <v>61.62</v>
      </c>
      <c r="F2268" s="5">
        <v>61</v>
      </c>
      <c r="G2268" s="18" t="s">
        <v>239</v>
      </c>
      <c r="H2268" s="2">
        <v>8.0000000000000004E-4</v>
      </c>
      <c r="I2268" s="16">
        <f t="shared" si="178"/>
        <v>8.1766148814397816E-4</v>
      </c>
      <c r="J2268" s="16">
        <f t="shared" si="179"/>
        <v>1.0008176614881439</v>
      </c>
      <c r="K2268" s="16">
        <f t="shared" si="180"/>
        <v>59.978421052631589</v>
      </c>
      <c r="L2268" s="16">
        <f t="shared" si="176"/>
        <v>59.601632653061209</v>
      </c>
      <c r="M2268" s="25" t="str">
        <f t="shared" si="177"/>
        <v>HOLD</v>
      </c>
    </row>
    <row r="2269" spans="2:13">
      <c r="B2269" s="3">
        <v>45348</v>
      </c>
      <c r="C2269" s="5">
        <v>60.71</v>
      </c>
      <c r="D2269" s="5">
        <v>61.24</v>
      </c>
      <c r="E2269" s="5">
        <v>61.27</v>
      </c>
      <c r="F2269" s="5">
        <v>60.66</v>
      </c>
      <c r="G2269" s="18" t="s">
        <v>238</v>
      </c>
      <c r="H2269" s="2">
        <v>-8.0000000000000002E-3</v>
      </c>
      <c r="I2269" s="16">
        <f t="shared" si="178"/>
        <v>-8.0065359477124506E-3</v>
      </c>
      <c r="J2269" s="16">
        <f t="shared" si="179"/>
        <v>0.9919934640522875</v>
      </c>
      <c r="K2269" s="16">
        <f t="shared" si="180"/>
        <v>60.074736842105267</v>
      </c>
      <c r="L2269" s="16">
        <f t="shared" si="176"/>
        <v>59.637959183673452</v>
      </c>
      <c r="M2269" s="25" t="str">
        <f t="shared" si="177"/>
        <v>HOLD</v>
      </c>
    </row>
    <row r="2270" spans="2:13">
      <c r="B2270" s="3">
        <v>45349</v>
      </c>
      <c r="C2270" s="5">
        <v>60.34</v>
      </c>
      <c r="D2270" s="5">
        <v>60.54</v>
      </c>
      <c r="E2270" s="5">
        <v>60.78</v>
      </c>
      <c r="F2270" s="5">
        <v>60.12</v>
      </c>
      <c r="G2270" s="18" t="s">
        <v>237</v>
      </c>
      <c r="H2270" s="2">
        <v>-6.1000000000000004E-3</v>
      </c>
      <c r="I2270" s="16">
        <f t="shared" si="178"/>
        <v>-6.0945478504364596E-3</v>
      </c>
      <c r="J2270" s="16">
        <f t="shared" si="179"/>
        <v>0.9939054521495635</v>
      </c>
      <c r="K2270" s="16">
        <f t="shared" si="180"/>
        <v>60.126315789473686</v>
      </c>
      <c r="L2270" s="16">
        <f t="shared" si="176"/>
        <v>59.653877551020386</v>
      </c>
      <c r="M2270" s="25" t="str">
        <f t="shared" si="177"/>
        <v>HOLD</v>
      </c>
    </row>
    <row r="2271" spans="2:13">
      <c r="B2271" s="3">
        <v>45350</v>
      </c>
      <c r="C2271" s="5">
        <v>60.4</v>
      </c>
      <c r="D2271" s="5">
        <v>60.37</v>
      </c>
      <c r="E2271" s="5">
        <v>60.49</v>
      </c>
      <c r="F2271" s="5">
        <v>60.06</v>
      </c>
      <c r="G2271" s="18" t="s">
        <v>236</v>
      </c>
      <c r="H2271" s="2">
        <v>1E-3</v>
      </c>
      <c r="I2271" s="16">
        <f t="shared" si="178"/>
        <v>9.943652635067148E-4</v>
      </c>
      <c r="J2271" s="16">
        <f t="shared" si="179"/>
        <v>1.0009943652635067</v>
      </c>
      <c r="K2271" s="16">
        <f t="shared" si="180"/>
        <v>60.14947368421052</v>
      </c>
      <c r="L2271" s="16">
        <f t="shared" si="176"/>
        <v>59.680408163265291</v>
      </c>
      <c r="M2271" s="25" t="str">
        <f t="shared" si="177"/>
        <v>HOLD</v>
      </c>
    </row>
    <row r="2272" spans="2:13">
      <c r="B2272" s="3">
        <v>45351</v>
      </c>
      <c r="C2272" s="5">
        <v>60.02</v>
      </c>
      <c r="D2272" s="5">
        <v>60.35</v>
      </c>
      <c r="E2272" s="5">
        <v>60.64</v>
      </c>
      <c r="F2272" s="5">
        <v>59.9</v>
      </c>
      <c r="G2272" s="18" t="s">
        <v>235</v>
      </c>
      <c r="H2272" s="2">
        <v>-6.3E-3</v>
      </c>
      <c r="I2272" s="16">
        <f t="shared" si="178"/>
        <v>-6.2913907284767459E-3</v>
      </c>
      <c r="J2272" s="16">
        <f t="shared" si="179"/>
        <v>0.99370860927152327</v>
      </c>
      <c r="K2272" s="16">
        <f t="shared" si="180"/>
        <v>60.19736842105263</v>
      </c>
      <c r="L2272" s="16">
        <f t="shared" si="176"/>
        <v>59.717142857142846</v>
      </c>
      <c r="M2272" s="25" t="str">
        <f t="shared" si="177"/>
        <v>HOLD</v>
      </c>
    </row>
    <row r="2273" spans="2:13">
      <c r="B2273" s="3">
        <v>45352</v>
      </c>
      <c r="C2273" s="5">
        <v>59.53</v>
      </c>
      <c r="D2273" s="5">
        <v>59.9</v>
      </c>
      <c r="E2273" s="5">
        <v>59.9</v>
      </c>
      <c r="F2273" s="5">
        <v>59.34</v>
      </c>
      <c r="G2273" s="18" t="s">
        <v>234</v>
      </c>
      <c r="H2273" s="2">
        <v>-8.2000000000000007E-3</v>
      </c>
      <c r="I2273" s="16">
        <f t="shared" si="178"/>
        <v>-8.1639453515495158E-3</v>
      </c>
      <c r="J2273" s="16">
        <f t="shared" si="179"/>
        <v>0.99183605464845048</v>
      </c>
      <c r="K2273" s="16">
        <f t="shared" si="180"/>
        <v>60.146842105263168</v>
      </c>
      <c r="L2273" s="16">
        <f t="shared" si="176"/>
        <v>59.737551020408148</v>
      </c>
      <c r="M2273" s="25" t="str">
        <f t="shared" si="177"/>
        <v>HOLD</v>
      </c>
    </row>
    <row r="2274" spans="2:13">
      <c r="B2274" s="3">
        <v>45355</v>
      </c>
      <c r="C2274" s="5">
        <v>59.81</v>
      </c>
      <c r="D2274" s="5">
        <v>59.23</v>
      </c>
      <c r="E2274" s="5">
        <v>59.95</v>
      </c>
      <c r="F2274" s="5">
        <v>59.22</v>
      </c>
      <c r="G2274" s="18" t="s">
        <v>233</v>
      </c>
      <c r="H2274" s="2">
        <v>4.7000000000000002E-3</v>
      </c>
      <c r="I2274" s="16">
        <f t="shared" si="178"/>
        <v>4.7035108348731924E-3</v>
      </c>
      <c r="J2274" s="16">
        <f t="shared" si="179"/>
        <v>1.0047035108348732</v>
      </c>
      <c r="K2274" s="16">
        <f t="shared" si="180"/>
        <v>60.093684210526327</v>
      </c>
      <c r="L2274" s="16">
        <f t="shared" si="176"/>
        <v>59.751836734693875</v>
      </c>
      <c r="M2274" s="25" t="str">
        <f t="shared" si="177"/>
        <v>HOLD</v>
      </c>
    </row>
    <row r="2275" spans="2:13">
      <c r="B2275" s="3">
        <v>45356</v>
      </c>
      <c r="C2275" s="5">
        <v>59.52</v>
      </c>
      <c r="D2275" s="5">
        <v>59.91</v>
      </c>
      <c r="E2275" s="5">
        <v>60.11</v>
      </c>
      <c r="F2275" s="5">
        <v>59.42</v>
      </c>
      <c r="G2275" s="18" t="s">
        <v>232</v>
      </c>
      <c r="H2275" s="2">
        <v>-4.7999999999999996E-3</v>
      </c>
      <c r="I2275" s="16">
        <f t="shared" si="178"/>
        <v>-4.8486875104497432E-3</v>
      </c>
      <c r="J2275" s="16">
        <f t="shared" si="179"/>
        <v>0.99515131248955024</v>
      </c>
      <c r="K2275" s="16">
        <f t="shared" si="180"/>
        <v>60.081578947368428</v>
      </c>
      <c r="L2275" s="16">
        <f t="shared" si="176"/>
        <v>59.796734693877539</v>
      </c>
      <c r="M2275" s="25" t="str">
        <f t="shared" si="177"/>
        <v>HOLD</v>
      </c>
    </row>
    <row r="2276" spans="2:13">
      <c r="B2276" s="3">
        <v>45357</v>
      </c>
      <c r="C2276" s="5">
        <v>59.55</v>
      </c>
      <c r="D2276" s="5">
        <v>59.52</v>
      </c>
      <c r="E2276" s="5">
        <v>59.99</v>
      </c>
      <c r="F2276" s="5">
        <v>59.38</v>
      </c>
      <c r="G2276" s="18" t="s">
        <v>231</v>
      </c>
      <c r="H2276" s="2">
        <v>5.0000000000000001E-4</v>
      </c>
      <c r="I2276" s="16">
        <f t="shared" si="178"/>
        <v>5.0403225806441583E-4</v>
      </c>
      <c r="J2276" s="16">
        <f t="shared" si="179"/>
        <v>1.0005040322580645</v>
      </c>
      <c r="K2276" s="16">
        <f t="shared" si="180"/>
        <v>60.059473684210531</v>
      </c>
      <c r="L2276" s="16">
        <f t="shared" si="176"/>
        <v>59.827959183673464</v>
      </c>
      <c r="M2276" s="25" t="str">
        <f t="shared" si="177"/>
        <v>HOLD</v>
      </c>
    </row>
    <row r="2277" spans="2:13">
      <c r="B2277" s="3">
        <v>45358</v>
      </c>
      <c r="C2277" s="5">
        <v>59.44</v>
      </c>
      <c r="D2277" s="5">
        <v>59.69</v>
      </c>
      <c r="E2277" s="5">
        <v>59.77</v>
      </c>
      <c r="F2277" s="5">
        <v>59.24</v>
      </c>
      <c r="G2277" s="18" t="s">
        <v>205</v>
      </c>
      <c r="H2277" s="2">
        <v>-1.8E-3</v>
      </c>
      <c r="I2277" s="16">
        <f t="shared" si="178"/>
        <v>-1.8471872376154398E-3</v>
      </c>
      <c r="J2277" s="16">
        <f t="shared" si="179"/>
        <v>0.99815281276238454</v>
      </c>
      <c r="K2277" s="16">
        <f t="shared" si="180"/>
        <v>60.036315789473676</v>
      </c>
      <c r="L2277" s="16">
        <f t="shared" si="176"/>
        <v>59.853061224489799</v>
      </c>
      <c r="M2277" s="25" t="str">
        <f t="shared" si="177"/>
        <v>HOLD</v>
      </c>
    </row>
    <row r="2278" spans="2:13">
      <c r="B2278" s="3">
        <v>45359</v>
      </c>
      <c r="C2278" s="5">
        <v>59.52</v>
      </c>
      <c r="D2278" s="5">
        <v>59.3</v>
      </c>
      <c r="E2278" s="5">
        <v>59.79</v>
      </c>
      <c r="F2278" s="5">
        <v>58.97</v>
      </c>
      <c r="G2278" s="18" t="s">
        <v>149</v>
      </c>
      <c r="H2278" s="2">
        <v>1.2999999999999999E-3</v>
      </c>
      <c r="I2278" s="16">
        <f t="shared" si="178"/>
        <v>1.3458950201885162E-3</v>
      </c>
      <c r="J2278" s="16">
        <f t="shared" si="179"/>
        <v>1.0013458950201886</v>
      </c>
      <c r="K2278" s="16">
        <f t="shared" si="180"/>
        <v>60.015789473684208</v>
      </c>
      <c r="L2278" s="16">
        <f t="shared" si="176"/>
        <v>59.871020408163261</v>
      </c>
      <c r="M2278" s="25" t="str">
        <f t="shared" si="177"/>
        <v>HOLD</v>
      </c>
    </row>
    <row r="2279" spans="2:13">
      <c r="B2279" s="3">
        <v>45362</v>
      </c>
      <c r="C2279" s="5">
        <v>60.24</v>
      </c>
      <c r="D2279" s="5">
        <v>59.78</v>
      </c>
      <c r="E2279" s="5">
        <v>60.29</v>
      </c>
      <c r="F2279" s="5">
        <v>59.58</v>
      </c>
      <c r="G2279" s="18" t="s">
        <v>230</v>
      </c>
      <c r="H2279" s="2">
        <v>1.21E-2</v>
      </c>
      <c r="I2279" s="16">
        <f t="shared" si="178"/>
        <v>1.2096774193548368E-2</v>
      </c>
      <c r="J2279" s="16">
        <f t="shared" si="179"/>
        <v>1.0120967741935483</v>
      </c>
      <c r="K2279" s="16">
        <f t="shared" si="180"/>
        <v>60.013684210526314</v>
      </c>
      <c r="L2279" s="16">
        <f t="shared" si="176"/>
        <v>59.887551020408168</v>
      </c>
      <c r="M2279" s="25" t="str">
        <f t="shared" si="177"/>
        <v>HOLD</v>
      </c>
    </row>
    <row r="2280" spans="2:13">
      <c r="B2280" s="3">
        <v>45363</v>
      </c>
      <c r="C2280" s="5">
        <v>60.5</v>
      </c>
      <c r="D2280" s="5">
        <v>60.32</v>
      </c>
      <c r="E2280" s="5">
        <v>60.75</v>
      </c>
      <c r="F2280" s="5">
        <v>60.21</v>
      </c>
      <c r="G2280" s="18" t="s">
        <v>229</v>
      </c>
      <c r="H2280" s="2">
        <v>4.3E-3</v>
      </c>
      <c r="I2280" s="16">
        <f t="shared" si="178"/>
        <v>4.3160690571048804E-3</v>
      </c>
      <c r="J2280" s="16">
        <f t="shared" si="179"/>
        <v>1.0043160690571049</v>
      </c>
      <c r="K2280" s="16">
        <f t="shared" si="180"/>
        <v>60.042105263157893</v>
      </c>
      <c r="L2280" s="16">
        <f t="shared" si="176"/>
        <v>59.917959183673467</v>
      </c>
      <c r="M2280" s="25" t="str">
        <f t="shared" si="177"/>
        <v>HOLD</v>
      </c>
    </row>
    <row r="2281" spans="2:13">
      <c r="B2281" s="3">
        <v>45364</v>
      </c>
      <c r="C2281" s="5">
        <v>61.12</v>
      </c>
      <c r="D2281" s="5">
        <v>60.88</v>
      </c>
      <c r="E2281" s="5">
        <v>61.21</v>
      </c>
      <c r="F2281" s="5">
        <v>60.8</v>
      </c>
      <c r="G2281" s="18" t="s">
        <v>228</v>
      </c>
      <c r="H2281" s="2">
        <v>1.0200000000000001E-2</v>
      </c>
      <c r="I2281" s="16">
        <f t="shared" si="178"/>
        <v>1.0247933884297478E-2</v>
      </c>
      <c r="J2281" s="16">
        <f t="shared" si="179"/>
        <v>1.0102479338842976</v>
      </c>
      <c r="K2281" s="16">
        <f t="shared" si="180"/>
        <v>60.10263157894736</v>
      </c>
      <c r="L2281" s="16">
        <f t="shared" si="176"/>
        <v>59.95</v>
      </c>
      <c r="M2281" s="25" t="str">
        <f t="shared" si="177"/>
        <v>HOLD</v>
      </c>
    </row>
    <row r="2282" spans="2:13">
      <c r="B2282" s="3">
        <v>45365</v>
      </c>
      <c r="C2282" s="5">
        <v>60.5</v>
      </c>
      <c r="D2282" s="5">
        <v>60.58</v>
      </c>
      <c r="E2282" s="5">
        <v>60.8</v>
      </c>
      <c r="F2282" s="5">
        <v>60.4</v>
      </c>
      <c r="G2282" s="18" t="s">
        <v>227</v>
      </c>
      <c r="H2282" s="2">
        <v>-1.01E-2</v>
      </c>
      <c r="I2282" s="16">
        <f t="shared" si="178"/>
        <v>-1.0143979057591582E-2</v>
      </c>
      <c r="J2282" s="16">
        <f t="shared" si="179"/>
        <v>0.98985602094240843</v>
      </c>
      <c r="K2282" s="16">
        <f t="shared" si="180"/>
        <v>60.198947368421038</v>
      </c>
      <c r="L2282" s="16">
        <f t="shared" si="176"/>
        <v>59.976530612244908</v>
      </c>
      <c r="M2282" s="25" t="str">
        <f t="shared" si="177"/>
        <v>HOLD</v>
      </c>
    </row>
    <row r="2283" spans="2:13">
      <c r="B2283" s="3">
        <v>45366</v>
      </c>
      <c r="C2283" s="5">
        <v>59.88</v>
      </c>
      <c r="D2283" s="5">
        <v>60.02</v>
      </c>
      <c r="E2283" s="5">
        <v>60.45</v>
      </c>
      <c r="F2283" s="5">
        <v>59.64</v>
      </c>
      <c r="G2283" s="18" t="s">
        <v>226</v>
      </c>
      <c r="H2283" s="2">
        <v>-1.0200000000000001E-2</v>
      </c>
      <c r="I2283" s="16">
        <f t="shared" si="178"/>
        <v>-1.0247933884297478E-2</v>
      </c>
      <c r="J2283" s="16">
        <f t="shared" si="179"/>
        <v>0.98975206611570254</v>
      </c>
      <c r="K2283" s="16">
        <f t="shared" si="180"/>
        <v>60.256842105263154</v>
      </c>
      <c r="L2283" s="16">
        <f t="shared" si="176"/>
        <v>59.987551020408169</v>
      </c>
      <c r="M2283" s="25" t="str">
        <f t="shared" si="177"/>
        <v>HOLD</v>
      </c>
    </row>
    <row r="2284" spans="2:13">
      <c r="B2284" s="3">
        <v>45369</v>
      </c>
      <c r="C2284" s="5">
        <v>60.13</v>
      </c>
      <c r="D2284" s="5">
        <v>59.89</v>
      </c>
      <c r="E2284" s="5">
        <v>60.4</v>
      </c>
      <c r="F2284" s="5">
        <v>59.8</v>
      </c>
      <c r="G2284" s="18" t="s">
        <v>225</v>
      </c>
      <c r="H2284" s="2">
        <v>4.1999999999999997E-3</v>
      </c>
      <c r="I2284" s="16">
        <f t="shared" si="178"/>
        <v>4.1750167000667998E-3</v>
      </c>
      <c r="J2284" s="16">
        <f t="shared" si="179"/>
        <v>1.0041750167000667</v>
      </c>
      <c r="K2284" s="16">
        <f t="shared" si="180"/>
        <v>60.28263157894736</v>
      </c>
      <c r="L2284" s="16">
        <f t="shared" si="176"/>
        <v>59.990000000000016</v>
      </c>
      <c r="M2284" s="25" t="str">
        <f t="shared" si="177"/>
        <v>HOLD</v>
      </c>
    </row>
    <row r="2285" spans="2:13">
      <c r="B2285" s="3">
        <v>45370</v>
      </c>
      <c r="C2285" s="5">
        <v>60.23</v>
      </c>
      <c r="D2285" s="5">
        <v>60.24</v>
      </c>
      <c r="E2285" s="5">
        <v>60.35</v>
      </c>
      <c r="F2285" s="5">
        <v>60.06</v>
      </c>
      <c r="G2285" s="18" t="s">
        <v>224</v>
      </c>
      <c r="H2285" s="2">
        <v>1.6999999999999999E-3</v>
      </c>
      <c r="I2285" s="16">
        <f t="shared" si="178"/>
        <v>1.6630633627140248E-3</v>
      </c>
      <c r="J2285" s="16">
        <f t="shared" si="179"/>
        <v>1.0016630633627139</v>
      </c>
      <c r="K2285" s="16">
        <f t="shared" si="180"/>
        <v>60.25263157894738</v>
      </c>
      <c r="L2285" s="16">
        <f t="shared" si="176"/>
        <v>59.999387755102056</v>
      </c>
      <c r="M2285" s="25" t="str">
        <f t="shared" si="177"/>
        <v>HOLD</v>
      </c>
    </row>
    <row r="2286" spans="2:13">
      <c r="B2286" s="3">
        <v>45371</v>
      </c>
      <c r="C2286" s="5">
        <v>60.75</v>
      </c>
      <c r="D2286" s="5">
        <v>60.18</v>
      </c>
      <c r="E2286" s="5">
        <v>60.81</v>
      </c>
      <c r="F2286" s="5">
        <v>60.15</v>
      </c>
      <c r="G2286" s="18" t="s">
        <v>223</v>
      </c>
      <c r="H2286" s="2">
        <v>8.6E-3</v>
      </c>
      <c r="I2286" s="16">
        <f t="shared" si="178"/>
        <v>8.6335713099784678E-3</v>
      </c>
      <c r="J2286" s="16">
        <f t="shared" si="179"/>
        <v>1.0086335713099785</v>
      </c>
      <c r="K2286" s="16">
        <f t="shared" si="180"/>
        <v>60.199473684210538</v>
      </c>
      <c r="L2286" s="16">
        <f t="shared" si="176"/>
        <v>60.001836734693882</v>
      </c>
      <c r="M2286" s="25" t="str">
        <f t="shared" si="177"/>
        <v>HOLD</v>
      </c>
    </row>
    <row r="2287" spans="2:13">
      <c r="B2287" s="3">
        <v>45372</v>
      </c>
      <c r="C2287" s="5">
        <v>60.47</v>
      </c>
      <c r="D2287" s="5">
        <v>60.56</v>
      </c>
      <c r="E2287" s="5">
        <v>60.99</v>
      </c>
      <c r="F2287" s="5">
        <v>60.32</v>
      </c>
      <c r="G2287" s="18" t="s">
        <v>222</v>
      </c>
      <c r="H2287" s="2">
        <v>-4.5999999999999999E-3</v>
      </c>
      <c r="I2287" s="16">
        <f t="shared" si="178"/>
        <v>-4.6090534979424053E-3</v>
      </c>
      <c r="J2287" s="16">
        <f t="shared" si="179"/>
        <v>0.99539094650205762</v>
      </c>
      <c r="K2287" s="16">
        <f t="shared" si="180"/>
        <v>60.17842105263157</v>
      </c>
      <c r="L2287" s="16">
        <f t="shared" si="176"/>
        <v>60.017142857142872</v>
      </c>
      <c r="M2287" s="25" t="str">
        <f t="shared" si="177"/>
        <v>HOLD</v>
      </c>
    </row>
    <row r="2288" spans="2:13">
      <c r="B2288" s="3">
        <v>45373</v>
      </c>
      <c r="C2288" s="5">
        <v>60.49</v>
      </c>
      <c r="D2288" s="5">
        <v>60.52</v>
      </c>
      <c r="E2288" s="5">
        <v>60.79</v>
      </c>
      <c r="F2288" s="5">
        <v>60.43</v>
      </c>
      <c r="G2288" s="18" t="s">
        <v>221</v>
      </c>
      <c r="H2288" s="2">
        <v>2.9999999999999997E-4</v>
      </c>
      <c r="I2288" s="16">
        <f t="shared" si="178"/>
        <v>3.3074251695060572E-4</v>
      </c>
      <c r="J2288" s="16">
        <f t="shared" si="179"/>
        <v>1.0003307425169505</v>
      </c>
      <c r="K2288" s="16">
        <f t="shared" si="180"/>
        <v>60.140000000000008</v>
      </c>
      <c r="L2288" s="16">
        <f t="shared" si="176"/>
        <v>60.022653061224496</v>
      </c>
      <c r="M2288" s="25" t="str">
        <f t="shared" si="177"/>
        <v>HOLD</v>
      </c>
    </row>
    <row r="2289" spans="2:13">
      <c r="B2289" s="3">
        <v>45376</v>
      </c>
      <c r="C2289" s="5">
        <v>60.4</v>
      </c>
      <c r="D2289" s="5">
        <v>60.48</v>
      </c>
      <c r="E2289" s="5">
        <v>60.71</v>
      </c>
      <c r="F2289" s="5">
        <v>60.12</v>
      </c>
      <c r="G2289" s="18" t="s">
        <v>220</v>
      </c>
      <c r="H2289" s="2">
        <v>-1.5E-3</v>
      </c>
      <c r="I2289" s="16">
        <f t="shared" si="178"/>
        <v>-1.4878492312779535E-3</v>
      </c>
      <c r="J2289" s="16">
        <f t="shared" si="179"/>
        <v>0.99851215076872202</v>
      </c>
      <c r="K2289" s="16">
        <f t="shared" si="180"/>
        <v>60.12842105263158</v>
      </c>
      <c r="L2289" s="16">
        <f t="shared" si="176"/>
        <v>60.036530612244896</v>
      </c>
      <c r="M2289" s="25" t="str">
        <f t="shared" si="177"/>
        <v>HOLD</v>
      </c>
    </row>
    <row r="2290" spans="2:13">
      <c r="B2290" s="3">
        <v>45377</v>
      </c>
      <c r="C2290" s="5">
        <v>60.54</v>
      </c>
      <c r="D2290" s="5">
        <v>60.5</v>
      </c>
      <c r="E2290" s="5">
        <v>60.71</v>
      </c>
      <c r="F2290" s="5">
        <v>60.38</v>
      </c>
      <c r="G2290" s="18" t="s">
        <v>219</v>
      </c>
      <c r="H2290" s="2">
        <v>2.3E-3</v>
      </c>
      <c r="I2290" s="16">
        <f t="shared" si="178"/>
        <v>2.3178807947019961E-3</v>
      </c>
      <c r="J2290" s="16">
        <f t="shared" si="179"/>
        <v>1.002317880794702</v>
      </c>
      <c r="K2290" s="16">
        <f t="shared" si="180"/>
        <v>60.131578947368418</v>
      </c>
      <c r="L2290" s="16">
        <f t="shared" si="176"/>
        <v>60.036734693877548</v>
      </c>
      <c r="M2290" s="25" t="str">
        <f t="shared" si="177"/>
        <v>HOLD</v>
      </c>
    </row>
    <row r="2291" spans="2:13">
      <c r="B2291" s="3">
        <v>45378</v>
      </c>
      <c r="C2291" s="5">
        <v>61.03</v>
      </c>
      <c r="D2291" s="5">
        <v>60.79</v>
      </c>
      <c r="E2291" s="5">
        <v>61.43</v>
      </c>
      <c r="F2291" s="5">
        <v>60.7</v>
      </c>
      <c r="G2291" s="18" t="s">
        <v>218</v>
      </c>
      <c r="H2291" s="2">
        <v>8.0999999999999996E-3</v>
      </c>
      <c r="I2291" s="16">
        <f t="shared" si="178"/>
        <v>8.0938222662702668E-3</v>
      </c>
      <c r="J2291" s="16">
        <f t="shared" si="179"/>
        <v>1.0080938222662703</v>
      </c>
      <c r="K2291" s="16">
        <f t="shared" si="180"/>
        <v>60.138947368421057</v>
      </c>
      <c r="L2291" s="16">
        <f t="shared" si="176"/>
        <v>60.04795918367347</v>
      </c>
      <c r="M2291" s="25" t="str">
        <f t="shared" si="177"/>
        <v>HOLD</v>
      </c>
    </row>
    <row r="2292" spans="2:13">
      <c r="B2292" s="3">
        <v>45379</v>
      </c>
      <c r="C2292" s="5">
        <v>61.18</v>
      </c>
      <c r="D2292" s="5">
        <v>61.14</v>
      </c>
      <c r="E2292" s="5">
        <v>61.26</v>
      </c>
      <c r="F2292" s="5">
        <v>60.99</v>
      </c>
      <c r="G2292" s="18" t="s">
        <v>217</v>
      </c>
      <c r="H2292" s="2">
        <v>2.5000000000000001E-3</v>
      </c>
      <c r="I2292" s="16">
        <f t="shared" si="178"/>
        <v>2.4578076355890313E-3</v>
      </c>
      <c r="J2292" s="16">
        <f t="shared" si="179"/>
        <v>1.002457807635589</v>
      </c>
      <c r="K2292" s="16">
        <f t="shared" si="180"/>
        <v>60.192105263157899</v>
      </c>
      <c r="L2292" s="16">
        <f t="shared" si="176"/>
        <v>60.069183673469382</v>
      </c>
      <c r="M2292" s="25" t="str">
        <f t="shared" si="177"/>
        <v>HOLD</v>
      </c>
    </row>
    <row r="2293" spans="2:13">
      <c r="B2293" s="3">
        <v>45383</v>
      </c>
      <c r="C2293" s="5">
        <v>60.68</v>
      </c>
      <c r="D2293" s="5">
        <v>61.18</v>
      </c>
      <c r="E2293" s="5">
        <v>61.3</v>
      </c>
      <c r="F2293" s="5">
        <v>60.63</v>
      </c>
      <c r="G2293" s="18" t="s">
        <v>216</v>
      </c>
      <c r="H2293" s="2">
        <v>-8.2000000000000007E-3</v>
      </c>
      <c r="I2293" s="16">
        <f t="shared" si="178"/>
        <v>-8.1726054266100037E-3</v>
      </c>
      <c r="J2293" s="16">
        <f t="shared" si="179"/>
        <v>0.99182739457338998</v>
      </c>
      <c r="K2293" s="16">
        <f t="shared" si="180"/>
        <v>60.278947368421065</v>
      </c>
      <c r="L2293" s="16">
        <f t="shared" si="176"/>
        <v>60.089999999999996</v>
      </c>
      <c r="M2293" s="25" t="str">
        <f t="shared" si="177"/>
        <v>HOLD</v>
      </c>
    </row>
    <row r="2294" spans="2:13">
      <c r="B2294" s="3">
        <v>45384</v>
      </c>
      <c r="C2294" s="5">
        <v>60.15</v>
      </c>
      <c r="D2294" s="5">
        <v>60.45</v>
      </c>
      <c r="E2294" s="5">
        <v>60.73</v>
      </c>
      <c r="F2294" s="5">
        <v>60.11</v>
      </c>
      <c r="G2294" s="18" t="s">
        <v>215</v>
      </c>
      <c r="H2294" s="2">
        <v>-8.6999999999999994E-3</v>
      </c>
      <c r="I2294" s="16">
        <f t="shared" si="178"/>
        <v>-8.7343441001977769E-3</v>
      </c>
      <c r="J2294" s="16">
        <f t="shared" si="179"/>
        <v>0.9912656558998022</v>
      </c>
      <c r="K2294" s="16">
        <f t="shared" si="180"/>
        <v>60.324736842105267</v>
      </c>
      <c r="L2294" s="16">
        <f t="shared" si="176"/>
        <v>60.107346938775507</v>
      </c>
      <c r="M2294" s="25" t="str">
        <f t="shared" si="177"/>
        <v>HOLD</v>
      </c>
    </row>
    <row r="2295" spans="2:13">
      <c r="B2295" s="3">
        <v>45385</v>
      </c>
      <c r="C2295" s="5">
        <v>59.83</v>
      </c>
      <c r="D2295" s="5">
        <v>60.05</v>
      </c>
      <c r="E2295" s="5">
        <v>60.39</v>
      </c>
      <c r="F2295" s="5">
        <v>59.78</v>
      </c>
      <c r="G2295" s="18" t="s">
        <v>214</v>
      </c>
      <c r="H2295" s="2">
        <v>-5.3E-3</v>
      </c>
      <c r="I2295" s="16">
        <f t="shared" si="178"/>
        <v>-5.3200332502078189E-3</v>
      </c>
      <c r="J2295" s="16">
        <f t="shared" si="179"/>
        <v>0.9946799667497922</v>
      </c>
      <c r="K2295" s="16">
        <f t="shared" si="180"/>
        <v>60.357894736842113</v>
      </c>
      <c r="L2295" s="16">
        <f t="shared" si="176"/>
        <v>60.119183673469379</v>
      </c>
      <c r="M2295" s="25" t="str">
        <f t="shared" si="177"/>
        <v>HOLD</v>
      </c>
    </row>
    <row r="2296" spans="2:13">
      <c r="B2296" s="3">
        <v>45386</v>
      </c>
      <c r="C2296" s="5">
        <v>59.3</v>
      </c>
      <c r="D2296" s="5">
        <v>60.09</v>
      </c>
      <c r="E2296" s="5">
        <v>60.15</v>
      </c>
      <c r="F2296" s="5">
        <v>59.17</v>
      </c>
      <c r="G2296" s="18" t="s">
        <v>213</v>
      </c>
      <c r="H2296" s="2">
        <v>-8.8999999999999999E-3</v>
      </c>
      <c r="I2296" s="16">
        <f t="shared" si="178"/>
        <v>-8.8584322246364894E-3</v>
      </c>
      <c r="J2296" s="16">
        <f t="shared" si="179"/>
        <v>0.99114156777536355</v>
      </c>
      <c r="K2296" s="16">
        <f t="shared" si="180"/>
        <v>60.372631578947363</v>
      </c>
      <c r="L2296" s="16">
        <f t="shared" si="176"/>
        <v>60.118775510204088</v>
      </c>
      <c r="M2296" s="25" t="str">
        <f t="shared" si="177"/>
        <v>HOLD</v>
      </c>
    </row>
    <row r="2297" spans="2:13">
      <c r="B2297" s="3">
        <v>45387</v>
      </c>
      <c r="C2297" s="5">
        <v>59.51</v>
      </c>
      <c r="D2297" s="5">
        <v>59.25</v>
      </c>
      <c r="E2297" s="5">
        <v>59.68</v>
      </c>
      <c r="F2297" s="5">
        <v>58.91</v>
      </c>
      <c r="G2297" s="18" t="s">
        <v>212</v>
      </c>
      <c r="H2297" s="2">
        <v>3.5000000000000001E-3</v>
      </c>
      <c r="I2297" s="16">
        <f t="shared" si="178"/>
        <v>3.5413153456998461E-3</v>
      </c>
      <c r="J2297" s="16">
        <f t="shared" si="179"/>
        <v>1.0035413153456998</v>
      </c>
      <c r="K2297" s="16">
        <f t="shared" si="180"/>
        <v>60.365263157894731</v>
      </c>
      <c r="L2297" s="16">
        <f t="shared" ref="L2297:L2360" si="181">AVERAGE(C2248:C2296)</f>
        <v>60.126734693877552</v>
      </c>
      <c r="M2297" s="25" t="str">
        <f t="shared" ref="M2297:M2360" si="182">IF(AND(K2297&gt;L2297,K2296&lt;=L2296),"BUY",IF(AND(K2297&lt;L2297,K2296&gt;=L2296),"SELL","HOLD"))</f>
        <v>HOLD</v>
      </c>
    </row>
    <row r="2298" spans="2:13">
      <c r="B2298" s="3">
        <v>45390</v>
      </c>
      <c r="C2298" s="5">
        <v>59.27</v>
      </c>
      <c r="D2298" s="5">
        <v>59.4</v>
      </c>
      <c r="E2298" s="5">
        <v>59.47</v>
      </c>
      <c r="F2298" s="5">
        <v>59.07</v>
      </c>
      <c r="G2298" s="18" t="s">
        <v>121</v>
      </c>
      <c r="H2298" s="2">
        <v>-4.0000000000000001E-3</v>
      </c>
      <c r="I2298" s="16">
        <f t="shared" si="178"/>
        <v>-4.0329356410686423E-3</v>
      </c>
      <c r="J2298" s="16">
        <f t="shared" si="179"/>
        <v>0.99596706435893134</v>
      </c>
      <c r="K2298" s="16">
        <f t="shared" si="180"/>
        <v>60.364736842105252</v>
      </c>
      <c r="L2298" s="16">
        <f t="shared" si="181"/>
        <v>60.133877551020404</v>
      </c>
      <c r="M2298" s="25" t="str">
        <f t="shared" si="182"/>
        <v>HOLD</v>
      </c>
    </row>
    <row r="2299" spans="2:13">
      <c r="B2299" s="3">
        <v>45391</v>
      </c>
      <c r="C2299" s="5">
        <v>59.72</v>
      </c>
      <c r="D2299" s="5">
        <v>59.48</v>
      </c>
      <c r="E2299" s="5">
        <v>59.74</v>
      </c>
      <c r="F2299" s="5">
        <v>59.13</v>
      </c>
      <c r="G2299" s="18" t="s">
        <v>117</v>
      </c>
      <c r="H2299" s="2">
        <v>7.6E-3</v>
      </c>
      <c r="I2299" s="16">
        <f t="shared" si="178"/>
        <v>7.5923738822337725E-3</v>
      </c>
      <c r="J2299" s="16">
        <f t="shared" si="179"/>
        <v>1.0075923738822339</v>
      </c>
      <c r="K2299" s="16">
        <f t="shared" si="180"/>
        <v>60.313684210526304</v>
      </c>
      <c r="L2299" s="16">
        <f t="shared" si="181"/>
        <v>60.131836734693877</v>
      </c>
      <c r="M2299" s="25" t="str">
        <f t="shared" si="182"/>
        <v>HOLD</v>
      </c>
    </row>
    <row r="2300" spans="2:13">
      <c r="B2300" s="3">
        <v>45392</v>
      </c>
      <c r="C2300" s="5">
        <v>58.92</v>
      </c>
      <c r="D2300" s="5">
        <v>59.32</v>
      </c>
      <c r="E2300" s="5">
        <v>59.39</v>
      </c>
      <c r="F2300" s="5">
        <v>58.69</v>
      </c>
      <c r="G2300" s="18" t="s">
        <v>183</v>
      </c>
      <c r="H2300" s="2">
        <v>-1.34E-2</v>
      </c>
      <c r="I2300" s="16">
        <f t="shared" si="178"/>
        <v>-1.3395847287340877E-2</v>
      </c>
      <c r="J2300" s="16">
        <f t="shared" si="179"/>
        <v>0.98660415271265911</v>
      </c>
      <c r="K2300" s="16">
        <f t="shared" si="180"/>
        <v>60.272631578947362</v>
      </c>
      <c r="L2300" s="16">
        <f t="shared" si="181"/>
        <v>60.131632653061217</v>
      </c>
      <c r="M2300" s="25" t="str">
        <f t="shared" si="182"/>
        <v>HOLD</v>
      </c>
    </row>
    <row r="2301" spans="2:13">
      <c r="B2301" s="3">
        <v>45393</v>
      </c>
      <c r="C2301" s="5">
        <v>59.05</v>
      </c>
      <c r="D2301" s="5">
        <v>59.15</v>
      </c>
      <c r="E2301" s="5">
        <v>59.37</v>
      </c>
      <c r="F2301" s="5">
        <v>58.78</v>
      </c>
      <c r="G2301" s="18" t="s">
        <v>211</v>
      </c>
      <c r="H2301" s="2">
        <v>2.2000000000000001E-3</v>
      </c>
      <c r="I2301" s="16">
        <f t="shared" si="178"/>
        <v>2.2063815342836975E-3</v>
      </c>
      <c r="J2301" s="16">
        <f t="shared" si="179"/>
        <v>1.0022063815342837</v>
      </c>
      <c r="K2301" s="16">
        <f t="shared" si="180"/>
        <v>60.156842105263159</v>
      </c>
      <c r="L2301" s="16">
        <f t="shared" si="181"/>
        <v>60.111632653061221</v>
      </c>
      <c r="M2301" s="25" t="str">
        <f t="shared" si="182"/>
        <v>HOLD</v>
      </c>
    </row>
    <row r="2302" spans="2:13">
      <c r="B2302" s="3">
        <v>45394</v>
      </c>
      <c r="C2302" s="5">
        <v>58.28</v>
      </c>
      <c r="D2302" s="5">
        <v>58.95</v>
      </c>
      <c r="E2302" s="5">
        <v>59.01</v>
      </c>
      <c r="F2302" s="5">
        <v>58.13</v>
      </c>
      <c r="G2302" s="18" t="s">
        <v>210</v>
      </c>
      <c r="H2302" s="2">
        <v>-1.2999999999999999E-2</v>
      </c>
      <c r="I2302" s="16">
        <f t="shared" si="178"/>
        <v>-1.3039796782387741E-2</v>
      </c>
      <c r="J2302" s="16">
        <f t="shared" si="179"/>
        <v>0.98696020321761224</v>
      </c>
      <c r="K2302" s="16">
        <f t="shared" si="180"/>
        <v>60.08052631578947</v>
      </c>
      <c r="L2302" s="16">
        <f t="shared" si="181"/>
        <v>60.102653061224494</v>
      </c>
      <c r="M2302" s="25" t="str">
        <f t="shared" si="182"/>
        <v>SELL</v>
      </c>
    </row>
    <row r="2303" spans="2:13">
      <c r="B2303" s="3">
        <v>45397</v>
      </c>
      <c r="C2303" s="5">
        <v>58.14</v>
      </c>
      <c r="D2303" s="5">
        <v>58.61</v>
      </c>
      <c r="E2303" s="5">
        <v>58.81</v>
      </c>
      <c r="F2303" s="5">
        <v>58.04</v>
      </c>
      <c r="G2303" s="18" t="s">
        <v>209</v>
      </c>
      <c r="H2303" s="2">
        <v>-2.3999999999999998E-3</v>
      </c>
      <c r="I2303" s="16">
        <f t="shared" si="178"/>
        <v>-2.4021962937542992E-3</v>
      </c>
      <c r="J2303" s="16">
        <f t="shared" si="179"/>
        <v>0.99759780370624573</v>
      </c>
      <c r="K2303" s="16">
        <f t="shared" si="180"/>
        <v>59.996315789473677</v>
      </c>
      <c r="L2303" s="16">
        <f t="shared" si="181"/>
        <v>60.047551020408179</v>
      </c>
      <c r="M2303" s="25" t="str">
        <f t="shared" si="182"/>
        <v>HOLD</v>
      </c>
    </row>
    <row r="2304" spans="2:13">
      <c r="B2304" s="3">
        <v>45398</v>
      </c>
      <c r="C2304" s="5">
        <v>58.06</v>
      </c>
      <c r="D2304" s="5">
        <v>58.25</v>
      </c>
      <c r="E2304" s="5">
        <v>58.38</v>
      </c>
      <c r="F2304" s="5">
        <v>57.93</v>
      </c>
      <c r="G2304" s="18" t="s">
        <v>160</v>
      </c>
      <c r="H2304" s="2">
        <v>-1.4E-3</v>
      </c>
      <c r="I2304" s="16">
        <f t="shared" si="178"/>
        <v>-1.375988992088034E-3</v>
      </c>
      <c r="J2304" s="16">
        <f t="shared" si="179"/>
        <v>0.99862401100791198</v>
      </c>
      <c r="K2304" s="16">
        <f t="shared" si="180"/>
        <v>59.891578947368423</v>
      </c>
      <c r="L2304" s="16">
        <f t="shared" si="181"/>
        <v>59.998571428571445</v>
      </c>
      <c r="M2304" s="25" t="str">
        <f t="shared" si="182"/>
        <v>HOLD</v>
      </c>
    </row>
    <row r="2305" spans="2:13">
      <c r="B2305" s="3">
        <v>45399</v>
      </c>
      <c r="C2305" s="5">
        <v>58.51</v>
      </c>
      <c r="D2305" s="5">
        <v>58.28</v>
      </c>
      <c r="E2305" s="5">
        <v>58.56</v>
      </c>
      <c r="F2305" s="5">
        <v>58.1</v>
      </c>
      <c r="G2305" s="18" t="s">
        <v>208</v>
      </c>
      <c r="H2305" s="2">
        <v>7.7999999999999996E-3</v>
      </c>
      <c r="I2305" s="16">
        <f t="shared" si="178"/>
        <v>7.7506028246640667E-3</v>
      </c>
      <c r="J2305" s="16">
        <f t="shared" si="179"/>
        <v>1.0077506028246641</v>
      </c>
      <c r="K2305" s="16">
        <f t="shared" si="180"/>
        <v>59.777368421052628</v>
      </c>
      <c r="L2305" s="16">
        <f t="shared" si="181"/>
        <v>59.95816326530614</v>
      </c>
      <c r="M2305" s="25" t="str">
        <f t="shared" si="182"/>
        <v>HOLD</v>
      </c>
    </row>
    <row r="2306" spans="2:13">
      <c r="B2306" s="3">
        <v>45400</v>
      </c>
      <c r="C2306" s="5">
        <v>58.91</v>
      </c>
      <c r="D2306" s="5">
        <v>58.62</v>
      </c>
      <c r="E2306" s="5">
        <v>58.98</v>
      </c>
      <c r="F2306" s="5">
        <v>58.54</v>
      </c>
      <c r="G2306" s="18" t="s">
        <v>153</v>
      </c>
      <c r="H2306" s="2">
        <v>6.7999999999999996E-3</v>
      </c>
      <c r="I2306" s="16">
        <f t="shared" si="178"/>
        <v>6.8364382156896018E-3</v>
      </c>
      <c r="J2306" s="16">
        <f t="shared" si="179"/>
        <v>1.0068364382156896</v>
      </c>
      <c r="K2306" s="16">
        <f t="shared" si="180"/>
        <v>59.659473684210511</v>
      </c>
      <c r="L2306" s="16">
        <f t="shared" si="181"/>
        <v>59.92897959183675</v>
      </c>
      <c r="M2306" s="25" t="str">
        <f t="shared" si="182"/>
        <v>HOLD</v>
      </c>
    </row>
    <row r="2307" spans="2:13">
      <c r="B2307" s="3">
        <v>45401</v>
      </c>
      <c r="C2307" s="5">
        <v>60.17</v>
      </c>
      <c r="D2307" s="5">
        <v>59.1</v>
      </c>
      <c r="E2307" s="5">
        <v>60.35</v>
      </c>
      <c r="F2307" s="5">
        <v>58.99</v>
      </c>
      <c r="G2307" s="18" t="s">
        <v>207</v>
      </c>
      <c r="H2307" s="2">
        <v>2.1399999999999999E-2</v>
      </c>
      <c r="I2307" s="16">
        <f t="shared" si="178"/>
        <v>2.1388558818536837E-2</v>
      </c>
      <c r="J2307" s="16">
        <f t="shared" si="179"/>
        <v>1.0213885588185367</v>
      </c>
      <c r="K2307" s="16">
        <f t="shared" si="180"/>
        <v>59.577368421052618</v>
      </c>
      <c r="L2307" s="16">
        <f t="shared" si="181"/>
        <v>59.906938775510213</v>
      </c>
      <c r="M2307" s="25" t="str">
        <f t="shared" si="182"/>
        <v>HOLD</v>
      </c>
    </row>
    <row r="2308" spans="2:13">
      <c r="B2308" s="3">
        <v>45404</v>
      </c>
      <c r="C2308" s="5">
        <v>60.55</v>
      </c>
      <c r="D2308" s="5">
        <v>60.14</v>
      </c>
      <c r="E2308" s="5">
        <v>60.63</v>
      </c>
      <c r="F2308" s="5">
        <v>59.72</v>
      </c>
      <c r="G2308" s="18" t="s">
        <v>206</v>
      </c>
      <c r="H2308" s="2">
        <v>6.3E-3</v>
      </c>
      <c r="I2308" s="16">
        <f t="shared" si="178"/>
        <v>6.3154395878343931E-3</v>
      </c>
      <c r="J2308" s="16">
        <f t="shared" si="179"/>
        <v>1.0063154395878344</v>
      </c>
      <c r="K2308" s="16">
        <f t="shared" si="180"/>
        <v>59.560526315789481</v>
      </c>
      <c r="L2308" s="16">
        <f t="shared" si="181"/>
        <v>59.91387755102042</v>
      </c>
      <c r="M2308" s="25" t="str">
        <f t="shared" si="182"/>
        <v>HOLD</v>
      </c>
    </row>
    <row r="2309" spans="2:13">
      <c r="B2309" s="3">
        <v>45405</v>
      </c>
      <c r="C2309" s="5">
        <v>60.64</v>
      </c>
      <c r="D2309" s="5">
        <v>60.53</v>
      </c>
      <c r="E2309" s="5">
        <v>60.67</v>
      </c>
      <c r="F2309" s="5">
        <v>60.13</v>
      </c>
      <c r="G2309" s="18" t="s">
        <v>205</v>
      </c>
      <c r="H2309" s="2">
        <v>1.5E-3</v>
      </c>
      <c r="I2309" s="16">
        <f t="shared" si="178"/>
        <v>1.4863748967795774E-3</v>
      </c>
      <c r="J2309" s="16">
        <f t="shared" si="179"/>
        <v>1.0014863748967795</v>
      </c>
      <c r="K2309" s="16">
        <f t="shared" si="180"/>
        <v>59.568421052631564</v>
      </c>
      <c r="L2309" s="16">
        <f t="shared" si="181"/>
        <v>59.934081632653083</v>
      </c>
      <c r="M2309" s="25" t="str">
        <f t="shared" si="182"/>
        <v>HOLD</v>
      </c>
    </row>
    <row r="2310" spans="2:13">
      <c r="B2310" s="3">
        <v>45406</v>
      </c>
      <c r="C2310" s="5">
        <v>61.55</v>
      </c>
      <c r="D2310" s="5">
        <v>60.32</v>
      </c>
      <c r="E2310" s="5">
        <v>61.65</v>
      </c>
      <c r="F2310" s="5">
        <v>59.84</v>
      </c>
      <c r="G2310" s="18" t="s">
        <v>204</v>
      </c>
      <c r="H2310" s="2">
        <v>1.4999999999999999E-2</v>
      </c>
      <c r="I2310" s="16">
        <f t="shared" si="178"/>
        <v>1.5006596306068546E-2</v>
      </c>
      <c r="J2310" s="16">
        <f t="shared" si="179"/>
        <v>1.0150065963060686</v>
      </c>
      <c r="K2310" s="16">
        <f t="shared" si="180"/>
        <v>59.573684210526309</v>
      </c>
      <c r="L2310" s="16">
        <f t="shared" si="181"/>
        <v>59.953265306122468</v>
      </c>
      <c r="M2310" s="25" t="str">
        <f t="shared" si="182"/>
        <v>HOLD</v>
      </c>
    </row>
    <row r="2311" spans="2:13">
      <c r="B2311" s="3">
        <v>45407</v>
      </c>
      <c r="C2311" s="5">
        <v>61.74</v>
      </c>
      <c r="D2311" s="5">
        <v>61.87</v>
      </c>
      <c r="E2311" s="5">
        <v>62.59</v>
      </c>
      <c r="F2311" s="5">
        <v>61.37</v>
      </c>
      <c r="G2311" s="18" t="s">
        <v>203</v>
      </c>
      <c r="H2311" s="2">
        <v>3.0999999999999999E-3</v>
      </c>
      <c r="I2311" s="16">
        <f t="shared" si="178"/>
        <v>3.0869212022746522E-3</v>
      </c>
      <c r="J2311" s="16">
        <f t="shared" si="179"/>
        <v>1.0030869212022746</v>
      </c>
      <c r="K2311" s="16">
        <f t="shared" si="180"/>
        <v>59.601052631578938</v>
      </c>
      <c r="L2311" s="16">
        <f t="shared" si="181"/>
        <v>59.998163265306147</v>
      </c>
      <c r="M2311" s="25" t="str">
        <f t="shared" si="182"/>
        <v>HOLD</v>
      </c>
    </row>
    <row r="2312" spans="2:13">
      <c r="B2312" s="3">
        <v>45408</v>
      </c>
      <c r="C2312" s="5">
        <v>61.74</v>
      </c>
      <c r="D2312" s="5">
        <v>61.55</v>
      </c>
      <c r="E2312" s="5">
        <v>61.93</v>
      </c>
      <c r="F2312" s="5">
        <v>61.35</v>
      </c>
      <c r="G2312" s="18" t="s">
        <v>200</v>
      </c>
      <c r="H2312" s="2">
        <v>0</v>
      </c>
      <c r="I2312" s="16">
        <f t="shared" si="178"/>
        <v>0</v>
      </c>
      <c r="J2312" s="16">
        <f t="shared" si="179"/>
        <v>1</v>
      </c>
      <c r="K2312" s="16">
        <f t="shared" si="180"/>
        <v>59.63052631578946</v>
      </c>
      <c r="L2312" s="16">
        <f t="shared" si="181"/>
        <v>60.048163265306137</v>
      </c>
      <c r="M2312" s="25" t="str">
        <f t="shared" si="182"/>
        <v>HOLD</v>
      </c>
    </row>
    <row r="2313" spans="2:13">
      <c r="B2313" s="3">
        <v>45411</v>
      </c>
      <c r="C2313" s="5">
        <v>62.04</v>
      </c>
      <c r="D2313" s="5">
        <v>61.92</v>
      </c>
      <c r="E2313" s="5">
        <v>62.05</v>
      </c>
      <c r="F2313" s="5">
        <v>61.53</v>
      </c>
      <c r="G2313" s="18" t="s">
        <v>22</v>
      </c>
      <c r="H2313" s="2">
        <v>4.8999999999999998E-3</v>
      </c>
      <c r="I2313" s="16">
        <f t="shared" ref="I2313:I2376" si="183">(C2313-C2312)/C2312</f>
        <v>4.8590864917395071E-3</v>
      </c>
      <c r="J2313" s="16">
        <f t="shared" ref="J2313:J2376" si="184">C2313/C2312</f>
        <v>1.0048590864917395</v>
      </c>
      <c r="K2313" s="16">
        <f t="shared" si="180"/>
        <v>59.686315789473667</v>
      </c>
      <c r="L2313" s="16">
        <f t="shared" si="181"/>
        <v>60.095918367346947</v>
      </c>
      <c r="M2313" s="25" t="str">
        <f t="shared" si="182"/>
        <v>HOLD</v>
      </c>
    </row>
    <row r="2314" spans="2:13">
      <c r="B2314" s="3">
        <v>45412</v>
      </c>
      <c r="C2314" s="5">
        <v>61.77</v>
      </c>
      <c r="D2314" s="5">
        <v>62.14</v>
      </c>
      <c r="E2314" s="5">
        <v>62.83</v>
      </c>
      <c r="F2314" s="5">
        <v>61.47</v>
      </c>
      <c r="G2314" s="18" t="s">
        <v>202</v>
      </c>
      <c r="H2314" s="2">
        <v>-4.4000000000000003E-3</v>
      </c>
      <c r="I2314" s="16">
        <f t="shared" si="183"/>
        <v>-4.3520309477755644E-3</v>
      </c>
      <c r="J2314" s="16">
        <f t="shared" si="184"/>
        <v>0.99564796905222441</v>
      </c>
      <c r="K2314" s="16">
        <f t="shared" si="180"/>
        <v>59.78578947368419</v>
      </c>
      <c r="L2314" s="16">
        <f t="shared" si="181"/>
        <v>60.150000000000006</v>
      </c>
      <c r="M2314" s="25" t="str">
        <f t="shared" si="182"/>
        <v>HOLD</v>
      </c>
    </row>
    <row r="2315" spans="2:13">
      <c r="B2315" s="3">
        <v>45413</v>
      </c>
      <c r="C2315" s="5">
        <v>61.93</v>
      </c>
      <c r="D2315" s="5">
        <v>61.8</v>
      </c>
      <c r="E2315" s="5">
        <v>62.57</v>
      </c>
      <c r="F2315" s="5">
        <v>61.21</v>
      </c>
      <c r="G2315" s="18" t="s">
        <v>201</v>
      </c>
      <c r="H2315" s="2">
        <v>2.5999999999999999E-3</v>
      </c>
      <c r="I2315" s="16">
        <f t="shared" si="183"/>
        <v>2.5902541686902473E-3</v>
      </c>
      <c r="J2315" s="16">
        <f t="shared" si="184"/>
        <v>1.0025902541686902</v>
      </c>
      <c r="K2315" s="16">
        <f t="shared" si="180"/>
        <v>59.8878947368421</v>
      </c>
      <c r="L2315" s="16">
        <f t="shared" si="181"/>
        <v>60.17183673469389</v>
      </c>
      <c r="M2315" s="25" t="str">
        <f t="shared" si="182"/>
        <v>HOLD</v>
      </c>
    </row>
    <row r="2316" spans="2:13">
      <c r="B2316" s="3">
        <v>45414</v>
      </c>
      <c r="C2316" s="5">
        <v>61.99</v>
      </c>
      <c r="D2316" s="5">
        <v>62.18</v>
      </c>
      <c r="E2316" s="5">
        <v>62.4</v>
      </c>
      <c r="F2316" s="5">
        <v>61.72</v>
      </c>
      <c r="G2316" s="18" t="s">
        <v>200</v>
      </c>
      <c r="H2316" s="2">
        <v>1E-3</v>
      </c>
      <c r="I2316" s="16">
        <f t="shared" si="183"/>
        <v>9.6883578233493092E-4</v>
      </c>
      <c r="J2316" s="16">
        <f t="shared" si="184"/>
        <v>1.000968835782335</v>
      </c>
      <c r="K2316" s="16">
        <f t="shared" si="180"/>
        <v>60.026315789473685</v>
      </c>
      <c r="L2316" s="16">
        <f t="shared" si="181"/>
        <v>60.185918367346943</v>
      </c>
      <c r="M2316" s="25" t="str">
        <f t="shared" si="182"/>
        <v>HOLD</v>
      </c>
    </row>
    <row r="2317" spans="2:13">
      <c r="B2317" s="3">
        <v>45415</v>
      </c>
      <c r="C2317" s="5">
        <v>62.17</v>
      </c>
      <c r="D2317" s="5">
        <v>61.99</v>
      </c>
      <c r="E2317" s="5">
        <v>62.33</v>
      </c>
      <c r="F2317" s="5">
        <v>61.64</v>
      </c>
      <c r="G2317" s="18" t="s">
        <v>199</v>
      </c>
      <c r="H2317" s="2">
        <v>2.8999999999999998E-3</v>
      </c>
      <c r="I2317" s="16">
        <f t="shared" si="183"/>
        <v>2.9036941442168044E-3</v>
      </c>
      <c r="J2317" s="16">
        <f t="shared" si="184"/>
        <v>1.0029036941442169</v>
      </c>
      <c r="K2317" s="16">
        <f t="shared" si="180"/>
        <v>60.156842105263145</v>
      </c>
      <c r="L2317" s="16">
        <f t="shared" si="181"/>
        <v>60.20306122448978</v>
      </c>
      <c r="M2317" s="25" t="str">
        <f t="shared" si="182"/>
        <v>HOLD</v>
      </c>
    </row>
    <row r="2318" spans="2:13">
      <c r="B2318" s="3">
        <v>45418</v>
      </c>
      <c r="C2318" s="5">
        <v>62.35</v>
      </c>
      <c r="D2318" s="5">
        <v>62.3</v>
      </c>
      <c r="E2318" s="5">
        <v>62.38</v>
      </c>
      <c r="F2318" s="5">
        <v>61.9</v>
      </c>
      <c r="G2318" s="18" t="s">
        <v>198</v>
      </c>
      <c r="H2318" s="2">
        <v>2.8999999999999998E-3</v>
      </c>
      <c r="I2318" s="16">
        <f t="shared" si="183"/>
        <v>2.8952871159723293E-3</v>
      </c>
      <c r="J2318" s="16">
        <f t="shared" si="184"/>
        <v>1.0028952871159724</v>
      </c>
      <c r="K2318" s="16">
        <f t="shared" si="180"/>
        <v>60.309473684210523</v>
      </c>
      <c r="L2318" s="16">
        <f t="shared" si="181"/>
        <v>60.222857142857137</v>
      </c>
      <c r="M2318" s="25" t="str">
        <f t="shared" si="182"/>
        <v>BUY</v>
      </c>
    </row>
    <row r="2319" spans="2:13">
      <c r="B2319" s="3">
        <v>45419</v>
      </c>
      <c r="C2319" s="5">
        <v>62.62</v>
      </c>
      <c r="D2319" s="5">
        <v>62.76</v>
      </c>
      <c r="E2319" s="5">
        <v>62.82</v>
      </c>
      <c r="F2319" s="5">
        <v>62.25</v>
      </c>
      <c r="G2319" s="18" t="s">
        <v>197</v>
      </c>
      <c r="H2319" s="2">
        <v>4.3E-3</v>
      </c>
      <c r="I2319" s="16">
        <f t="shared" si="183"/>
        <v>4.3303929430632878E-3</v>
      </c>
      <c r="J2319" s="16">
        <f t="shared" si="184"/>
        <v>1.0043303929430634</v>
      </c>
      <c r="K2319" s="16">
        <f t="shared" si="180"/>
        <v>60.447894736842095</v>
      </c>
      <c r="L2319" s="16">
        <f t="shared" si="181"/>
        <v>60.256326530612242</v>
      </c>
      <c r="M2319" s="25" t="str">
        <f t="shared" si="182"/>
        <v>HOLD</v>
      </c>
    </row>
    <row r="2320" spans="2:13">
      <c r="B2320" s="3">
        <v>45420</v>
      </c>
      <c r="C2320" s="5">
        <v>62.85</v>
      </c>
      <c r="D2320" s="5">
        <v>62.85</v>
      </c>
      <c r="E2320" s="5">
        <v>62.97</v>
      </c>
      <c r="F2320" s="5">
        <v>62.48</v>
      </c>
      <c r="G2320" s="18" t="s">
        <v>196</v>
      </c>
      <c r="H2320" s="2">
        <v>3.7000000000000002E-3</v>
      </c>
      <c r="I2320" s="16">
        <f t="shared" si="183"/>
        <v>3.6729479399553494E-3</v>
      </c>
      <c r="J2320" s="16">
        <f t="shared" si="184"/>
        <v>1.0036729479399553</v>
      </c>
      <c r="K2320" s="16">
        <f t="shared" si="180"/>
        <v>60.642631578947359</v>
      </c>
      <c r="L2320" s="16">
        <f t="shared" si="181"/>
        <v>60.302857142857128</v>
      </c>
      <c r="M2320" s="25" t="str">
        <f t="shared" si="182"/>
        <v>HOLD</v>
      </c>
    </row>
    <row r="2321" spans="2:13">
      <c r="B2321" s="3">
        <v>45421</v>
      </c>
      <c r="C2321" s="5">
        <v>62.88</v>
      </c>
      <c r="D2321" s="5">
        <v>62.81</v>
      </c>
      <c r="E2321" s="5">
        <v>63.15</v>
      </c>
      <c r="F2321" s="5">
        <v>62.75</v>
      </c>
      <c r="G2321" s="18" t="s">
        <v>195</v>
      </c>
      <c r="H2321" s="2">
        <v>5.0000000000000001E-4</v>
      </c>
      <c r="I2321" s="16">
        <f t="shared" si="183"/>
        <v>4.7732696897376508E-4</v>
      </c>
      <c r="J2321" s="16">
        <f t="shared" si="184"/>
        <v>1.0004773269689737</v>
      </c>
      <c r="K2321" s="16">
        <f t="shared" si="180"/>
        <v>60.842631578947341</v>
      </c>
      <c r="L2321" s="16">
        <f t="shared" si="181"/>
        <v>60.352857142857133</v>
      </c>
      <c r="M2321" s="25" t="str">
        <f t="shared" si="182"/>
        <v>HOLD</v>
      </c>
    </row>
    <row r="2322" spans="2:13">
      <c r="B2322" s="3">
        <v>45422</v>
      </c>
      <c r="C2322" s="5">
        <v>63.26</v>
      </c>
      <c r="D2322" s="5">
        <v>62.92</v>
      </c>
      <c r="E2322" s="5">
        <v>63.36</v>
      </c>
      <c r="F2322" s="5">
        <v>62.79</v>
      </c>
      <c r="G2322" s="18" t="s">
        <v>194</v>
      </c>
      <c r="H2322" s="2">
        <v>6.0000000000000001E-3</v>
      </c>
      <c r="I2322" s="16">
        <f t="shared" si="183"/>
        <v>6.0432569974553981E-3</v>
      </c>
      <c r="J2322" s="16">
        <f t="shared" si="184"/>
        <v>1.0060432569974553</v>
      </c>
      <c r="K2322" s="16">
        <f t="shared" si="180"/>
        <v>61.084736842105258</v>
      </c>
      <c r="L2322" s="16">
        <f t="shared" si="181"/>
        <v>60.411224489795913</v>
      </c>
      <c r="M2322" s="25" t="str">
        <f t="shared" si="182"/>
        <v>HOLD</v>
      </c>
    </row>
    <row r="2323" spans="2:13">
      <c r="B2323" s="3">
        <v>45425</v>
      </c>
      <c r="C2323" s="5">
        <v>63.58</v>
      </c>
      <c r="D2323" s="5">
        <v>63.24</v>
      </c>
      <c r="E2323" s="5">
        <v>63.62</v>
      </c>
      <c r="F2323" s="5">
        <v>63.18</v>
      </c>
      <c r="G2323" s="18" t="s">
        <v>193</v>
      </c>
      <c r="H2323" s="2">
        <v>5.1000000000000004E-3</v>
      </c>
      <c r="I2323" s="16">
        <f t="shared" si="183"/>
        <v>5.0584887764780319E-3</v>
      </c>
      <c r="J2323" s="16">
        <f t="shared" si="184"/>
        <v>1.005058488776478</v>
      </c>
      <c r="K2323" s="16">
        <f t="shared" si="180"/>
        <v>61.354210526315789</v>
      </c>
      <c r="L2323" s="16">
        <f t="shared" si="181"/>
        <v>60.487346938775502</v>
      </c>
      <c r="M2323" s="25" t="str">
        <f t="shared" si="182"/>
        <v>HOLD</v>
      </c>
    </row>
    <row r="2324" spans="2:13">
      <c r="B2324" s="3">
        <v>45426</v>
      </c>
      <c r="C2324" s="5">
        <v>63.1</v>
      </c>
      <c r="D2324" s="5">
        <v>63.58</v>
      </c>
      <c r="E2324" s="5">
        <v>63.76</v>
      </c>
      <c r="F2324" s="5">
        <v>62.8</v>
      </c>
      <c r="G2324" s="18" t="s">
        <v>192</v>
      </c>
      <c r="H2324" s="2">
        <v>-7.4999999999999997E-3</v>
      </c>
      <c r="I2324" s="16">
        <f t="shared" si="183"/>
        <v>-7.5495438817237632E-3</v>
      </c>
      <c r="J2324" s="16">
        <f t="shared" si="184"/>
        <v>0.9924504561182762</v>
      </c>
      <c r="K2324" s="16">
        <f t="shared" si="180"/>
        <v>61.64473684210526</v>
      </c>
      <c r="L2324" s="16">
        <f t="shared" si="181"/>
        <v>60.56428571428571</v>
      </c>
      <c r="M2324" s="25" t="str">
        <f t="shared" si="182"/>
        <v>HOLD</v>
      </c>
    </row>
    <row r="2325" spans="2:13">
      <c r="B2325" s="3">
        <v>45427</v>
      </c>
      <c r="C2325" s="5">
        <v>63.13</v>
      </c>
      <c r="D2325" s="5">
        <v>63.06</v>
      </c>
      <c r="E2325" s="5">
        <v>63.39</v>
      </c>
      <c r="F2325" s="5">
        <v>63</v>
      </c>
      <c r="G2325" s="18" t="s">
        <v>135</v>
      </c>
      <c r="H2325" s="2">
        <v>5.0000000000000001E-4</v>
      </c>
      <c r="I2325" s="16">
        <f t="shared" si="183"/>
        <v>4.7543581616483577E-4</v>
      </c>
      <c r="J2325" s="16">
        <f t="shared" si="184"/>
        <v>1.0004754358161649</v>
      </c>
      <c r="K2325" s="16">
        <f t="shared" si="180"/>
        <v>61.886315789473677</v>
      </c>
      <c r="L2325" s="16">
        <f t="shared" si="181"/>
        <v>60.637346938775501</v>
      </c>
      <c r="M2325" s="25" t="str">
        <f t="shared" si="182"/>
        <v>HOLD</v>
      </c>
    </row>
    <row r="2326" spans="2:13">
      <c r="B2326" s="3">
        <v>45428</v>
      </c>
      <c r="C2326" s="5">
        <v>63.32</v>
      </c>
      <c r="D2326" s="5">
        <v>63.24</v>
      </c>
      <c r="E2326" s="5">
        <v>63.72</v>
      </c>
      <c r="F2326" s="5">
        <v>63.07</v>
      </c>
      <c r="G2326" s="18" t="s">
        <v>191</v>
      </c>
      <c r="H2326" s="2">
        <v>3.0000000000000001E-3</v>
      </c>
      <c r="I2326" s="16">
        <f t="shared" si="183"/>
        <v>3.0096626009820642E-3</v>
      </c>
      <c r="J2326" s="16">
        <f t="shared" si="184"/>
        <v>1.0030096626009821</v>
      </c>
      <c r="K2326" s="16">
        <f t="shared" si="180"/>
        <v>62.108421052631577</v>
      </c>
      <c r="L2326" s="16">
        <f t="shared" si="181"/>
        <v>60.710408163265299</v>
      </c>
      <c r="M2326" s="25" t="str">
        <f t="shared" si="182"/>
        <v>HOLD</v>
      </c>
    </row>
    <row r="2327" spans="2:13">
      <c r="B2327" s="3">
        <v>45429</v>
      </c>
      <c r="C2327" s="5">
        <v>63.03</v>
      </c>
      <c r="D2327" s="5">
        <v>63.34</v>
      </c>
      <c r="E2327" s="5">
        <v>63.37</v>
      </c>
      <c r="F2327" s="5">
        <v>62.94</v>
      </c>
      <c r="G2327" s="18" t="s">
        <v>190</v>
      </c>
      <c r="H2327" s="2">
        <v>-4.5999999999999999E-3</v>
      </c>
      <c r="I2327" s="16">
        <f t="shared" si="183"/>
        <v>-4.5799115603284771E-3</v>
      </c>
      <c r="J2327" s="16">
        <f t="shared" si="184"/>
        <v>0.99542008843967156</v>
      </c>
      <c r="K2327" s="16">
        <f t="shared" si="180"/>
        <v>62.274210526315791</v>
      </c>
      <c r="L2327" s="16">
        <f t="shared" si="181"/>
        <v>60.789591836734687</v>
      </c>
      <c r="M2327" s="25" t="str">
        <f t="shared" si="182"/>
        <v>HOLD</v>
      </c>
    </row>
    <row r="2328" spans="2:13">
      <c r="B2328" s="3">
        <v>45432</v>
      </c>
      <c r="C2328" s="5">
        <v>62.57</v>
      </c>
      <c r="D2328" s="5">
        <v>62.93</v>
      </c>
      <c r="E2328" s="5">
        <v>63.01</v>
      </c>
      <c r="F2328" s="5">
        <v>62.46</v>
      </c>
      <c r="G2328" s="18" t="s">
        <v>189</v>
      </c>
      <c r="H2328" s="2">
        <v>-7.3000000000000001E-3</v>
      </c>
      <c r="I2328" s="16">
        <f t="shared" si="183"/>
        <v>-7.2981120101539088E-3</v>
      </c>
      <c r="J2328" s="16">
        <f t="shared" si="184"/>
        <v>0.99270188798984604</v>
      </c>
      <c r="K2328" s="16">
        <f t="shared" si="180"/>
        <v>62.404736842105265</v>
      </c>
      <c r="L2328" s="16">
        <f t="shared" si="181"/>
        <v>60.861224489795923</v>
      </c>
      <c r="M2328" s="25" t="str">
        <f t="shared" si="182"/>
        <v>HOLD</v>
      </c>
    </row>
    <row r="2329" spans="2:13">
      <c r="B2329" s="3">
        <v>45433</v>
      </c>
      <c r="C2329" s="5">
        <v>62.91</v>
      </c>
      <c r="D2329" s="5">
        <v>62.82</v>
      </c>
      <c r="E2329" s="5">
        <v>62.98</v>
      </c>
      <c r="F2329" s="5">
        <v>62.44</v>
      </c>
      <c r="G2329" s="18" t="s">
        <v>188</v>
      </c>
      <c r="H2329" s="2">
        <v>5.4000000000000003E-3</v>
      </c>
      <c r="I2329" s="16">
        <f t="shared" si="183"/>
        <v>5.4339140163016829E-3</v>
      </c>
      <c r="J2329" s="16">
        <f t="shared" si="184"/>
        <v>1.0054339140163018</v>
      </c>
      <c r="K2329" s="16">
        <f t="shared" si="180"/>
        <v>62.506315789473682</v>
      </c>
      <c r="L2329" s="16">
        <f t="shared" si="181"/>
        <v>60.908775510204087</v>
      </c>
      <c r="M2329" s="25" t="str">
        <f t="shared" si="182"/>
        <v>HOLD</v>
      </c>
    </row>
    <row r="2330" spans="2:13">
      <c r="B2330" s="3">
        <v>45434</v>
      </c>
      <c r="C2330" s="5">
        <v>63</v>
      </c>
      <c r="D2330" s="5">
        <v>62.71</v>
      </c>
      <c r="E2330" s="5">
        <v>63.02</v>
      </c>
      <c r="F2330" s="5">
        <v>62.66</v>
      </c>
      <c r="G2330" s="18" t="s">
        <v>187</v>
      </c>
      <c r="H2330" s="2">
        <v>1.4E-3</v>
      </c>
      <c r="I2330" s="16">
        <f t="shared" si="183"/>
        <v>1.4306151645207981E-3</v>
      </c>
      <c r="J2330" s="16">
        <f t="shared" si="184"/>
        <v>1.0014306151645207</v>
      </c>
      <c r="K2330" s="16">
        <f t="shared" si="180"/>
        <v>62.577894736842119</v>
      </c>
      <c r="L2330" s="16">
        <f t="shared" si="181"/>
        <v>60.957959183673474</v>
      </c>
      <c r="M2330" s="25" t="str">
        <f t="shared" si="182"/>
        <v>HOLD</v>
      </c>
    </row>
    <row r="2331" spans="2:13">
      <c r="B2331" s="3">
        <v>45435</v>
      </c>
      <c r="C2331" s="5">
        <v>62.09</v>
      </c>
      <c r="D2331" s="5">
        <v>62.49</v>
      </c>
      <c r="E2331" s="5">
        <v>62.88</v>
      </c>
      <c r="F2331" s="5">
        <v>62.05</v>
      </c>
      <c r="G2331" s="18" t="s">
        <v>186</v>
      </c>
      <c r="H2331" s="2">
        <v>-1.44E-2</v>
      </c>
      <c r="I2331" s="16">
        <f t="shared" si="183"/>
        <v>-1.444444444444439E-2</v>
      </c>
      <c r="J2331" s="16">
        <f t="shared" si="184"/>
        <v>0.98555555555555563</v>
      </c>
      <c r="K2331" s="16">
        <f t="shared" ref="K2331:K2394" si="185">AVERAGE(C2312:C2330)</f>
        <v>62.644210526315803</v>
      </c>
      <c r="L2331" s="16">
        <f t="shared" si="181"/>
        <v>60.996326530612258</v>
      </c>
      <c r="M2331" s="25" t="str">
        <f t="shared" si="182"/>
        <v>HOLD</v>
      </c>
    </row>
    <row r="2332" spans="2:13">
      <c r="B2332" s="3">
        <v>45436</v>
      </c>
      <c r="C2332" s="5">
        <v>62</v>
      </c>
      <c r="D2332" s="5">
        <v>62.22</v>
      </c>
      <c r="E2332" s="5">
        <v>62.42</v>
      </c>
      <c r="F2332" s="5">
        <v>61.97</v>
      </c>
      <c r="G2332" s="18" t="s">
        <v>185</v>
      </c>
      <c r="H2332" s="2">
        <v>-1.4E-3</v>
      </c>
      <c r="I2332" s="16">
        <f t="shared" si="183"/>
        <v>-1.4495087775809857E-3</v>
      </c>
      <c r="J2332" s="16">
        <f t="shared" si="184"/>
        <v>0.99855049122241901</v>
      </c>
      <c r="K2332" s="16">
        <f t="shared" si="185"/>
        <v>62.662631578947376</v>
      </c>
      <c r="L2332" s="16">
        <f t="shared" si="181"/>
        <v>61.028775510204099</v>
      </c>
      <c r="M2332" s="25" t="str">
        <f t="shared" si="182"/>
        <v>HOLD</v>
      </c>
    </row>
    <row r="2333" spans="2:13">
      <c r="B2333" s="3">
        <v>45440</v>
      </c>
      <c r="C2333" s="5">
        <v>61.82</v>
      </c>
      <c r="D2333" s="5">
        <v>61.79</v>
      </c>
      <c r="E2333" s="5">
        <v>62.13</v>
      </c>
      <c r="F2333" s="5">
        <v>61.4</v>
      </c>
      <c r="G2333" s="18" t="s">
        <v>184</v>
      </c>
      <c r="H2333" s="2">
        <v>-2.8999999999999998E-3</v>
      </c>
      <c r="I2333" s="16">
        <f t="shared" si="183"/>
        <v>-2.9032258064516083E-3</v>
      </c>
      <c r="J2333" s="16">
        <f t="shared" si="184"/>
        <v>0.99709677419354836</v>
      </c>
      <c r="K2333" s="16">
        <f t="shared" si="185"/>
        <v>62.660526315789468</v>
      </c>
      <c r="L2333" s="16">
        <f t="shared" si="181"/>
        <v>61.072040816326542</v>
      </c>
      <c r="M2333" s="25" t="str">
        <f t="shared" si="182"/>
        <v>HOLD</v>
      </c>
    </row>
    <row r="2334" spans="2:13">
      <c r="B2334" s="3">
        <v>45441</v>
      </c>
      <c r="C2334" s="5">
        <v>61.7</v>
      </c>
      <c r="D2334" s="5">
        <v>61.47</v>
      </c>
      <c r="E2334" s="5">
        <v>61.88</v>
      </c>
      <c r="F2334" s="5">
        <v>61.07</v>
      </c>
      <c r="G2334" s="18" t="s">
        <v>183</v>
      </c>
      <c r="H2334" s="2">
        <v>-1.9E-3</v>
      </c>
      <c r="I2334" s="16">
        <f t="shared" si="183"/>
        <v>-1.9411193788417575E-3</v>
      </c>
      <c r="J2334" s="16">
        <f t="shared" si="184"/>
        <v>0.99805888062115822</v>
      </c>
      <c r="K2334" s="16">
        <f t="shared" si="185"/>
        <v>62.663157894736834</v>
      </c>
      <c r="L2334" s="16">
        <f t="shared" si="181"/>
        <v>61.106530612244924</v>
      </c>
      <c r="M2334" s="25" t="str">
        <f t="shared" si="182"/>
        <v>HOLD</v>
      </c>
    </row>
    <row r="2335" spans="2:13">
      <c r="B2335" s="3">
        <v>45442</v>
      </c>
      <c r="C2335" s="5">
        <v>61.97</v>
      </c>
      <c r="D2335" s="5">
        <v>61.85</v>
      </c>
      <c r="E2335" s="5">
        <v>62.08</v>
      </c>
      <c r="F2335" s="5">
        <v>61.6</v>
      </c>
      <c r="G2335" s="18" t="s">
        <v>182</v>
      </c>
      <c r="H2335" s="2">
        <v>4.4000000000000003E-3</v>
      </c>
      <c r="I2335" s="16">
        <f t="shared" si="183"/>
        <v>4.3760129659642785E-3</v>
      </c>
      <c r="J2335" s="16">
        <f t="shared" si="184"/>
        <v>1.0043760129659642</v>
      </c>
      <c r="K2335" s="16">
        <f t="shared" si="185"/>
        <v>62.651052631578942</v>
      </c>
      <c r="L2335" s="16">
        <f t="shared" si="181"/>
        <v>61.136530612244918</v>
      </c>
      <c r="M2335" s="25" t="str">
        <f t="shared" si="182"/>
        <v>HOLD</v>
      </c>
    </row>
    <row r="2336" spans="2:13">
      <c r="B2336" s="3">
        <v>45443</v>
      </c>
      <c r="C2336" s="5">
        <v>62.93</v>
      </c>
      <c r="D2336" s="5">
        <v>61.99</v>
      </c>
      <c r="E2336" s="5">
        <v>63.03</v>
      </c>
      <c r="F2336" s="5">
        <v>61.69</v>
      </c>
      <c r="G2336" s="18" t="s">
        <v>34</v>
      </c>
      <c r="H2336" s="2">
        <v>1.55E-2</v>
      </c>
      <c r="I2336" s="16">
        <f t="shared" si="183"/>
        <v>1.5491366790382457E-2</v>
      </c>
      <c r="J2336" s="16">
        <f t="shared" si="184"/>
        <v>1.0154913667903824</v>
      </c>
      <c r="K2336" s="16">
        <f t="shared" si="185"/>
        <v>62.650000000000006</v>
      </c>
      <c r="L2336" s="16">
        <f t="shared" si="181"/>
        <v>61.16142857142858</v>
      </c>
      <c r="M2336" s="25" t="str">
        <f t="shared" si="182"/>
        <v>HOLD</v>
      </c>
    </row>
    <row r="2337" spans="2:13">
      <c r="B2337" s="3">
        <v>45446</v>
      </c>
      <c r="C2337" s="5">
        <v>62.93</v>
      </c>
      <c r="D2337" s="5">
        <v>62.71</v>
      </c>
      <c r="E2337" s="5">
        <v>63.09</v>
      </c>
      <c r="F2337" s="5">
        <v>62.44</v>
      </c>
      <c r="G2337" s="18" t="s">
        <v>105</v>
      </c>
      <c r="H2337" s="2">
        <v>0</v>
      </c>
      <c r="I2337" s="16">
        <f t="shared" si="183"/>
        <v>0</v>
      </c>
      <c r="J2337" s="16">
        <f t="shared" si="184"/>
        <v>1</v>
      </c>
      <c r="K2337" s="16">
        <f t="shared" si="185"/>
        <v>62.690000000000005</v>
      </c>
      <c r="L2337" s="16">
        <f t="shared" si="181"/>
        <v>61.211632653061223</v>
      </c>
      <c r="M2337" s="25" t="str">
        <f t="shared" si="182"/>
        <v>HOLD</v>
      </c>
    </row>
    <row r="2338" spans="2:13">
      <c r="B2338" s="3">
        <v>45447</v>
      </c>
      <c r="C2338" s="5">
        <v>63.94</v>
      </c>
      <c r="D2338" s="5">
        <v>63.2</v>
      </c>
      <c r="E2338" s="5">
        <v>63.97</v>
      </c>
      <c r="F2338" s="5">
        <v>62.94</v>
      </c>
      <c r="G2338" s="18" t="s">
        <v>181</v>
      </c>
      <c r="H2338" s="2">
        <v>1.6E-2</v>
      </c>
      <c r="I2338" s="16">
        <f t="shared" si="183"/>
        <v>1.6049578897187319E-2</v>
      </c>
      <c r="J2338" s="16">
        <f t="shared" si="184"/>
        <v>1.0160495788971873</v>
      </c>
      <c r="K2338" s="16">
        <f t="shared" si="185"/>
        <v>62.720526315789492</v>
      </c>
      <c r="L2338" s="16">
        <f t="shared" si="181"/>
        <v>61.261428571428567</v>
      </c>
      <c r="M2338" s="25" t="str">
        <f t="shared" si="182"/>
        <v>HOLD</v>
      </c>
    </row>
    <row r="2339" spans="2:13">
      <c r="B2339" s="3">
        <v>45448</v>
      </c>
      <c r="C2339" s="5">
        <v>63.92</v>
      </c>
      <c r="D2339" s="5">
        <v>63.99</v>
      </c>
      <c r="E2339" s="5">
        <v>64.069999999999993</v>
      </c>
      <c r="F2339" s="5">
        <v>63.35</v>
      </c>
      <c r="G2339" s="18" t="s">
        <v>180</v>
      </c>
      <c r="H2339" s="2">
        <v>-2.9999999999999997E-4</v>
      </c>
      <c r="I2339" s="16">
        <f t="shared" si="183"/>
        <v>-3.127932436658746E-4</v>
      </c>
      <c r="J2339" s="16">
        <f t="shared" si="184"/>
        <v>0.99968720675633416</v>
      </c>
      <c r="K2339" s="16">
        <f t="shared" si="185"/>
        <v>62.790000000000013</v>
      </c>
      <c r="L2339" s="16">
        <f t="shared" si="181"/>
        <v>61.333673469387755</v>
      </c>
      <c r="M2339" s="25" t="str">
        <f t="shared" si="182"/>
        <v>HOLD</v>
      </c>
    </row>
    <row r="2340" spans="2:13">
      <c r="B2340" s="3">
        <v>45449</v>
      </c>
      <c r="C2340" s="5">
        <v>64.150000000000006</v>
      </c>
      <c r="D2340" s="5">
        <v>63.92</v>
      </c>
      <c r="E2340" s="5">
        <v>64.36</v>
      </c>
      <c r="F2340" s="5">
        <v>63.84</v>
      </c>
      <c r="G2340" s="18" t="s">
        <v>179</v>
      </c>
      <c r="H2340" s="2">
        <v>3.5999999999999999E-3</v>
      </c>
      <c r="I2340" s="16">
        <f t="shared" si="183"/>
        <v>3.5982478097622648E-3</v>
      </c>
      <c r="J2340" s="16">
        <f t="shared" si="184"/>
        <v>1.0035982478097623</v>
      </c>
      <c r="K2340" s="16">
        <f t="shared" si="185"/>
        <v>62.846315789473692</v>
      </c>
      <c r="L2340" s="16">
        <f t="shared" si="181"/>
        <v>61.402653061224491</v>
      </c>
      <c r="M2340" s="25" t="str">
        <f t="shared" si="182"/>
        <v>HOLD</v>
      </c>
    </row>
    <row r="2341" spans="2:13">
      <c r="B2341" s="3">
        <v>45450</v>
      </c>
      <c r="C2341" s="5">
        <v>63.91</v>
      </c>
      <c r="D2341" s="5">
        <v>64.09</v>
      </c>
      <c r="E2341" s="5">
        <v>64.22</v>
      </c>
      <c r="F2341" s="5">
        <v>63.81</v>
      </c>
      <c r="G2341" s="18" t="s">
        <v>178</v>
      </c>
      <c r="H2341" s="2">
        <v>-3.7000000000000002E-3</v>
      </c>
      <c r="I2341" s="16">
        <f t="shared" si="183"/>
        <v>-3.7412314886985047E-3</v>
      </c>
      <c r="J2341" s="16">
        <f t="shared" si="184"/>
        <v>0.99625876851130146</v>
      </c>
      <c r="K2341" s="16">
        <f t="shared" si="185"/>
        <v>62.913157894736848</v>
      </c>
      <c r="L2341" s="16">
        <f t="shared" si="181"/>
        <v>61.466326530612243</v>
      </c>
      <c r="M2341" s="25" t="str">
        <f t="shared" si="182"/>
        <v>HOLD</v>
      </c>
    </row>
    <row r="2342" spans="2:13">
      <c r="B2342" s="3">
        <v>45453</v>
      </c>
      <c r="C2342" s="5">
        <v>63.59</v>
      </c>
      <c r="D2342" s="5">
        <v>63.94</v>
      </c>
      <c r="E2342" s="5">
        <v>63.99</v>
      </c>
      <c r="F2342" s="5">
        <v>63.37</v>
      </c>
      <c r="G2342" s="18" t="s">
        <v>177</v>
      </c>
      <c r="H2342" s="2">
        <v>-5.0000000000000001E-3</v>
      </c>
      <c r="I2342" s="16">
        <f t="shared" si="183"/>
        <v>-5.0070411516193588E-3</v>
      </c>
      <c r="J2342" s="16">
        <f t="shared" si="184"/>
        <v>0.99499295884838068</v>
      </c>
      <c r="K2342" s="16">
        <f t="shared" si="185"/>
        <v>62.947368421052644</v>
      </c>
      <c r="L2342" s="16">
        <f t="shared" si="181"/>
        <v>61.522040816326523</v>
      </c>
      <c r="M2342" s="25" t="str">
        <f t="shared" si="182"/>
        <v>HOLD</v>
      </c>
    </row>
    <row r="2343" spans="2:13">
      <c r="B2343" s="3">
        <v>45454</v>
      </c>
      <c r="C2343" s="5">
        <v>63.55</v>
      </c>
      <c r="D2343" s="5">
        <v>63.59</v>
      </c>
      <c r="E2343" s="5">
        <v>63.65</v>
      </c>
      <c r="F2343" s="5">
        <v>63.07</v>
      </c>
      <c r="G2343" s="18" t="s">
        <v>176</v>
      </c>
      <c r="H2343" s="2">
        <v>-5.9999999999999995E-4</v>
      </c>
      <c r="I2343" s="16">
        <f t="shared" si="183"/>
        <v>-6.2902972165444651E-4</v>
      </c>
      <c r="J2343" s="16">
        <f t="shared" si="184"/>
        <v>0.99937097027834554</v>
      </c>
      <c r="K2343" s="16">
        <f t="shared" si="185"/>
        <v>62.947894736842102</v>
      </c>
      <c r="L2343" s="16">
        <f t="shared" si="181"/>
        <v>61.58142857142856</v>
      </c>
      <c r="M2343" s="25" t="str">
        <f t="shared" si="182"/>
        <v>HOLD</v>
      </c>
    </row>
    <row r="2344" spans="2:13">
      <c r="B2344" s="3">
        <v>45455</v>
      </c>
      <c r="C2344" s="5">
        <v>62.88</v>
      </c>
      <c r="D2344" s="5">
        <v>63.69</v>
      </c>
      <c r="E2344" s="5">
        <v>63.69</v>
      </c>
      <c r="F2344" s="5">
        <v>62.69</v>
      </c>
      <c r="G2344" s="18" t="s">
        <v>175</v>
      </c>
      <c r="H2344" s="2">
        <v>-1.0500000000000001E-2</v>
      </c>
      <c r="I2344" s="16">
        <f t="shared" si="183"/>
        <v>-1.0542879622344526E-2</v>
      </c>
      <c r="J2344" s="16">
        <f t="shared" si="184"/>
        <v>0.98945712037765543</v>
      </c>
      <c r="K2344" s="16">
        <f t="shared" si="185"/>
        <v>62.971578947368421</v>
      </c>
      <c r="L2344" s="16">
        <f t="shared" si="181"/>
        <v>61.650816326530602</v>
      </c>
      <c r="M2344" s="25" t="str">
        <f t="shared" si="182"/>
        <v>HOLD</v>
      </c>
    </row>
    <row r="2345" spans="2:13">
      <c r="B2345" s="3">
        <v>45456</v>
      </c>
      <c r="C2345" s="5">
        <v>62.99</v>
      </c>
      <c r="D2345" s="5">
        <v>62.86</v>
      </c>
      <c r="E2345" s="5">
        <v>63.03</v>
      </c>
      <c r="F2345" s="5">
        <v>62.45</v>
      </c>
      <c r="G2345" s="18" t="s">
        <v>174</v>
      </c>
      <c r="H2345" s="2">
        <v>1.6999999999999999E-3</v>
      </c>
      <c r="I2345" s="16">
        <f t="shared" si="183"/>
        <v>1.7493638676844693E-3</v>
      </c>
      <c r="J2345" s="16">
        <f t="shared" si="184"/>
        <v>1.0017493638676844</v>
      </c>
      <c r="K2345" s="16">
        <f t="shared" si="185"/>
        <v>62.958421052631572</v>
      </c>
      <c r="L2345" s="16">
        <f t="shared" si="181"/>
        <v>61.713061224489785</v>
      </c>
      <c r="M2345" s="25" t="str">
        <f t="shared" si="182"/>
        <v>HOLD</v>
      </c>
    </row>
    <row r="2346" spans="2:13">
      <c r="B2346" s="3">
        <v>45457</v>
      </c>
      <c r="C2346" s="5">
        <v>62.55</v>
      </c>
      <c r="D2346" s="5">
        <v>62.38</v>
      </c>
      <c r="E2346" s="5">
        <v>62.69</v>
      </c>
      <c r="F2346" s="5">
        <v>62.09</v>
      </c>
      <c r="G2346" s="18" t="s">
        <v>173</v>
      </c>
      <c r="H2346" s="2">
        <v>-7.0000000000000001E-3</v>
      </c>
      <c r="I2346" s="16">
        <f t="shared" si="183"/>
        <v>-6.9852357517066963E-3</v>
      </c>
      <c r="J2346" s="16">
        <f t="shared" si="184"/>
        <v>0.99301476424829327</v>
      </c>
      <c r="K2346" s="16">
        <f t="shared" si="185"/>
        <v>62.941052631578941</v>
      </c>
      <c r="L2346" s="16">
        <f t="shared" si="181"/>
        <v>61.78836734693877</v>
      </c>
      <c r="M2346" s="25" t="str">
        <f t="shared" si="182"/>
        <v>HOLD</v>
      </c>
    </row>
    <row r="2347" spans="2:13">
      <c r="B2347" s="3">
        <v>45460</v>
      </c>
      <c r="C2347" s="5">
        <v>62.62</v>
      </c>
      <c r="D2347" s="5">
        <v>62.37</v>
      </c>
      <c r="E2347" s="5">
        <v>62.9</v>
      </c>
      <c r="F2347" s="5">
        <v>62.18</v>
      </c>
      <c r="G2347" s="18" t="s">
        <v>172</v>
      </c>
      <c r="H2347" s="2">
        <v>1.1000000000000001E-3</v>
      </c>
      <c r="I2347" s="16">
        <f t="shared" si="183"/>
        <v>1.1191047162270229E-3</v>
      </c>
      <c r="J2347" s="16">
        <f t="shared" si="184"/>
        <v>1.0011191047162271</v>
      </c>
      <c r="K2347" s="16">
        <f t="shared" si="185"/>
        <v>62.915789473684207</v>
      </c>
      <c r="L2347" s="16">
        <f t="shared" si="181"/>
        <v>61.8504081632653</v>
      </c>
      <c r="M2347" s="25" t="str">
        <f t="shared" si="182"/>
        <v>HOLD</v>
      </c>
    </row>
    <row r="2348" spans="2:13">
      <c r="B2348" s="3">
        <v>45461</v>
      </c>
      <c r="C2348" s="5">
        <v>62.63</v>
      </c>
      <c r="D2348" s="5">
        <v>62.53</v>
      </c>
      <c r="E2348" s="5">
        <v>62.82</v>
      </c>
      <c r="F2348" s="5">
        <v>62.44</v>
      </c>
      <c r="G2348" s="18" t="s">
        <v>67</v>
      </c>
      <c r="H2348" s="2">
        <v>2.0000000000000001E-4</v>
      </c>
      <c r="I2348" s="16">
        <f t="shared" si="183"/>
        <v>1.5969338869378978E-4</v>
      </c>
      <c r="J2348" s="16">
        <f t="shared" si="184"/>
        <v>1.0001596933886938</v>
      </c>
      <c r="K2348" s="16">
        <f t="shared" si="185"/>
        <v>62.918421052631558</v>
      </c>
      <c r="L2348" s="16">
        <f t="shared" si="181"/>
        <v>61.918775510204071</v>
      </c>
      <c r="M2348" s="25" t="str">
        <f t="shared" si="182"/>
        <v>HOLD</v>
      </c>
    </row>
    <row r="2349" spans="2:13">
      <c r="B2349" s="3">
        <v>45463</v>
      </c>
      <c r="C2349" s="5">
        <v>62.18</v>
      </c>
      <c r="D2349" s="5">
        <v>62.4</v>
      </c>
      <c r="E2349" s="5">
        <v>62.74</v>
      </c>
      <c r="F2349" s="5">
        <v>61.94</v>
      </c>
      <c r="G2349" s="18" t="s">
        <v>171</v>
      </c>
      <c r="H2349" s="2">
        <v>-7.1999999999999998E-3</v>
      </c>
      <c r="I2349" s="16">
        <f t="shared" si="183"/>
        <v>-7.1850550854223663E-3</v>
      </c>
      <c r="J2349" s="16">
        <f t="shared" si="184"/>
        <v>0.99281494491457767</v>
      </c>
      <c r="K2349" s="16">
        <f t="shared" si="185"/>
        <v>62.903684210526322</v>
      </c>
      <c r="L2349" s="16">
        <f t="shared" si="181"/>
        <v>61.978163265306108</v>
      </c>
      <c r="M2349" s="25" t="str">
        <f t="shared" si="182"/>
        <v>HOLD</v>
      </c>
    </row>
    <row r="2350" spans="2:13">
      <c r="B2350" s="3">
        <v>45464</v>
      </c>
      <c r="C2350" s="5">
        <v>62.77</v>
      </c>
      <c r="D2350" s="5">
        <v>62.18</v>
      </c>
      <c r="E2350" s="5">
        <v>63.1</v>
      </c>
      <c r="F2350" s="5">
        <v>62.18</v>
      </c>
      <c r="G2350" s="18" t="s">
        <v>170</v>
      </c>
      <c r="H2350" s="2">
        <v>9.4999999999999998E-3</v>
      </c>
      <c r="I2350" s="16">
        <f t="shared" si="183"/>
        <v>9.4885815374719101E-3</v>
      </c>
      <c r="J2350" s="16">
        <f t="shared" si="184"/>
        <v>1.0094885815374719</v>
      </c>
      <c r="K2350" s="16">
        <f t="shared" si="185"/>
        <v>62.860526315789478</v>
      </c>
      <c r="L2350" s="16">
        <f t="shared" si="181"/>
        <v>62.044693877551005</v>
      </c>
      <c r="M2350" s="25" t="str">
        <f t="shared" si="182"/>
        <v>HOLD</v>
      </c>
    </row>
    <row r="2351" spans="2:13">
      <c r="B2351" s="3">
        <v>45467</v>
      </c>
      <c r="C2351" s="5">
        <v>63.97</v>
      </c>
      <c r="D2351" s="5">
        <v>62.99</v>
      </c>
      <c r="E2351" s="5">
        <v>64.06</v>
      </c>
      <c r="F2351" s="5">
        <v>62.91</v>
      </c>
      <c r="G2351" s="18" t="s">
        <v>169</v>
      </c>
      <c r="H2351" s="2">
        <v>1.9099999999999999E-2</v>
      </c>
      <c r="I2351" s="16">
        <f t="shared" si="183"/>
        <v>1.9117412776804139E-2</v>
      </c>
      <c r="J2351" s="16">
        <f t="shared" si="184"/>
        <v>1.0191174127768041</v>
      </c>
      <c r="K2351" s="16">
        <f t="shared" si="185"/>
        <v>62.896315789473682</v>
      </c>
      <c r="L2351" s="16">
        <f t="shared" si="181"/>
        <v>62.120612244897949</v>
      </c>
      <c r="M2351" s="25" t="str">
        <f t="shared" si="182"/>
        <v>HOLD</v>
      </c>
    </row>
    <row r="2352" spans="2:13">
      <c r="B2352" s="3">
        <v>45468</v>
      </c>
      <c r="C2352" s="5">
        <v>63.84</v>
      </c>
      <c r="D2352" s="5">
        <v>63.94</v>
      </c>
      <c r="E2352" s="5">
        <v>64.069999999999993</v>
      </c>
      <c r="F2352" s="5">
        <v>63.51</v>
      </c>
      <c r="G2352" s="18" t="s">
        <v>168</v>
      </c>
      <c r="H2352" s="2">
        <v>-2E-3</v>
      </c>
      <c r="I2352" s="16">
        <f t="shared" si="183"/>
        <v>-2.0322025949663196E-3</v>
      </c>
      <c r="J2352" s="16">
        <f t="shared" si="184"/>
        <v>0.99796779740503372</v>
      </c>
      <c r="K2352" s="16">
        <f t="shared" si="185"/>
        <v>63</v>
      </c>
      <c r="L2352" s="16">
        <f t="shared" si="181"/>
        <v>62.236734693877537</v>
      </c>
      <c r="M2352" s="25" t="str">
        <f t="shared" si="182"/>
        <v>HOLD</v>
      </c>
    </row>
    <row r="2353" spans="2:13">
      <c r="B2353" s="3">
        <v>45469</v>
      </c>
      <c r="C2353" s="5">
        <v>64.05</v>
      </c>
      <c r="D2353" s="5">
        <v>63.4</v>
      </c>
      <c r="E2353" s="5">
        <v>64.11</v>
      </c>
      <c r="F2353" s="5">
        <v>63.23</v>
      </c>
      <c r="G2353" s="18" t="s">
        <v>167</v>
      </c>
      <c r="H2353" s="2">
        <v>3.3E-3</v>
      </c>
      <c r="I2353" s="16">
        <f t="shared" si="183"/>
        <v>3.2894736842104281E-3</v>
      </c>
      <c r="J2353" s="16">
        <f t="shared" si="184"/>
        <v>1.0032894736842104</v>
      </c>
      <c r="K2353" s="16">
        <f t="shared" si="185"/>
        <v>63.106315789473683</v>
      </c>
      <c r="L2353" s="16">
        <f t="shared" si="181"/>
        <v>62.353061224489799</v>
      </c>
      <c r="M2353" s="25" t="str">
        <f t="shared" si="182"/>
        <v>HOLD</v>
      </c>
    </row>
    <row r="2354" spans="2:13">
      <c r="B2354" s="3">
        <v>45470</v>
      </c>
      <c r="C2354" s="5">
        <v>63.91</v>
      </c>
      <c r="D2354" s="5">
        <v>64.05</v>
      </c>
      <c r="E2354" s="5">
        <v>64.27</v>
      </c>
      <c r="F2354" s="5">
        <v>63.62</v>
      </c>
      <c r="G2354" s="18" t="s">
        <v>166</v>
      </c>
      <c r="H2354" s="2">
        <v>-2.2000000000000001E-3</v>
      </c>
      <c r="I2354" s="16">
        <f t="shared" si="183"/>
        <v>-2.1857923497267851E-3</v>
      </c>
      <c r="J2354" s="16">
        <f t="shared" si="184"/>
        <v>0.99781420765027318</v>
      </c>
      <c r="K2354" s="16">
        <f t="shared" si="185"/>
        <v>63.229999999999983</v>
      </c>
      <c r="L2354" s="16">
        <f t="shared" si="181"/>
        <v>62.475306122448991</v>
      </c>
      <c r="M2354" s="25" t="str">
        <f t="shared" si="182"/>
        <v>HOLD</v>
      </c>
    </row>
    <row r="2355" spans="2:13">
      <c r="B2355" s="3">
        <v>45471</v>
      </c>
      <c r="C2355" s="5">
        <v>63.65</v>
      </c>
      <c r="D2355" s="5">
        <v>63.9</v>
      </c>
      <c r="E2355" s="5">
        <v>64.06</v>
      </c>
      <c r="F2355" s="5">
        <v>63.52</v>
      </c>
      <c r="G2355" s="18" t="s">
        <v>165</v>
      </c>
      <c r="H2355" s="2">
        <v>-4.1000000000000003E-3</v>
      </c>
      <c r="I2355" s="16">
        <f t="shared" si="183"/>
        <v>-4.0682209356907844E-3</v>
      </c>
      <c r="J2355" s="16">
        <f t="shared" si="184"/>
        <v>0.99593177906430919</v>
      </c>
      <c r="K2355" s="16">
        <f t="shared" si="185"/>
        <v>63.332105263157892</v>
      </c>
      <c r="L2355" s="16">
        <f t="shared" si="181"/>
        <v>62.585510204081636</v>
      </c>
      <c r="M2355" s="25" t="str">
        <f t="shared" si="182"/>
        <v>HOLD</v>
      </c>
    </row>
    <row r="2356" spans="2:13">
      <c r="B2356" s="3">
        <v>45474</v>
      </c>
      <c r="C2356" s="5">
        <v>63.28</v>
      </c>
      <c r="D2356" s="5">
        <v>64.03</v>
      </c>
      <c r="E2356" s="5">
        <v>64.3</v>
      </c>
      <c r="F2356" s="5">
        <v>63.12</v>
      </c>
      <c r="G2356" s="18" t="s">
        <v>164</v>
      </c>
      <c r="H2356" s="2">
        <v>-5.7999999999999996E-3</v>
      </c>
      <c r="I2356" s="16">
        <f t="shared" si="183"/>
        <v>-5.8130400628436359E-3</v>
      </c>
      <c r="J2356" s="16">
        <f t="shared" si="184"/>
        <v>0.99418695993715633</v>
      </c>
      <c r="K2356" s="16">
        <f t="shared" si="185"/>
        <v>63.370000000000012</v>
      </c>
      <c r="L2356" s="16">
        <f t="shared" si="181"/>
        <v>62.682244897959187</v>
      </c>
      <c r="M2356" s="25" t="str">
        <f t="shared" si="182"/>
        <v>HOLD</v>
      </c>
    </row>
    <row r="2357" spans="2:13">
      <c r="B2357" s="3">
        <v>45475</v>
      </c>
      <c r="C2357" s="5">
        <v>63.15</v>
      </c>
      <c r="D2357" s="5">
        <v>63.26</v>
      </c>
      <c r="E2357" s="5">
        <v>63.38</v>
      </c>
      <c r="F2357" s="5">
        <v>62.85</v>
      </c>
      <c r="G2357" s="18" t="s">
        <v>163</v>
      </c>
      <c r="H2357" s="2">
        <v>-2.0999999999999999E-3</v>
      </c>
      <c r="I2357" s="16">
        <f t="shared" si="183"/>
        <v>-2.0543615676359441E-3</v>
      </c>
      <c r="J2357" s="16">
        <f t="shared" si="184"/>
        <v>0.99794563843236406</v>
      </c>
      <c r="K2357" s="16">
        <f t="shared" si="185"/>
        <v>63.388421052631585</v>
      </c>
      <c r="L2357" s="16">
        <f t="shared" si="181"/>
        <v>62.745714285714293</v>
      </c>
      <c r="M2357" s="25" t="str">
        <f t="shared" si="182"/>
        <v>HOLD</v>
      </c>
    </row>
    <row r="2358" spans="2:13">
      <c r="B2358" s="3">
        <v>45476</v>
      </c>
      <c r="C2358" s="5">
        <v>63.33</v>
      </c>
      <c r="D2358" s="5">
        <v>63.19</v>
      </c>
      <c r="E2358" s="5">
        <v>63.67</v>
      </c>
      <c r="F2358" s="5">
        <v>62.93</v>
      </c>
      <c r="G2358" s="18" t="s">
        <v>162</v>
      </c>
      <c r="H2358" s="2">
        <v>2.8999999999999998E-3</v>
      </c>
      <c r="I2358" s="16">
        <f t="shared" si="183"/>
        <v>2.8503562945368125E-3</v>
      </c>
      <c r="J2358" s="16">
        <f t="shared" si="184"/>
        <v>1.0028503562945368</v>
      </c>
      <c r="K2358" s="16">
        <f t="shared" si="185"/>
        <v>63.346842105263157</v>
      </c>
      <c r="L2358" s="16">
        <f t="shared" si="181"/>
        <v>62.798775510204095</v>
      </c>
      <c r="M2358" s="25" t="str">
        <f t="shared" si="182"/>
        <v>HOLD</v>
      </c>
    </row>
    <row r="2359" spans="2:13">
      <c r="B2359" s="3">
        <v>45478</v>
      </c>
      <c r="C2359" s="5">
        <v>63.76</v>
      </c>
      <c r="D2359" s="5">
        <v>63.33</v>
      </c>
      <c r="E2359" s="5">
        <v>63.79</v>
      </c>
      <c r="F2359" s="5">
        <v>62.99</v>
      </c>
      <c r="G2359" s="18" t="s">
        <v>161</v>
      </c>
      <c r="H2359" s="2">
        <v>6.7999999999999996E-3</v>
      </c>
      <c r="I2359" s="16">
        <f t="shared" si="183"/>
        <v>6.7898310437391396E-3</v>
      </c>
      <c r="J2359" s="16">
        <f t="shared" si="184"/>
        <v>1.0067898310437391</v>
      </c>
      <c r="K2359" s="16">
        <f t="shared" si="185"/>
        <v>63.315789473684212</v>
      </c>
      <c r="L2359" s="16">
        <f t="shared" si="181"/>
        <v>62.853673469387772</v>
      </c>
      <c r="M2359" s="25" t="str">
        <f t="shared" si="182"/>
        <v>HOLD</v>
      </c>
    </row>
    <row r="2360" spans="2:13">
      <c r="B2360" s="3">
        <v>45481</v>
      </c>
      <c r="C2360" s="5">
        <v>62.96</v>
      </c>
      <c r="D2360" s="5">
        <v>63.59</v>
      </c>
      <c r="E2360" s="5">
        <v>63.59</v>
      </c>
      <c r="F2360" s="5">
        <v>62.84</v>
      </c>
      <c r="G2360" s="18" t="s">
        <v>160</v>
      </c>
      <c r="H2360" s="2">
        <v>-1.2500000000000001E-2</v>
      </c>
      <c r="I2360" s="16">
        <f t="shared" si="183"/>
        <v>-1.2547051442910871E-2</v>
      </c>
      <c r="J2360" s="16">
        <f t="shared" si="184"/>
        <v>0.98745294855708909</v>
      </c>
      <c r="K2360" s="16">
        <f t="shared" si="185"/>
        <v>63.29526315789473</v>
      </c>
      <c r="L2360" s="16">
        <f t="shared" si="181"/>
        <v>62.898775510204096</v>
      </c>
      <c r="M2360" s="25" t="str">
        <f t="shared" si="182"/>
        <v>HOLD</v>
      </c>
    </row>
    <row r="2361" spans="2:13">
      <c r="B2361" s="3">
        <v>45482</v>
      </c>
      <c r="C2361" s="5">
        <v>62.69</v>
      </c>
      <c r="D2361" s="5">
        <v>63.06</v>
      </c>
      <c r="E2361" s="5">
        <v>63.23</v>
      </c>
      <c r="F2361" s="5">
        <v>62.59</v>
      </c>
      <c r="G2361" s="18" t="s">
        <v>159</v>
      </c>
      <c r="H2361" s="2">
        <v>-4.3E-3</v>
      </c>
      <c r="I2361" s="16">
        <f t="shared" si="183"/>
        <v>-4.2884371029225403E-3</v>
      </c>
      <c r="J2361" s="16">
        <f t="shared" si="184"/>
        <v>0.99571156289707741</v>
      </c>
      <c r="K2361" s="16">
        <f t="shared" si="185"/>
        <v>63.245263157894726</v>
      </c>
      <c r="L2361" s="16">
        <f t="shared" ref="L2361:L2424" si="186">AVERAGE(C2312:C2360)</f>
        <v>62.923673469387772</v>
      </c>
      <c r="M2361" s="25" t="str">
        <f t="shared" ref="M2361:M2424" si="187">IF(AND(K2361&gt;L2361,K2360&lt;=L2360),"BUY",IF(AND(K2361&lt;L2361,K2360&gt;=L2360),"SELL","HOLD"))</f>
        <v>HOLD</v>
      </c>
    </row>
    <row r="2362" spans="2:13">
      <c r="B2362" s="3">
        <v>45483</v>
      </c>
      <c r="C2362" s="5">
        <v>62.83</v>
      </c>
      <c r="D2362" s="5">
        <v>62.72</v>
      </c>
      <c r="E2362" s="5">
        <v>62.86</v>
      </c>
      <c r="F2362" s="5">
        <v>62.28</v>
      </c>
      <c r="G2362" s="18" t="s">
        <v>158</v>
      </c>
      <c r="H2362" s="2">
        <v>2.2000000000000001E-3</v>
      </c>
      <c r="I2362" s="16">
        <f t="shared" si="183"/>
        <v>2.233211038443142E-3</v>
      </c>
      <c r="J2362" s="16">
        <f t="shared" si="184"/>
        <v>1.0022332110384431</v>
      </c>
      <c r="K2362" s="16">
        <f t="shared" si="185"/>
        <v>63.197894736842102</v>
      </c>
      <c r="L2362" s="16">
        <f t="shared" si="186"/>
        <v>62.943061224489817</v>
      </c>
      <c r="M2362" s="25" t="str">
        <f t="shared" si="187"/>
        <v>HOLD</v>
      </c>
    </row>
    <row r="2363" spans="2:13">
      <c r="B2363" s="3">
        <v>45484</v>
      </c>
      <c r="C2363" s="5">
        <v>63.1</v>
      </c>
      <c r="D2363" s="5">
        <v>62.64</v>
      </c>
      <c r="E2363" s="5">
        <v>63.46</v>
      </c>
      <c r="F2363" s="5">
        <v>62.4</v>
      </c>
      <c r="G2363" s="18" t="s">
        <v>157</v>
      </c>
      <c r="H2363" s="2">
        <v>4.3E-3</v>
      </c>
      <c r="I2363" s="16">
        <f t="shared" si="183"/>
        <v>4.2973102021327892E-3</v>
      </c>
      <c r="J2363" s="16">
        <f t="shared" si="184"/>
        <v>1.0042973102021329</v>
      </c>
      <c r="K2363" s="16">
        <f t="shared" si="185"/>
        <v>63.16</v>
      </c>
      <c r="L2363" s="16">
        <f t="shared" si="186"/>
        <v>62.959183673469404</v>
      </c>
      <c r="M2363" s="25" t="str">
        <f t="shared" si="187"/>
        <v>HOLD</v>
      </c>
    </row>
    <row r="2364" spans="2:13">
      <c r="B2364" s="3">
        <v>45485</v>
      </c>
      <c r="C2364" s="5">
        <v>63.7</v>
      </c>
      <c r="D2364" s="5">
        <v>63.46</v>
      </c>
      <c r="E2364" s="5">
        <v>64.11</v>
      </c>
      <c r="F2364" s="5">
        <v>63.38</v>
      </c>
      <c r="G2364" s="18" t="s">
        <v>156</v>
      </c>
      <c r="H2364" s="2">
        <v>9.4999999999999998E-3</v>
      </c>
      <c r="I2364" s="16">
        <f t="shared" si="183"/>
        <v>9.5087163232963779E-3</v>
      </c>
      <c r="J2364" s="16">
        <f t="shared" si="184"/>
        <v>1.0095087163232963</v>
      </c>
      <c r="K2364" s="16">
        <f t="shared" si="185"/>
        <v>63.17157894736841</v>
      </c>
      <c r="L2364" s="16">
        <f t="shared" si="186"/>
        <v>62.98632653061226</v>
      </c>
      <c r="M2364" s="25" t="str">
        <f t="shared" si="187"/>
        <v>HOLD</v>
      </c>
    </row>
    <row r="2365" spans="2:13">
      <c r="B2365" s="3">
        <v>45488</v>
      </c>
      <c r="C2365" s="5">
        <v>63.41</v>
      </c>
      <c r="D2365" s="5">
        <v>63.79</v>
      </c>
      <c r="E2365" s="5">
        <v>63.94</v>
      </c>
      <c r="F2365" s="5">
        <v>63.35</v>
      </c>
      <c r="G2365" s="18" t="s">
        <v>155</v>
      </c>
      <c r="H2365" s="2">
        <v>-4.5999999999999999E-3</v>
      </c>
      <c r="I2365" s="16">
        <f t="shared" si="183"/>
        <v>-4.552590266876079E-3</v>
      </c>
      <c r="J2365" s="16">
        <f t="shared" si="184"/>
        <v>0.99544740973312396</v>
      </c>
      <c r="K2365" s="16">
        <f t="shared" si="185"/>
        <v>63.208947368421057</v>
      </c>
      <c r="L2365" s="16">
        <f t="shared" si="186"/>
        <v>63.022448979591843</v>
      </c>
      <c r="M2365" s="25" t="str">
        <f t="shared" si="187"/>
        <v>HOLD</v>
      </c>
    </row>
    <row r="2366" spans="2:13">
      <c r="B2366" s="3">
        <v>45489</v>
      </c>
      <c r="C2366" s="5">
        <v>64.27</v>
      </c>
      <c r="D2366" s="5">
        <v>63.43</v>
      </c>
      <c r="E2366" s="5">
        <v>64.31</v>
      </c>
      <c r="F2366" s="5">
        <v>63.39</v>
      </c>
      <c r="G2366" s="18" t="s">
        <v>154</v>
      </c>
      <c r="H2366" s="2">
        <v>1.3599999999999999E-2</v>
      </c>
      <c r="I2366" s="16">
        <f t="shared" si="183"/>
        <v>1.356252956946853E-2</v>
      </c>
      <c r="J2366" s="16">
        <f t="shared" si="184"/>
        <v>1.0135625295694686</v>
      </c>
      <c r="K2366" s="16">
        <f t="shared" si="185"/>
        <v>63.254210526315795</v>
      </c>
      <c r="L2366" s="16">
        <f t="shared" si="186"/>
        <v>63.05142857142858</v>
      </c>
      <c r="M2366" s="25" t="str">
        <f t="shared" si="187"/>
        <v>HOLD</v>
      </c>
    </row>
    <row r="2367" spans="2:13">
      <c r="B2367" s="3">
        <v>45490</v>
      </c>
      <c r="C2367" s="5">
        <v>65.209999999999994</v>
      </c>
      <c r="D2367" s="5">
        <v>64.47</v>
      </c>
      <c r="E2367" s="5">
        <v>65.39</v>
      </c>
      <c r="F2367" s="5">
        <v>64.400000000000006</v>
      </c>
      <c r="G2367" s="18" t="s">
        <v>133</v>
      </c>
      <c r="H2367" s="2">
        <v>1.46E-2</v>
      </c>
      <c r="I2367" s="16">
        <f t="shared" si="183"/>
        <v>1.4625797417146379E-2</v>
      </c>
      <c r="J2367" s="16">
        <f t="shared" si="184"/>
        <v>1.0146257974171464</v>
      </c>
      <c r="K2367" s="16">
        <f t="shared" si="185"/>
        <v>63.341052631578961</v>
      </c>
      <c r="L2367" s="16">
        <f t="shared" si="186"/>
        <v>63.094285714285732</v>
      </c>
      <c r="M2367" s="25" t="str">
        <f t="shared" si="187"/>
        <v>HOLD</v>
      </c>
    </row>
    <row r="2368" spans="2:13">
      <c r="B2368" s="3">
        <v>45491</v>
      </c>
      <c r="C2368" s="5">
        <v>65.19</v>
      </c>
      <c r="D2368" s="5">
        <v>64.8</v>
      </c>
      <c r="E2368" s="5">
        <v>65.81</v>
      </c>
      <c r="F2368" s="5">
        <v>64.72</v>
      </c>
      <c r="G2368" s="18" t="s">
        <v>153</v>
      </c>
      <c r="H2368" s="2">
        <v>-2.9999999999999997E-4</v>
      </c>
      <c r="I2368" s="16">
        <f t="shared" si="183"/>
        <v>-3.0670142616157065E-4</v>
      </c>
      <c r="J2368" s="16">
        <f t="shared" si="184"/>
        <v>0.99969329857383848</v>
      </c>
      <c r="K2368" s="16">
        <f t="shared" si="185"/>
        <v>63.476842105263167</v>
      </c>
      <c r="L2368" s="16">
        <f t="shared" si="186"/>
        <v>63.152653061224505</v>
      </c>
      <c r="M2368" s="25" t="str">
        <f t="shared" si="187"/>
        <v>HOLD</v>
      </c>
    </row>
    <row r="2369" spans="2:13">
      <c r="B2369" s="3">
        <v>45492</v>
      </c>
      <c r="C2369" s="5">
        <v>65.290000000000006</v>
      </c>
      <c r="D2369" s="5">
        <v>65.64</v>
      </c>
      <c r="E2369" s="5">
        <v>65.64</v>
      </c>
      <c r="F2369" s="5">
        <v>64.819999999999993</v>
      </c>
      <c r="G2369" s="18" t="s">
        <v>152</v>
      </c>
      <c r="H2369" s="2">
        <v>1.5E-3</v>
      </c>
      <c r="I2369" s="16">
        <f t="shared" si="183"/>
        <v>1.5339776039271136E-3</v>
      </c>
      <c r="J2369" s="16">
        <f t="shared" si="184"/>
        <v>1.0015339776039272</v>
      </c>
      <c r="K2369" s="16">
        <f t="shared" si="185"/>
        <v>63.635263157894748</v>
      </c>
      <c r="L2369" s="16">
        <f t="shared" si="186"/>
        <v>63.205102040816342</v>
      </c>
      <c r="M2369" s="25" t="str">
        <f t="shared" si="187"/>
        <v>HOLD</v>
      </c>
    </row>
    <row r="2370" spans="2:13">
      <c r="B2370" s="3">
        <v>45495</v>
      </c>
      <c r="C2370" s="5">
        <v>64.77</v>
      </c>
      <c r="D2370" s="5">
        <v>65.25</v>
      </c>
      <c r="E2370" s="5">
        <v>65.290000000000006</v>
      </c>
      <c r="F2370" s="5">
        <v>64.319999999999993</v>
      </c>
      <c r="G2370" s="18" t="s">
        <v>151</v>
      </c>
      <c r="H2370" s="2">
        <v>-8.0000000000000002E-3</v>
      </c>
      <c r="I2370" s="16">
        <f t="shared" si="183"/>
        <v>-7.9644662276000949E-3</v>
      </c>
      <c r="J2370" s="16">
        <f t="shared" si="184"/>
        <v>0.99203553377239995</v>
      </c>
      <c r="K2370" s="16">
        <f t="shared" si="185"/>
        <v>63.767894736842116</v>
      </c>
      <c r="L2370" s="16">
        <f t="shared" si="186"/>
        <v>63.25489795918368</v>
      </c>
      <c r="M2370" s="25" t="str">
        <f t="shared" si="187"/>
        <v>HOLD</v>
      </c>
    </row>
    <row r="2371" spans="2:13">
      <c r="B2371" s="3">
        <v>45496</v>
      </c>
      <c r="C2371" s="5">
        <v>64.959999999999994</v>
      </c>
      <c r="D2371" s="5">
        <v>65.430000000000007</v>
      </c>
      <c r="E2371" s="5">
        <v>66.040000000000006</v>
      </c>
      <c r="F2371" s="5">
        <v>64.849999999999994</v>
      </c>
      <c r="G2371" s="18" t="s">
        <v>150</v>
      </c>
      <c r="H2371" s="2">
        <v>2.8999999999999998E-3</v>
      </c>
      <c r="I2371" s="16">
        <f t="shared" si="183"/>
        <v>2.9334568473058167E-3</v>
      </c>
      <c r="J2371" s="16">
        <f t="shared" si="184"/>
        <v>1.0029334568473058</v>
      </c>
      <c r="K2371" s="16">
        <f t="shared" si="185"/>
        <v>63.809999999999995</v>
      </c>
      <c r="L2371" s="16">
        <f t="shared" si="186"/>
        <v>63.293469387755103</v>
      </c>
      <c r="M2371" s="25" t="str">
        <f t="shared" si="187"/>
        <v>HOLD</v>
      </c>
    </row>
    <row r="2372" spans="2:13">
      <c r="B2372" s="3">
        <v>45497</v>
      </c>
      <c r="C2372" s="5">
        <v>65.81</v>
      </c>
      <c r="D2372" s="5">
        <v>65.09</v>
      </c>
      <c r="E2372" s="5">
        <v>65.959999999999994</v>
      </c>
      <c r="F2372" s="5">
        <v>64.83</v>
      </c>
      <c r="G2372" s="18" t="s">
        <v>149</v>
      </c>
      <c r="H2372" s="2">
        <v>1.3100000000000001E-2</v>
      </c>
      <c r="I2372" s="16">
        <f t="shared" si="183"/>
        <v>1.3084975369458261E-2</v>
      </c>
      <c r="J2372" s="16">
        <f t="shared" si="184"/>
        <v>1.0130849753694582</v>
      </c>
      <c r="K2372" s="16">
        <f t="shared" si="185"/>
        <v>63.868947368421054</v>
      </c>
      <c r="L2372" s="16">
        <f t="shared" si="186"/>
        <v>63.328163265306131</v>
      </c>
      <c r="M2372" s="25" t="str">
        <f t="shared" si="187"/>
        <v>HOLD</v>
      </c>
    </row>
    <row r="2373" spans="2:13">
      <c r="B2373" s="3">
        <v>45498</v>
      </c>
      <c r="C2373" s="5">
        <v>66.069999999999993</v>
      </c>
      <c r="D2373" s="5">
        <v>66.040000000000006</v>
      </c>
      <c r="E2373" s="5">
        <v>66.89</v>
      </c>
      <c r="F2373" s="5">
        <v>65.86</v>
      </c>
      <c r="G2373" s="18" t="s">
        <v>148</v>
      </c>
      <c r="H2373" s="2">
        <v>4.0000000000000001E-3</v>
      </c>
      <c r="I2373" s="16">
        <f t="shared" si="183"/>
        <v>3.95076736058336E-3</v>
      </c>
      <c r="J2373" s="16">
        <f t="shared" si="184"/>
        <v>1.0039507673605834</v>
      </c>
      <c r="K2373" s="16">
        <f t="shared" si="185"/>
        <v>63.961578947368423</v>
      </c>
      <c r="L2373" s="16">
        <f t="shared" si="186"/>
        <v>63.373673469387754</v>
      </c>
      <c r="M2373" s="25" t="str">
        <f t="shared" si="187"/>
        <v>HOLD</v>
      </c>
    </row>
    <row r="2374" spans="2:13">
      <c r="B2374" s="3">
        <v>45499</v>
      </c>
      <c r="C2374" s="5">
        <v>67.05</v>
      </c>
      <c r="D2374" s="5">
        <v>66.069999999999993</v>
      </c>
      <c r="E2374" s="5">
        <v>67.11</v>
      </c>
      <c r="F2374" s="5">
        <v>66.010000000000005</v>
      </c>
      <c r="G2374" s="18" t="s">
        <v>147</v>
      </c>
      <c r="H2374" s="2">
        <v>1.4800000000000001E-2</v>
      </c>
      <c r="I2374" s="16">
        <f t="shared" si="183"/>
        <v>1.4832753140608508E-2</v>
      </c>
      <c r="J2374" s="16">
        <f t="shared" si="184"/>
        <v>1.0148327531406085</v>
      </c>
      <c r="K2374" s="16">
        <f t="shared" si="185"/>
        <v>64.075263157894724</v>
      </c>
      <c r="L2374" s="16">
        <f t="shared" si="186"/>
        <v>63.434285714285721</v>
      </c>
      <c r="M2374" s="25" t="str">
        <f t="shared" si="187"/>
        <v>HOLD</v>
      </c>
    </row>
    <row r="2375" spans="2:13">
      <c r="B2375" s="3">
        <v>45502</v>
      </c>
      <c r="C2375" s="5">
        <v>66.83</v>
      </c>
      <c r="D2375" s="5">
        <v>66.88</v>
      </c>
      <c r="E2375" s="5">
        <v>67.03</v>
      </c>
      <c r="F2375" s="5">
        <v>66.39</v>
      </c>
      <c r="G2375" s="18" t="s">
        <v>146</v>
      </c>
      <c r="H2375" s="2">
        <v>-3.3E-3</v>
      </c>
      <c r="I2375" s="16">
        <f t="shared" si="183"/>
        <v>-3.2811334824757476E-3</v>
      </c>
      <c r="J2375" s="16">
        <f t="shared" si="184"/>
        <v>0.99671886651752428</v>
      </c>
      <c r="K2375" s="16">
        <f t="shared" si="185"/>
        <v>64.254210526315774</v>
      </c>
      <c r="L2375" s="16">
        <f t="shared" si="186"/>
        <v>63.51428571428572</v>
      </c>
      <c r="M2375" s="25" t="str">
        <f t="shared" si="187"/>
        <v>HOLD</v>
      </c>
    </row>
    <row r="2376" spans="2:13">
      <c r="B2376" s="3">
        <v>45503</v>
      </c>
      <c r="C2376" s="5">
        <v>67.680000000000007</v>
      </c>
      <c r="D2376" s="5">
        <v>66.48</v>
      </c>
      <c r="E2376" s="5">
        <v>67.83</v>
      </c>
      <c r="F2376" s="5">
        <v>66.36</v>
      </c>
      <c r="G2376" s="18" t="s">
        <v>68</v>
      </c>
      <c r="H2376" s="2">
        <v>1.2699999999999999E-2</v>
      </c>
      <c r="I2376" s="16">
        <f t="shared" si="183"/>
        <v>1.2718838844830294E-2</v>
      </c>
      <c r="J2376" s="16">
        <f t="shared" si="184"/>
        <v>1.0127188388448303</v>
      </c>
      <c r="K2376" s="16">
        <f t="shared" si="185"/>
        <v>64.441052631578927</v>
      </c>
      <c r="L2376" s="16">
        <f t="shared" si="186"/>
        <v>63.585918367346942</v>
      </c>
      <c r="M2376" s="25" t="str">
        <f t="shared" si="187"/>
        <v>HOLD</v>
      </c>
    </row>
    <row r="2377" spans="2:13">
      <c r="B2377" s="3">
        <v>45504</v>
      </c>
      <c r="C2377" s="5">
        <v>66.739999999999995</v>
      </c>
      <c r="D2377" s="5">
        <v>67.5</v>
      </c>
      <c r="E2377" s="5">
        <v>67.61</v>
      </c>
      <c r="F2377" s="5">
        <v>66.61</v>
      </c>
      <c r="G2377" s="18" t="s">
        <v>62</v>
      </c>
      <c r="H2377" s="2">
        <v>-1.3899999999999999E-2</v>
      </c>
      <c r="I2377" s="16">
        <f t="shared" ref="I2377:I2440" si="188">(C2377-C2376)/C2376</f>
        <v>-1.3888888888889063E-2</v>
      </c>
      <c r="J2377" s="16">
        <f t="shared" ref="J2377:J2440" si="189">C2377/C2376</f>
        <v>0.98611111111111094</v>
      </c>
      <c r="K2377" s="16">
        <f t="shared" si="185"/>
        <v>64.679473684210521</v>
      </c>
      <c r="L2377" s="16">
        <f t="shared" si="186"/>
        <v>63.680816326530604</v>
      </c>
      <c r="M2377" s="25" t="str">
        <f t="shared" si="187"/>
        <v>HOLD</v>
      </c>
    </row>
    <row r="2378" spans="2:13">
      <c r="B2378" s="3">
        <v>45505</v>
      </c>
      <c r="C2378" s="5">
        <v>67.959999999999994</v>
      </c>
      <c r="D2378" s="5">
        <v>67</v>
      </c>
      <c r="E2378" s="5">
        <v>68.11</v>
      </c>
      <c r="F2378" s="5">
        <v>66.7</v>
      </c>
      <c r="G2378" s="18" t="s">
        <v>66</v>
      </c>
      <c r="H2378" s="2">
        <v>1.83E-2</v>
      </c>
      <c r="I2378" s="16">
        <f t="shared" si="188"/>
        <v>1.8279892118669448E-2</v>
      </c>
      <c r="J2378" s="16">
        <f t="shared" si="189"/>
        <v>1.0182798921186695</v>
      </c>
      <c r="K2378" s="16">
        <f t="shared" si="185"/>
        <v>64.858947368421056</v>
      </c>
      <c r="L2378" s="16">
        <f t="shared" si="186"/>
        <v>63.765918367346927</v>
      </c>
      <c r="M2378" s="25" t="str">
        <f t="shared" si="187"/>
        <v>HOLD</v>
      </c>
    </row>
    <row r="2379" spans="2:13">
      <c r="B2379" s="3">
        <v>45506</v>
      </c>
      <c r="C2379" s="5">
        <v>69.33</v>
      </c>
      <c r="D2379" s="5">
        <v>68.53</v>
      </c>
      <c r="E2379" s="5">
        <v>69.67</v>
      </c>
      <c r="F2379" s="5">
        <v>67.69</v>
      </c>
      <c r="G2379" s="18" t="s">
        <v>145</v>
      </c>
      <c r="H2379" s="2">
        <v>2.0199999999999999E-2</v>
      </c>
      <c r="I2379" s="16">
        <f t="shared" si="188"/>
        <v>2.0158917010005956E-2</v>
      </c>
      <c r="J2379" s="16">
        <f t="shared" si="189"/>
        <v>1.020158917010006</v>
      </c>
      <c r="K2379" s="16">
        <f t="shared" si="185"/>
        <v>65.08</v>
      </c>
      <c r="L2379" s="16">
        <f t="shared" si="186"/>
        <v>63.868979591836734</v>
      </c>
      <c r="M2379" s="25" t="str">
        <f t="shared" si="187"/>
        <v>HOLD</v>
      </c>
    </row>
    <row r="2380" spans="2:13">
      <c r="B2380" s="3">
        <v>45509</v>
      </c>
      <c r="C2380" s="5">
        <v>68.099999999999994</v>
      </c>
      <c r="D2380" s="5">
        <v>68.989999999999995</v>
      </c>
      <c r="E2380" s="5">
        <v>69.55</v>
      </c>
      <c r="F2380" s="5">
        <v>67.73</v>
      </c>
      <c r="G2380" s="18" t="s">
        <v>144</v>
      </c>
      <c r="H2380" s="2">
        <v>-1.77E-2</v>
      </c>
      <c r="I2380" s="16">
        <f t="shared" si="188"/>
        <v>-1.7741237559498111E-2</v>
      </c>
      <c r="J2380" s="16">
        <f t="shared" si="189"/>
        <v>0.98225876244050192</v>
      </c>
      <c r="K2380" s="16">
        <f t="shared" si="185"/>
        <v>65.415263157894728</v>
      </c>
      <c r="L2380" s="16">
        <f t="shared" si="186"/>
        <v>63.998163265306118</v>
      </c>
      <c r="M2380" s="25" t="str">
        <f t="shared" si="187"/>
        <v>HOLD</v>
      </c>
    </row>
    <row r="2381" spans="2:13">
      <c r="B2381" s="3">
        <v>45510</v>
      </c>
      <c r="C2381" s="5">
        <v>68.05</v>
      </c>
      <c r="D2381" s="5">
        <v>68.150000000000006</v>
      </c>
      <c r="E2381" s="5">
        <v>68.84</v>
      </c>
      <c r="F2381" s="5">
        <v>67.77</v>
      </c>
      <c r="G2381" s="18" t="s">
        <v>116</v>
      </c>
      <c r="H2381" s="2">
        <v>-6.9999999999999999E-4</v>
      </c>
      <c r="I2381" s="16">
        <f t="shared" si="188"/>
        <v>-7.3421439060201413E-4</v>
      </c>
      <c r="J2381" s="16">
        <f t="shared" si="189"/>
        <v>0.99926578560939794</v>
      </c>
      <c r="K2381" s="16">
        <f t="shared" si="185"/>
        <v>65.699999999999989</v>
      </c>
      <c r="L2381" s="16">
        <f t="shared" si="186"/>
        <v>64.120816326530601</v>
      </c>
      <c r="M2381" s="25" t="str">
        <f t="shared" si="187"/>
        <v>HOLD</v>
      </c>
    </row>
    <row r="2382" spans="2:13">
      <c r="B2382" s="3">
        <v>45511</v>
      </c>
      <c r="C2382" s="5">
        <v>68.459999999999994</v>
      </c>
      <c r="D2382" s="5">
        <v>68.05</v>
      </c>
      <c r="E2382" s="5">
        <v>69.180000000000007</v>
      </c>
      <c r="F2382" s="5">
        <v>67.83</v>
      </c>
      <c r="G2382" s="18" t="s">
        <v>143</v>
      </c>
      <c r="H2382" s="2">
        <v>6.0000000000000001E-3</v>
      </c>
      <c r="I2382" s="16">
        <f t="shared" si="188"/>
        <v>6.0249816311535136E-3</v>
      </c>
      <c r="J2382" s="16">
        <f t="shared" si="189"/>
        <v>1.0060249816311535</v>
      </c>
      <c r="K2382" s="16">
        <f t="shared" si="185"/>
        <v>65.974736842105244</v>
      </c>
      <c r="L2382" s="16">
        <f t="shared" si="186"/>
        <v>64.244285714285709</v>
      </c>
      <c r="M2382" s="25" t="str">
        <f t="shared" si="187"/>
        <v>HOLD</v>
      </c>
    </row>
    <row r="2383" spans="2:13">
      <c r="B2383" s="3">
        <v>45512</v>
      </c>
      <c r="C2383" s="5">
        <v>68.73</v>
      </c>
      <c r="D2383" s="5">
        <v>68</v>
      </c>
      <c r="E2383" s="5">
        <v>68.86</v>
      </c>
      <c r="F2383" s="5">
        <v>67.849999999999994</v>
      </c>
      <c r="G2383" s="18" t="s">
        <v>142</v>
      </c>
      <c r="H2383" s="2">
        <v>3.8999999999999998E-3</v>
      </c>
      <c r="I2383" s="16">
        <f t="shared" si="188"/>
        <v>3.9439088518844617E-3</v>
      </c>
      <c r="J2383" s="16">
        <f t="shared" si="189"/>
        <v>1.0039439088518844</v>
      </c>
      <c r="K2383" s="16">
        <f t="shared" si="185"/>
        <v>66.256842105263146</v>
      </c>
      <c r="L2383" s="16">
        <f t="shared" si="186"/>
        <v>64.37979591836735</v>
      </c>
      <c r="M2383" s="25" t="str">
        <f t="shared" si="187"/>
        <v>HOLD</v>
      </c>
    </row>
    <row r="2384" spans="2:13">
      <c r="B2384" s="3">
        <v>45513</v>
      </c>
      <c r="C2384" s="5">
        <v>68.680000000000007</v>
      </c>
      <c r="D2384" s="5">
        <v>68.7</v>
      </c>
      <c r="E2384" s="5">
        <v>68.790000000000006</v>
      </c>
      <c r="F2384" s="5">
        <v>68.25</v>
      </c>
      <c r="G2384" s="18" t="s">
        <v>141</v>
      </c>
      <c r="H2384" s="2">
        <v>-6.9999999999999999E-4</v>
      </c>
      <c r="I2384" s="16">
        <f t="shared" si="188"/>
        <v>-7.274843590862382E-4</v>
      </c>
      <c r="J2384" s="16">
        <f t="shared" si="189"/>
        <v>0.99927251564091379</v>
      </c>
      <c r="K2384" s="16">
        <f t="shared" si="185"/>
        <v>66.521578947368425</v>
      </c>
      <c r="L2384" s="16">
        <f t="shared" si="186"/>
        <v>64.52326530612244</v>
      </c>
      <c r="M2384" s="25" t="str">
        <f t="shared" si="187"/>
        <v>HOLD</v>
      </c>
    </row>
    <row r="2385" spans="2:13">
      <c r="B2385" s="3">
        <v>45516</v>
      </c>
      <c r="C2385" s="5">
        <v>68.17</v>
      </c>
      <c r="D2385" s="5">
        <v>68.45</v>
      </c>
      <c r="E2385" s="5">
        <v>68.540000000000006</v>
      </c>
      <c r="F2385" s="5">
        <v>67.83</v>
      </c>
      <c r="G2385" s="18" t="s">
        <v>140</v>
      </c>
      <c r="H2385" s="2">
        <v>-7.4000000000000003E-3</v>
      </c>
      <c r="I2385" s="16">
        <f t="shared" si="188"/>
        <v>-7.4257425742574991E-3</v>
      </c>
      <c r="J2385" s="16">
        <f t="shared" si="189"/>
        <v>0.99257425742574246</v>
      </c>
      <c r="K2385" s="16">
        <f t="shared" si="185"/>
        <v>66.798947368421054</v>
      </c>
      <c r="L2385" s="16">
        <f t="shared" si="186"/>
        <v>64.660204081632656</v>
      </c>
      <c r="M2385" s="25" t="str">
        <f t="shared" si="187"/>
        <v>HOLD</v>
      </c>
    </row>
    <row r="2386" spans="2:13">
      <c r="B2386" s="3">
        <v>45517</v>
      </c>
      <c r="C2386" s="5">
        <v>68.459999999999994</v>
      </c>
      <c r="D2386" s="5">
        <v>68.08</v>
      </c>
      <c r="E2386" s="5">
        <v>68.61</v>
      </c>
      <c r="F2386" s="5">
        <v>68.010000000000005</v>
      </c>
      <c r="G2386" s="18" t="s">
        <v>139</v>
      </c>
      <c r="H2386" s="2">
        <v>4.3E-3</v>
      </c>
      <c r="I2386" s="16">
        <f t="shared" si="188"/>
        <v>4.2540707055888517E-3</v>
      </c>
      <c r="J2386" s="16">
        <f t="shared" si="189"/>
        <v>1.0042540707055889</v>
      </c>
      <c r="K2386" s="16">
        <f t="shared" si="185"/>
        <v>67.004210526315802</v>
      </c>
      <c r="L2386" s="16">
        <f t="shared" si="186"/>
        <v>64.767142857142858</v>
      </c>
      <c r="M2386" s="25" t="str">
        <f t="shared" si="187"/>
        <v>HOLD</v>
      </c>
    </row>
    <row r="2387" spans="2:13">
      <c r="B2387" s="3">
        <v>45518</v>
      </c>
      <c r="C2387" s="5">
        <v>68.58</v>
      </c>
      <c r="D2387" s="5">
        <v>68.23</v>
      </c>
      <c r="E2387" s="5">
        <v>68.89</v>
      </c>
      <c r="F2387" s="5">
        <v>68.13</v>
      </c>
      <c r="G2387" s="18" t="s">
        <v>138</v>
      </c>
      <c r="H2387" s="2">
        <v>1.8E-3</v>
      </c>
      <c r="I2387" s="16">
        <f t="shared" si="188"/>
        <v>1.7528483786153164E-3</v>
      </c>
      <c r="J2387" s="16">
        <f t="shared" si="189"/>
        <v>1.0017528483786153</v>
      </c>
      <c r="K2387" s="16">
        <f t="shared" si="185"/>
        <v>67.175263157894761</v>
      </c>
      <c r="L2387" s="16">
        <f t="shared" si="186"/>
        <v>64.88000000000001</v>
      </c>
      <c r="M2387" s="25" t="str">
        <f t="shared" si="187"/>
        <v>HOLD</v>
      </c>
    </row>
    <row r="2388" spans="2:13">
      <c r="B2388" s="3">
        <v>45519</v>
      </c>
      <c r="C2388" s="5">
        <v>68.650000000000006</v>
      </c>
      <c r="D2388" s="5">
        <v>68.62</v>
      </c>
      <c r="E2388" s="5">
        <v>68.92</v>
      </c>
      <c r="F2388" s="5">
        <v>68.5</v>
      </c>
      <c r="G2388" s="18" t="s">
        <v>137</v>
      </c>
      <c r="H2388" s="2">
        <v>1E-3</v>
      </c>
      <c r="I2388" s="16">
        <f t="shared" si="188"/>
        <v>1.0207057451153017E-3</v>
      </c>
      <c r="J2388" s="16">
        <f t="shared" si="189"/>
        <v>1.0010207057451153</v>
      </c>
      <c r="K2388" s="16">
        <f t="shared" si="185"/>
        <v>67.353684210526325</v>
      </c>
      <c r="L2388" s="16">
        <f t="shared" si="186"/>
        <v>64.974693877551019</v>
      </c>
      <c r="M2388" s="25" t="str">
        <f t="shared" si="187"/>
        <v>HOLD</v>
      </c>
    </row>
    <row r="2389" spans="2:13">
      <c r="B2389" s="3">
        <v>45520</v>
      </c>
      <c r="C2389" s="5">
        <v>69.180000000000007</v>
      </c>
      <c r="D2389" s="5">
        <v>68.84</v>
      </c>
      <c r="E2389" s="5">
        <v>69.3</v>
      </c>
      <c r="F2389" s="5">
        <v>68.64</v>
      </c>
      <c r="G2389" s="18" t="s">
        <v>136</v>
      </c>
      <c r="H2389" s="2">
        <v>7.7000000000000002E-3</v>
      </c>
      <c r="I2389" s="16">
        <f t="shared" si="188"/>
        <v>7.7203204661325728E-3</v>
      </c>
      <c r="J2389" s="16">
        <f t="shared" si="189"/>
        <v>1.0077203204661325</v>
      </c>
      <c r="K2389" s="16">
        <f t="shared" si="185"/>
        <v>67.530526315789487</v>
      </c>
      <c r="L2389" s="16">
        <f t="shared" si="186"/>
        <v>65.071224489795924</v>
      </c>
      <c r="M2389" s="25" t="str">
        <f t="shared" si="187"/>
        <v>HOLD</v>
      </c>
    </row>
    <row r="2390" spans="2:13">
      <c r="B2390" s="3">
        <v>45523</v>
      </c>
      <c r="C2390" s="5">
        <v>68.98</v>
      </c>
      <c r="D2390" s="5">
        <v>69.349999999999994</v>
      </c>
      <c r="E2390" s="5">
        <v>69.42</v>
      </c>
      <c r="F2390" s="5">
        <v>68.849999999999994</v>
      </c>
      <c r="G2390" s="18" t="s">
        <v>135</v>
      </c>
      <c r="H2390" s="2">
        <v>-2.8999999999999998E-3</v>
      </c>
      <c r="I2390" s="16">
        <f t="shared" si="188"/>
        <v>-2.8910089621278232E-3</v>
      </c>
      <c r="J2390" s="16">
        <f t="shared" si="189"/>
        <v>0.99710899103787221</v>
      </c>
      <c r="K2390" s="16">
        <f t="shared" si="185"/>
        <v>67.762631578947364</v>
      </c>
      <c r="L2390" s="16">
        <f t="shared" si="186"/>
        <v>65.173877551020396</v>
      </c>
      <c r="M2390" s="25" t="str">
        <f t="shared" si="187"/>
        <v>HOLD</v>
      </c>
    </row>
    <row r="2391" spans="2:13">
      <c r="B2391" s="3">
        <v>45524</v>
      </c>
      <c r="C2391" s="5">
        <v>69.38</v>
      </c>
      <c r="D2391" s="5">
        <v>68.989999999999995</v>
      </c>
      <c r="E2391" s="5">
        <v>69.39</v>
      </c>
      <c r="F2391" s="5">
        <v>68.760000000000005</v>
      </c>
      <c r="G2391" s="18" t="s">
        <v>134</v>
      </c>
      <c r="H2391" s="2">
        <v>5.7999999999999996E-3</v>
      </c>
      <c r="I2391" s="16">
        <f t="shared" si="188"/>
        <v>5.7987822557261735E-3</v>
      </c>
      <c r="J2391" s="16">
        <f t="shared" si="189"/>
        <v>1.0057987822557262</v>
      </c>
      <c r="K2391" s="16">
        <f t="shared" si="185"/>
        <v>67.974210526315801</v>
      </c>
      <c r="L2391" s="16">
        <f t="shared" si="186"/>
        <v>65.277346938775494</v>
      </c>
      <c r="M2391" s="25" t="str">
        <f t="shared" si="187"/>
        <v>HOLD</v>
      </c>
    </row>
    <row r="2392" spans="2:13">
      <c r="B2392" s="3">
        <v>45525</v>
      </c>
      <c r="C2392" s="5">
        <v>69.569999999999993</v>
      </c>
      <c r="D2392" s="5">
        <v>69.48</v>
      </c>
      <c r="E2392" s="5">
        <v>70.13</v>
      </c>
      <c r="F2392" s="5">
        <v>69.33</v>
      </c>
      <c r="G2392" s="18" t="s">
        <v>99</v>
      </c>
      <c r="H2392" s="2">
        <v>2.7000000000000001E-3</v>
      </c>
      <c r="I2392" s="16">
        <f t="shared" si="188"/>
        <v>2.7385413663879757E-3</v>
      </c>
      <c r="J2392" s="16">
        <f t="shared" si="189"/>
        <v>1.0027385413663881</v>
      </c>
      <c r="K2392" s="16">
        <f t="shared" si="185"/>
        <v>68.162105263157912</v>
      </c>
      <c r="L2392" s="16">
        <f t="shared" si="186"/>
        <v>65.395510204081631</v>
      </c>
      <c r="M2392" s="25" t="str">
        <f t="shared" si="187"/>
        <v>HOLD</v>
      </c>
    </row>
    <row r="2393" spans="2:13">
      <c r="B2393" s="3">
        <v>45526</v>
      </c>
      <c r="C2393" s="5">
        <v>69.33</v>
      </c>
      <c r="D2393" s="5">
        <v>69.92</v>
      </c>
      <c r="E2393" s="5">
        <v>69.92</v>
      </c>
      <c r="F2393" s="5">
        <v>68.790000000000006</v>
      </c>
      <c r="G2393" s="18" t="s">
        <v>133</v>
      </c>
      <c r="H2393" s="2">
        <v>-3.3999999999999998E-3</v>
      </c>
      <c r="I2393" s="16">
        <f t="shared" si="188"/>
        <v>-3.4497628288054465E-3</v>
      </c>
      <c r="J2393" s="16">
        <f t="shared" si="189"/>
        <v>0.99655023717119451</v>
      </c>
      <c r="K2393" s="16">
        <f t="shared" si="185"/>
        <v>68.346315789473664</v>
      </c>
      <c r="L2393" s="16">
        <f t="shared" si="186"/>
        <v>65.518367346938774</v>
      </c>
      <c r="M2393" s="25" t="str">
        <f t="shared" si="187"/>
        <v>HOLD</v>
      </c>
    </row>
    <row r="2394" spans="2:13">
      <c r="B2394" s="3">
        <v>45527</v>
      </c>
      <c r="C2394" s="5">
        <v>69.790000000000006</v>
      </c>
      <c r="D2394" s="5">
        <v>69.400000000000006</v>
      </c>
      <c r="E2394" s="5">
        <v>69.849999999999994</v>
      </c>
      <c r="F2394" s="5">
        <v>68.930000000000007</v>
      </c>
      <c r="G2394" s="18" t="s">
        <v>132</v>
      </c>
      <c r="H2394" s="2">
        <v>6.6E-3</v>
      </c>
      <c r="I2394" s="16">
        <f t="shared" si="188"/>
        <v>6.6349343718449154E-3</v>
      </c>
      <c r="J2394" s="16">
        <f t="shared" si="189"/>
        <v>1.0066349343718448</v>
      </c>
      <c r="K2394" s="16">
        <f t="shared" si="185"/>
        <v>68.466315789473683</v>
      </c>
      <c r="L2394" s="16">
        <f t="shared" si="186"/>
        <v>65.649999999999991</v>
      </c>
      <c r="M2394" s="25" t="str">
        <f t="shared" si="187"/>
        <v>HOLD</v>
      </c>
    </row>
    <row r="2395" spans="2:13">
      <c r="B2395" s="3">
        <v>45530</v>
      </c>
      <c r="C2395" s="5">
        <v>70.84</v>
      </c>
      <c r="D2395" s="5">
        <v>69.83</v>
      </c>
      <c r="E2395" s="5">
        <v>70.92</v>
      </c>
      <c r="F2395" s="5">
        <v>69.73</v>
      </c>
      <c r="G2395" s="18" t="s">
        <v>131</v>
      </c>
      <c r="H2395" s="2">
        <v>1.4999999999999999E-2</v>
      </c>
      <c r="I2395" s="16">
        <f t="shared" si="188"/>
        <v>1.5045135406218614E-2</v>
      </c>
      <c r="J2395" s="16">
        <f t="shared" si="189"/>
        <v>1.0150451354062187</v>
      </c>
      <c r="K2395" s="16">
        <f t="shared" ref="K2395:K2458" si="190">AVERAGE(C2376:C2394)</f>
        <v>68.622105263157891</v>
      </c>
      <c r="L2395" s="16">
        <f t="shared" si="186"/>
        <v>65.78877551020409</v>
      </c>
      <c r="M2395" s="25" t="str">
        <f t="shared" si="187"/>
        <v>HOLD</v>
      </c>
    </row>
    <row r="2396" spans="2:13">
      <c r="B2396" s="3">
        <v>45531</v>
      </c>
      <c r="C2396" s="5">
        <v>71.5</v>
      </c>
      <c r="D2396" s="5">
        <v>71.319999999999993</v>
      </c>
      <c r="E2396" s="5">
        <v>71.53</v>
      </c>
      <c r="F2396" s="5">
        <v>71.05</v>
      </c>
      <c r="G2396" s="18" t="s">
        <v>130</v>
      </c>
      <c r="H2396" s="2">
        <v>9.2999999999999992E-3</v>
      </c>
      <c r="I2396" s="16">
        <f t="shared" si="188"/>
        <v>9.3167701863353554E-3</v>
      </c>
      <c r="J2396" s="16">
        <f t="shared" si="189"/>
        <v>1.0093167701863353</v>
      </c>
      <c r="K2396" s="16">
        <f t="shared" si="190"/>
        <v>68.788421052631563</v>
      </c>
      <c r="L2396" s="16">
        <f t="shared" si="186"/>
        <v>65.957959183673466</v>
      </c>
      <c r="M2396" s="25" t="str">
        <f t="shared" si="187"/>
        <v>HOLD</v>
      </c>
    </row>
    <row r="2397" spans="2:13">
      <c r="B2397" s="3">
        <v>45532</v>
      </c>
      <c r="C2397" s="5">
        <v>71.75</v>
      </c>
      <c r="D2397" s="5">
        <v>71.61</v>
      </c>
      <c r="E2397" s="5">
        <v>71.81</v>
      </c>
      <c r="F2397" s="5">
        <v>71.290000000000006</v>
      </c>
      <c r="G2397" s="18" t="s">
        <v>129</v>
      </c>
      <c r="H2397" s="2">
        <v>3.5000000000000001E-3</v>
      </c>
      <c r="I2397" s="16">
        <f t="shared" si="188"/>
        <v>3.4965034965034965E-3</v>
      </c>
      <c r="J2397" s="16">
        <f t="shared" si="189"/>
        <v>1.0034965034965035</v>
      </c>
      <c r="K2397" s="16">
        <f t="shared" si="190"/>
        <v>69.038947368421049</v>
      </c>
      <c r="L2397" s="16">
        <f t="shared" si="186"/>
        <v>66.139183673469404</v>
      </c>
      <c r="M2397" s="25" t="str">
        <f t="shared" si="187"/>
        <v>HOLD</v>
      </c>
    </row>
    <row r="2398" spans="2:13">
      <c r="B2398" s="3">
        <v>45533</v>
      </c>
      <c r="C2398" s="5">
        <v>72.05</v>
      </c>
      <c r="D2398" s="5">
        <v>71.900000000000006</v>
      </c>
      <c r="E2398" s="5">
        <v>72.22</v>
      </c>
      <c r="F2398" s="5">
        <v>71.23</v>
      </c>
      <c r="G2398" s="18" t="s">
        <v>128</v>
      </c>
      <c r="H2398" s="2">
        <v>4.1999999999999997E-3</v>
      </c>
      <c r="I2398" s="16">
        <f t="shared" si="188"/>
        <v>4.1811846689895071E-3</v>
      </c>
      <c r="J2398" s="16">
        <f t="shared" si="189"/>
        <v>1.0041811846689894</v>
      </c>
      <c r="K2398" s="16">
        <f t="shared" si="190"/>
        <v>69.23842105263158</v>
      </c>
      <c r="L2398" s="16">
        <f t="shared" si="186"/>
        <v>66.325306122448993</v>
      </c>
      <c r="M2398" s="25" t="str">
        <f t="shared" si="187"/>
        <v>HOLD</v>
      </c>
    </row>
    <row r="2399" spans="2:13">
      <c r="B2399" s="3">
        <v>45534</v>
      </c>
      <c r="C2399" s="5">
        <v>72.47</v>
      </c>
      <c r="D2399" s="5">
        <v>72.2</v>
      </c>
      <c r="E2399" s="5">
        <v>72.569999999999993</v>
      </c>
      <c r="F2399" s="5">
        <v>71.78</v>
      </c>
      <c r="G2399" s="18" t="s">
        <v>127</v>
      </c>
      <c r="H2399" s="2">
        <v>5.7999999999999996E-3</v>
      </c>
      <c r="I2399" s="16">
        <f t="shared" si="188"/>
        <v>5.8292852185982194E-3</v>
      </c>
      <c r="J2399" s="16">
        <f t="shared" si="189"/>
        <v>1.0058292852185982</v>
      </c>
      <c r="K2399" s="16">
        <f t="shared" si="190"/>
        <v>69.381578947368425</v>
      </c>
      <c r="L2399" s="16">
        <f t="shared" si="186"/>
        <v>66.526734693877557</v>
      </c>
      <c r="M2399" s="25" t="str">
        <f t="shared" si="187"/>
        <v>HOLD</v>
      </c>
    </row>
    <row r="2400" spans="2:13">
      <c r="B2400" s="3">
        <v>45538</v>
      </c>
      <c r="C2400" s="5">
        <v>73.010000000000005</v>
      </c>
      <c r="D2400" s="5">
        <v>72.44</v>
      </c>
      <c r="E2400" s="5">
        <v>73.290000000000006</v>
      </c>
      <c r="F2400" s="5">
        <v>72.25</v>
      </c>
      <c r="G2400" s="18" t="s">
        <v>126</v>
      </c>
      <c r="H2400" s="2">
        <v>7.4999999999999997E-3</v>
      </c>
      <c r="I2400" s="16">
        <f t="shared" si="188"/>
        <v>7.4513591831103388E-3</v>
      </c>
      <c r="J2400" s="16">
        <f t="shared" si="189"/>
        <v>1.0074513591831102</v>
      </c>
      <c r="K2400" s="16">
        <f t="shared" si="190"/>
        <v>69.611578947368429</v>
      </c>
      <c r="L2400" s="16">
        <f t="shared" si="186"/>
        <v>66.724693877551019</v>
      </c>
      <c r="M2400" s="25" t="str">
        <f t="shared" si="187"/>
        <v>HOLD</v>
      </c>
    </row>
    <row r="2401" spans="2:13">
      <c r="B2401" s="3">
        <v>45539</v>
      </c>
      <c r="C2401" s="5">
        <v>72.56</v>
      </c>
      <c r="D2401" s="5">
        <v>73.3</v>
      </c>
      <c r="E2401" s="5">
        <v>73.53</v>
      </c>
      <c r="F2401" s="5">
        <v>71.91</v>
      </c>
      <c r="G2401" s="18" t="s">
        <v>125</v>
      </c>
      <c r="H2401" s="2">
        <v>-6.1999999999999998E-3</v>
      </c>
      <c r="I2401" s="16">
        <f t="shared" si="188"/>
        <v>-6.1635392411998743E-3</v>
      </c>
      <c r="J2401" s="16">
        <f t="shared" si="189"/>
        <v>0.99383646075880017</v>
      </c>
      <c r="K2401" s="16">
        <f t="shared" si="190"/>
        <v>69.872631578947377</v>
      </c>
      <c r="L2401" s="16">
        <f t="shared" si="186"/>
        <v>66.909183673469386</v>
      </c>
      <c r="M2401" s="25" t="str">
        <f t="shared" si="187"/>
        <v>HOLD</v>
      </c>
    </row>
    <row r="2402" spans="2:13">
      <c r="B2402" s="3">
        <v>45540</v>
      </c>
      <c r="C2402" s="5">
        <v>71.17</v>
      </c>
      <c r="D2402" s="5">
        <v>72.62</v>
      </c>
      <c r="E2402" s="5">
        <v>72.680000000000007</v>
      </c>
      <c r="F2402" s="5">
        <v>70.98</v>
      </c>
      <c r="G2402" s="18" t="s">
        <v>124</v>
      </c>
      <c r="H2402" s="2">
        <v>-1.9199999999999998E-2</v>
      </c>
      <c r="I2402" s="16">
        <f t="shared" si="188"/>
        <v>-1.9156560088202875E-2</v>
      </c>
      <c r="J2402" s="16">
        <f t="shared" si="189"/>
        <v>0.98084343991179712</v>
      </c>
      <c r="K2402" s="16">
        <f t="shared" si="190"/>
        <v>70.088421052631574</v>
      </c>
      <c r="L2402" s="16">
        <f t="shared" si="186"/>
        <v>67.087142857142851</v>
      </c>
      <c r="M2402" s="25" t="str">
        <f t="shared" si="187"/>
        <v>HOLD</v>
      </c>
    </row>
    <row r="2403" spans="2:13">
      <c r="B2403" s="3">
        <v>45541</v>
      </c>
      <c r="C2403" s="5">
        <v>71.14</v>
      </c>
      <c r="D2403" s="5">
        <v>70.989999999999995</v>
      </c>
      <c r="E2403" s="5">
        <v>71.67</v>
      </c>
      <c r="F2403" s="5">
        <v>70.89</v>
      </c>
      <c r="G2403" s="18" t="s">
        <v>123</v>
      </c>
      <c r="H2403" s="2">
        <v>-4.0000000000000002E-4</v>
      </c>
      <c r="I2403" s="16">
        <f t="shared" si="188"/>
        <v>-4.2152592384433237E-4</v>
      </c>
      <c r="J2403" s="16">
        <f t="shared" si="189"/>
        <v>0.99957847407615563</v>
      </c>
      <c r="K2403" s="16">
        <f t="shared" si="190"/>
        <v>70.216842105263154</v>
      </c>
      <c r="L2403" s="16">
        <f t="shared" si="186"/>
        <v>67.232448979591837</v>
      </c>
      <c r="M2403" s="25" t="str">
        <f t="shared" si="187"/>
        <v>HOLD</v>
      </c>
    </row>
    <row r="2404" spans="2:13">
      <c r="B2404" s="3">
        <v>45544</v>
      </c>
      <c r="C2404" s="5">
        <v>71.849999999999994</v>
      </c>
      <c r="D2404" s="5">
        <v>71.23</v>
      </c>
      <c r="E2404" s="5">
        <v>72.31</v>
      </c>
      <c r="F2404" s="5">
        <v>70.98</v>
      </c>
      <c r="G2404" s="18" t="s">
        <v>122</v>
      </c>
      <c r="H2404" s="2">
        <v>0.01</v>
      </c>
      <c r="I2404" s="16">
        <f t="shared" si="188"/>
        <v>9.9803204947989006E-3</v>
      </c>
      <c r="J2404" s="16">
        <f t="shared" si="189"/>
        <v>1.0099803204947988</v>
      </c>
      <c r="K2404" s="16">
        <f t="shared" si="190"/>
        <v>70.346315789473692</v>
      </c>
      <c r="L2404" s="16">
        <f t="shared" si="186"/>
        <v>67.38</v>
      </c>
      <c r="M2404" s="25" t="str">
        <f t="shared" si="187"/>
        <v>HOLD</v>
      </c>
    </row>
    <row r="2405" spans="2:13">
      <c r="B2405" s="3">
        <v>45545</v>
      </c>
      <c r="C2405" s="5">
        <v>71.55</v>
      </c>
      <c r="D2405" s="5">
        <v>71.97</v>
      </c>
      <c r="E2405" s="5">
        <v>72.42</v>
      </c>
      <c r="F2405" s="5">
        <v>71.52</v>
      </c>
      <c r="G2405" s="18" t="s">
        <v>121</v>
      </c>
      <c r="H2405" s="2">
        <v>-4.1999999999999997E-3</v>
      </c>
      <c r="I2405" s="16">
        <f t="shared" si="188"/>
        <v>-4.1753653444676015E-3</v>
      </c>
      <c r="J2405" s="16">
        <f t="shared" si="189"/>
        <v>0.99582463465553239</v>
      </c>
      <c r="K2405" s="16">
        <f t="shared" si="190"/>
        <v>70.540000000000006</v>
      </c>
      <c r="L2405" s="16">
        <f t="shared" si="186"/>
        <v>67.547346938775519</v>
      </c>
      <c r="M2405" s="25" t="str">
        <f t="shared" si="187"/>
        <v>HOLD</v>
      </c>
    </row>
    <row r="2406" spans="2:13">
      <c r="B2406" s="3">
        <v>45546</v>
      </c>
      <c r="C2406" s="5">
        <v>71.08</v>
      </c>
      <c r="D2406" s="5">
        <v>71.36</v>
      </c>
      <c r="E2406" s="5">
        <v>71.37</v>
      </c>
      <c r="F2406" s="5">
        <v>70.569999999999993</v>
      </c>
      <c r="G2406" s="18" t="s">
        <v>120</v>
      </c>
      <c r="H2406" s="2">
        <v>-6.6E-3</v>
      </c>
      <c r="I2406" s="16">
        <f t="shared" si="188"/>
        <v>-6.5688329839273078E-3</v>
      </c>
      <c r="J2406" s="16">
        <f t="shared" si="189"/>
        <v>0.9934311670160727</v>
      </c>
      <c r="K2406" s="16">
        <f t="shared" si="190"/>
        <v>70.702631578947376</v>
      </c>
      <c r="L2406" s="16">
        <f t="shared" si="186"/>
        <v>67.71612244897959</v>
      </c>
      <c r="M2406" s="25" t="str">
        <f t="shared" si="187"/>
        <v>HOLD</v>
      </c>
    </row>
    <row r="2407" spans="2:13">
      <c r="B2407" s="3">
        <v>45547</v>
      </c>
      <c r="C2407" s="5">
        <v>71.23</v>
      </c>
      <c r="D2407" s="5">
        <v>71</v>
      </c>
      <c r="E2407" s="5">
        <v>71.38</v>
      </c>
      <c r="F2407" s="5">
        <v>70.650000000000006</v>
      </c>
      <c r="G2407" s="18" t="s">
        <v>119</v>
      </c>
      <c r="H2407" s="2">
        <v>2.0999999999999999E-3</v>
      </c>
      <c r="I2407" s="16">
        <f t="shared" si="188"/>
        <v>2.1102982554868557E-3</v>
      </c>
      <c r="J2407" s="16">
        <f t="shared" si="189"/>
        <v>1.0021102982554868</v>
      </c>
      <c r="K2407" s="16">
        <f t="shared" si="190"/>
        <v>70.834210526315786</v>
      </c>
      <c r="L2407" s="16">
        <f t="shared" si="186"/>
        <v>67.877959183673468</v>
      </c>
      <c r="M2407" s="25" t="str">
        <f t="shared" si="187"/>
        <v>HOLD</v>
      </c>
    </row>
    <row r="2408" spans="2:13">
      <c r="B2408" s="3">
        <v>45548</v>
      </c>
      <c r="C2408" s="5">
        <v>71.41</v>
      </c>
      <c r="D2408" s="5">
        <v>70.84</v>
      </c>
      <c r="E2408" s="5">
        <v>71.459999999999994</v>
      </c>
      <c r="F2408" s="5">
        <v>70.48</v>
      </c>
      <c r="G2408" s="18" t="s">
        <v>118</v>
      </c>
      <c r="H2408" s="2">
        <v>2.5000000000000001E-3</v>
      </c>
      <c r="I2408" s="16">
        <f t="shared" si="188"/>
        <v>2.5270251298609098E-3</v>
      </c>
      <c r="J2408" s="16">
        <f t="shared" si="189"/>
        <v>1.0025270251298608</v>
      </c>
      <c r="K2408" s="16">
        <f t="shared" si="190"/>
        <v>70.969999999999985</v>
      </c>
      <c r="L2408" s="16">
        <f t="shared" si="186"/>
        <v>68.039183673469395</v>
      </c>
      <c r="M2408" s="25" t="str">
        <f t="shared" si="187"/>
        <v>HOLD</v>
      </c>
    </row>
    <row r="2409" spans="2:13">
      <c r="B2409" s="3">
        <v>45551</v>
      </c>
      <c r="C2409" s="5">
        <v>72.099999999999994</v>
      </c>
      <c r="D2409" s="5">
        <v>71.77</v>
      </c>
      <c r="E2409" s="5">
        <v>72.239999999999995</v>
      </c>
      <c r="F2409" s="5">
        <v>71.62</v>
      </c>
      <c r="G2409" s="18" t="s">
        <v>117</v>
      </c>
      <c r="H2409" s="2">
        <v>9.7000000000000003E-3</v>
      </c>
      <c r="I2409" s="16">
        <f t="shared" si="188"/>
        <v>9.6625122531857968E-3</v>
      </c>
      <c r="J2409" s="16">
        <f t="shared" si="189"/>
        <v>1.0096625122531857</v>
      </c>
      <c r="K2409" s="16">
        <f t="shared" si="190"/>
        <v>71.087368421052631</v>
      </c>
      <c r="L2409" s="16">
        <f t="shared" si="186"/>
        <v>68.195306122448983</v>
      </c>
      <c r="M2409" s="25" t="str">
        <f t="shared" si="187"/>
        <v>HOLD</v>
      </c>
    </row>
    <row r="2410" spans="2:13">
      <c r="B2410" s="3">
        <v>45552</v>
      </c>
      <c r="C2410" s="5">
        <v>71.8</v>
      </c>
      <c r="D2410" s="5">
        <v>71.900000000000006</v>
      </c>
      <c r="E2410" s="5">
        <v>72.349999999999994</v>
      </c>
      <c r="F2410" s="5">
        <v>71.72</v>
      </c>
      <c r="G2410" s="18" t="s">
        <v>116</v>
      </c>
      <c r="H2410" s="2">
        <v>-4.1999999999999997E-3</v>
      </c>
      <c r="I2410" s="16">
        <f t="shared" si="188"/>
        <v>-4.160887656033248E-3</v>
      </c>
      <c r="J2410" s="16">
        <f t="shared" si="189"/>
        <v>0.99583911234396671</v>
      </c>
      <c r="K2410" s="16">
        <f t="shared" si="190"/>
        <v>71.251578947368415</v>
      </c>
      <c r="L2410" s="16">
        <f t="shared" si="186"/>
        <v>68.381836734693877</v>
      </c>
      <c r="M2410" s="25" t="str">
        <f t="shared" si="187"/>
        <v>HOLD</v>
      </c>
    </row>
    <row r="2411" spans="2:13">
      <c r="B2411" s="3">
        <v>45553</v>
      </c>
      <c r="C2411" s="5">
        <v>71.75</v>
      </c>
      <c r="D2411" s="5">
        <v>71.89</v>
      </c>
      <c r="E2411" s="5">
        <v>72.38</v>
      </c>
      <c r="F2411" s="5">
        <v>71.27</v>
      </c>
      <c r="G2411" s="18" t="s">
        <v>115</v>
      </c>
      <c r="H2411" s="2">
        <v>-6.9999999999999999E-4</v>
      </c>
      <c r="I2411" s="16">
        <f t="shared" si="188"/>
        <v>-6.9637883008352589E-4</v>
      </c>
      <c r="J2411" s="16">
        <f t="shared" si="189"/>
        <v>0.99930362116991645</v>
      </c>
      <c r="K2411" s="16">
        <f t="shared" si="190"/>
        <v>71.378947368421038</v>
      </c>
      <c r="L2411" s="16">
        <f t="shared" si="186"/>
        <v>68.56775510204082</v>
      </c>
      <c r="M2411" s="25" t="str">
        <f t="shared" si="187"/>
        <v>HOLD</v>
      </c>
    </row>
    <row r="2412" spans="2:13">
      <c r="B2412" s="3">
        <v>45554</v>
      </c>
      <c r="C2412" s="5">
        <v>70.62</v>
      </c>
      <c r="D2412" s="5">
        <v>71.56</v>
      </c>
      <c r="E2412" s="5">
        <v>71.94</v>
      </c>
      <c r="F2412" s="5">
        <v>70.599999999999994</v>
      </c>
      <c r="G2412" s="18" t="s">
        <v>114</v>
      </c>
      <c r="H2412" s="2">
        <v>-1.5699999999999999E-2</v>
      </c>
      <c r="I2412" s="16">
        <f t="shared" si="188"/>
        <v>-1.5749128919860564E-2</v>
      </c>
      <c r="J2412" s="16">
        <f t="shared" si="189"/>
        <v>0.98425087108013942</v>
      </c>
      <c r="K2412" s="16">
        <f t="shared" si="190"/>
        <v>71.493684210526311</v>
      </c>
      <c r="L2412" s="16">
        <f t="shared" si="186"/>
        <v>68.749795918367354</v>
      </c>
      <c r="M2412" s="25" t="str">
        <f t="shared" si="187"/>
        <v>HOLD</v>
      </c>
    </row>
    <row r="2413" spans="2:13">
      <c r="B2413" s="3">
        <v>45555</v>
      </c>
      <c r="C2413" s="5">
        <v>71.64</v>
      </c>
      <c r="D2413" s="5">
        <v>70.41</v>
      </c>
      <c r="E2413" s="5">
        <v>71.8</v>
      </c>
      <c r="F2413" s="5">
        <v>70.38</v>
      </c>
      <c r="G2413" s="18" t="s">
        <v>113</v>
      </c>
      <c r="H2413" s="2">
        <v>1.44E-2</v>
      </c>
      <c r="I2413" s="16">
        <f t="shared" si="188"/>
        <v>1.4443500424808778E-2</v>
      </c>
      <c r="J2413" s="16">
        <f t="shared" si="189"/>
        <v>1.0144435004248087</v>
      </c>
      <c r="K2413" s="16">
        <f t="shared" si="190"/>
        <v>71.561578947368432</v>
      </c>
      <c r="L2413" s="16">
        <f t="shared" si="186"/>
        <v>68.903265306122449</v>
      </c>
      <c r="M2413" s="25" t="str">
        <f t="shared" si="187"/>
        <v>HOLD</v>
      </c>
    </row>
    <row r="2414" spans="2:13">
      <c r="B2414" s="3">
        <v>45558</v>
      </c>
      <c r="C2414" s="5">
        <v>71.73</v>
      </c>
      <c r="D2414" s="5">
        <v>71.55</v>
      </c>
      <c r="E2414" s="5">
        <v>72.2</v>
      </c>
      <c r="F2414" s="5">
        <v>71.180000000000007</v>
      </c>
      <c r="G2414" s="18" t="s">
        <v>112</v>
      </c>
      <c r="H2414" s="2">
        <v>1.2999999999999999E-3</v>
      </c>
      <c r="I2414" s="16">
        <f t="shared" si="188"/>
        <v>1.2562814070352234E-3</v>
      </c>
      <c r="J2414" s="16">
        <f t="shared" si="189"/>
        <v>1.0012562814070352</v>
      </c>
      <c r="K2414" s="16">
        <f t="shared" si="190"/>
        <v>71.658947368421067</v>
      </c>
      <c r="L2414" s="16">
        <f t="shared" si="186"/>
        <v>69.065306122448973</v>
      </c>
      <c r="M2414" s="25" t="str">
        <f t="shared" si="187"/>
        <v>HOLD</v>
      </c>
    </row>
    <row r="2415" spans="2:13">
      <c r="B2415" s="3">
        <v>45559</v>
      </c>
      <c r="C2415" s="5">
        <v>71.33</v>
      </c>
      <c r="D2415" s="5">
        <v>71.22</v>
      </c>
      <c r="E2415" s="5">
        <v>71.819999999999993</v>
      </c>
      <c r="F2415" s="5">
        <v>70.599999999999994</v>
      </c>
      <c r="G2415" s="18" t="s">
        <v>111</v>
      </c>
      <c r="H2415" s="2">
        <v>-5.5999999999999999E-3</v>
      </c>
      <c r="I2415" s="16">
        <f t="shared" si="188"/>
        <v>-5.576467307960486E-3</v>
      </c>
      <c r="J2415" s="16">
        <f t="shared" si="189"/>
        <v>0.99442353269203954</v>
      </c>
      <c r="K2415" s="16">
        <f t="shared" si="190"/>
        <v>71.70578947368422</v>
      </c>
      <c r="L2415" s="16">
        <f t="shared" si="186"/>
        <v>69.235102040816329</v>
      </c>
      <c r="M2415" s="25" t="str">
        <f t="shared" si="187"/>
        <v>HOLD</v>
      </c>
    </row>
    <row r="2416" spans="2:13">
      <c r="B2416" s="3">
        <v>45560</v>
      </c>
      <c r="C2416" s="5">
        <v>71.45</v>
      </c>
      <c r="D2416" s="5">
        <v>71.709999999999994</v>
      </c>
      <c r="E2416" s="5">
        <v>71.92</v>
      </c>
      <c r="F2416" s="5">
        <v>71.31</v>
      </c>
      <c r="G2416" s="18" t="s">
        <v>110</v>
      </c>
      <c r="H2416" s="2">
        <v>1.6999999999999999E-3</v>
      </c>
      <c r="I2416" s="16">
        <f t="shared" si="188"/>
        <v>1.682321603813326E-3</v>
      </c>
      <c r="J2416" s="16">
        <f t="shared" si="189"/>
        <v>1.0016823216038133</v>
      </c>
      <c r="K2416" s="16">
        <f t="shared" si="190"/>
        <v>71.696842105263158</v>
      </c>
      <c r="L2416" s="16">
        <f t="shared" si="186"/>
        <v>69.379183673469385</v>
      </c>
      <c r="M2416" s="25" t="str">
        <f t="shared" si="187"/>
        <v>HOLD</v>
      </c>
    </row>
    <row r="2417" spans="2:13">
      <c r="B2417" s="3">
        <v>45561</v>
      </c>
      <c r="C2417" s="5">
        <v>71.400000000000006</v>
      </c>
      <c r="D2417" s="5">
        <v>70.86</v>
      </c>
      <c r="E2417" s="5">
        <v>71.61</v>
      </c>
      <c r="F2417" s="5">
        <v>70.84</v>
      </c>
      <c r="G2417" s="18" t="s">
        <v>109</v>
      </c>
      <c r="H2417" s="2">
        <v>-6.9999999999999999E-4</v>
      </c>
      <c r="I2417" s="16">
        <f t="shared" si="188"/>
        <v>-6.9979006298106583E-4</v>
      </c>
      <c r="J2417" s="16">
        <f t="shared" si="189"/>
        <v>0.99930020993701896</v>
      </c>
      <c r="K2417" s="16">
        <f t="shared" si="190"/>
        <v>71.68105263157895</v>
      </c>
      <c r="L2417" s="16">
        <f t="shared" si="186"/>
        <v>69.506530612244887</v>
      </c>
      <c r="M2417" s="25" t="str">
        <f t="shared" si="187"/>
        <v>HOLD</v>
      </c>
    </row>
    <row r="2418" spans="2:13">
      <c r="B2418" s="3">
        <v>45562</v>
      </c>
      <c r="C2418" s="5">
        <v>71.790000000000006</v>
      </c>
      <c r="D2418" s="5">
        <v>71.540000000000006</v>
      </c>
      <c r="E2418" s="5">
        <v>72.2</v>
      </c>
      <c r="F2418" s="5">
        <v>71.459999999999994</v>
      </c>
      <c r="G2418" s="18" t="s">
        <v>108</v>
      </c>
      <c r="H2418" s="2">
        <v>5.4999999999999997E-3</v>
      </c>
      <c r="I2418" s="16">
        <f t="shared" si="188"/>
        <v>5.4621848739495873E-3</v>
      </c>
      <c r="J2418" s="16">
        <f t="shared" si="189"/>
        <v>1.0054621848739496</v>
      </c>
      <c r="K2418" s="16">
        <f t="shared" si="190"/>
        <v>71.646842105263161</v>
      </c>
      <c r="L2418" s="16">
        <f t="shared" si="186"/>
        <v>69.633265306122439</v>
      </c>
      <c r="M2418" s="25" t="str">
        <f t="shared" si="187"/>
        <v>HOLD</v>
      </c>
    </row>
    <row r="2419" spans="2:13">
      <c r="B2419" s="3">
        <v>45565</v>
      </c>
      <c r="C2419" s="5">
        <v>71.86</v>
      </c>
      <c r="D2419" s="5">
        <v>72</v>
      </c>
      <c r="E2419" s="5">
        <v>72.2</v>
      </c>
      <c r="F2419" s="5">
        <v>71.69</v>
      </c>
      <c r="G2419" s="18" t="s">
        <v>39</v>
      </c>
      <c r="H2419" s="2">
        <v>1E-3</v>
      </c>
      <c r="I2419" s="16">
        <f t="shared" si="188"/>
        <v>9.7506616520397227E-4</v>
      </c>
      <c r="J2419" s="16">
        <f t="shared" si="189"/>
        <v>1.0009750661652039</v>
      </c>
      <c r="K2419" s="16">
        <f t="shared" si="190"/>
        <v>71.611052631578943</v>
      </c>
      <c r="L2419" s="16">
        <f t="shared" si="186"/>
        <v>69.765918367346927</v>
      </c>
      <c r="M2419" s="25" t="str">
        <f t="shared" si="187"/>
        <v>HOLD</v>
      </c>
    </row>
    <row r="2420" spans="2:13">
      <c r="B2420" s="3">
        <v>45566</v>
      </c>
      <c r="C2420" s="5">
        <v>71.709999999999994</v>
      </c>
      <c r="D2420" s="5">
        <v>72.099999999999994</v>
      </c>
      <c r="E2420" s="5">
        <v>72.75</v>
      </c>
      <c r="F2420" s="5">
        <v>71.63</v>
      </c>
      <c r="G2420" s="18" t="s">
        <v>107</v>
      </c>
      <c r="H2420" s="2">
        <v>-2.0999999999999999E-3</v>
      </c>
      <c r="I2420" s="16">
        <f t="shared" si="188"/>
        <v>-2.0873921514055899E-3</v>
      </c>
      <c r="J2420" s="16">
        <f t="shared" si="189"/>
        <v>0.99791260784859437</v>
      </c>
      <c r="K2420" s="16">
        <f t="shared" si="190"/>
        <v>71.550526315789469</v>
      </c>
      <c r="L2420" s="16">
        <f t="shared" si="186"/>
        <v>69.910612244897948</v>
      </c>
      <c r="M2420" s="25" t="str">
        <f t="shared" si="187"/>
        <v>HOLD</v>
      </c>
    </row>
    <row r="2421" spans="2:13">
      <c r="B2421" s="3">
        <v>45567</v>
      </c>
      <c r="C2421" s="5">
        <v>71.010000000000005</v>
      </c>
      <c r="D2421" s="5">
        <v>71.39</v>
      </c>
      <c r="E2421" s="5">
        <v>71.430000000000007</v>
      </c>
      <c r="F2421" s="5">
        <v>70.41</v>
      </c>
      <c r="G2421" s="18" t="s">
        <v>106</v>
      </c>
      <c r="H2421" s="2">
        <v>-9.7999999999999997E-3</v>
      </c>
      <c r="I2421" s="16">
        <f t="shared" si="188"/>
        <v>-9.7615395342349563E-3</v>
      </c>
      <c r="J2421" s="16">
        <f t="shared" si="189"/>
        <v>0.99023846046576502</v>
      </c>
      <c r="K2421" s="16">
        <f t="shared" si="190"/>
        <v>71.505789473684203</v>
      </c>
      <c r="L2421" s="16">
        <f t="shared" si="186"/>
        <v>70.048367346938775</v>
      </c>
      <c r="M2421" s="25" t="str">
        <f t="shared" si="187"/>
        <v>HOLD</v>
      </c>
    </row>
    <row r="2422" spans="2:13">
      <c r="B2422" s="3">
        <v>45568</v>
      </c>
      <c r="C2422" s="5">
        <v>70.52</v>
      </c>
      <c r="D2422" s="5">
        <v>70.86</v>
      </c>
      <c r="E2422" s="5">
        <v>70.989999999999995</v>
      </c>
      <c r="F2422" s="5">
        <v>70.2</v>
      </c>
      <c r="G2422" s="18" t="s">
        <v>105</v>
      </c>
      <c r="H2422" s="2">
        <v>-6.8999999999999999E-3</v>
      </c>
      <c r="I2422" s="16">
        <f t="shared" si="188"/>
        <v>-6.9004365582313624E-3</v>
      </c>
      <c r="J2422" s="16">
        <f t="shared" si="189"/>
        <v>0.99309956344176864</v>
      </c>
      <c r="K2422" s="16">
        <f t="shared" si="190"/>
        <v>71.497368421052627</v>
      </c>
      <c r="L2422" s="16">
        <f t="shared" si="186"/>
        <v>70.154489795918366</v>
      </c>
      <c r="M2422" s="25" t="str">
        <f t="shared" si="187"/>
        <v>HOLD</v>
      </c>
    </row>
    <row r="2423" spans="2:13">
      <c r="B2423" s="3">
        <v>45569</v>
      </c>
      <c r="C2423" s="5">
        <v>70.17</v>
      </c>
      <c r="D2423" s="5">
        <v>69.959999999999994</v>
      </c>
      <c r="E2423" s="5">
        <v>70.28</v>
      </c>
      <c r="F2423" s="5">
        <v>69.72</v>
      </c>
      <c r="G2423" s="18" t="s">
        <v>104</v>
      </c>
      <c r="H2423" s="2">
        <v>-5.0000000000000001E-3</v>
      </c>
      <c r="I2423" s="16">
        <f t="shared" si="188"/>
        <v>-4.963131026659023E-3</v>
      </c>
      <c r="J2423" s="16">
        <f t="shared" si="189"/>
        <v>0.99503686897334098</v>
      </c>
      <c r="K2423" s="16">
        <f t="shared" si="190"/>
        <v>71.464736842105253</v>
      </c>
      <c r="L2423" s="16">
        <f t="shared" si="186"/>
        <v>70.245306122448966</v>
      </c>
      <c r="M2423" s="25" t="str">
        <f t="shared" si="187"/>
        <v>HOLD</v>
      </c>
    </row>
    <row r="2424" spans="2:13">
      <c r="B2424" s="3">
        <v>45572</v>
      </c>
      <c r="C2424" s="5">
        <v>69.010000000000005</v>
      </c>
      <c r="D2424" s="5">
        <v>70.05</v>
      </c>
      <c r="E2424" s="5">
        <v>70.099999999999994</v>
      </c>
      <c r="F2424" s="5">
        <v>68.87</v>
      </c>
      <c r="G2424" s="18" t="s">
        <v>103</v>
      </c>
      <c r="H2424" s="2">
        <v>-1.6500000000000001E-2</v>
      </c>
      <c r="I2424" s="16">
        <f t="shared" si="188"/>
        <v>-1.6531281174290959E-2</v>
      </c>
      <c r="J2424" s="16">
        <f t="shared" si="189"/>
        <v>0.98346871882570908</v>
      </c>
      <c r="K2424" s="16">
        <f t="shared" si="190"/>
        <v>71.376315789473693</v>
      </c>
      <c r="L2424" s="16">
        <f t="shared" si="186"/>
        <v>70.308979591836732</v>
      </c>
      <c r="M2424" s="25" t="str">
        <f t="shared" si="187"/>
        <v>HOLD</v>
      </c>
    </row>
    <row r="2425" spans="2:13">
      <c r="B2425" s="3">
        <v>45573</v>
      </c>
      <c r="C2425" s="5">
        <v>69.180000000000007</v>
      </c>
      <c r="D2425" s="5">
        <v>69.040000000000006</v>
      </c>
      <c r="E2425" s="5">
        <v>69.44</v>
      </c>
      <c r="F2425" s="5">
        <v>68.86</v>
      </c>
      <c r="G2425" s="18" t="s">
        <v>102</v>
      </c>
      <c r="H2425" s="2">
        <v>2.5000000000000001E-3</v>
      </c>
      <c r="I2425" s="16">
        <f t="shared" si="188"/>
        <v>2.4634110998406275E-3</v>
      </c>
      <c r="J2425" s="16">
        <f t="shared" si="189"/>
        <v>1.0024634110998407</v>
      </c>
      <c r="K2425" s="16">
        <f t="shared" si="190"/>
        <v>71.242631578947382</v>
      </c>
      <c r="L2425" s="16">
        <f t="shared" ref="L2425:L2488" si="191">AVERAGE(C2376:C2424)</f>
        <v>70.353469387755112</v>
      </c>
      <c r="M2425" s="25" t="str">
        <f t="shared" ref="M2425:M2488" si="192">IF(AND(K2425&gt;L2425,K2424&lt;=L2424),"BUY",IF(AND(K2425&lt;L2425,K2424&gt;=L2424),"SELL","HOLD"))</f>
        <v>HOLD</v>
      </c>
    </row>
    <row r="2426" spans="2:13">
      <c r="B2426" s="3">
        <v>45574</v>
      </c>
      <c r="C2426" s="5">
        <v>69.569999999999993</v>
      </c>
      <c r="D2426" s="5">
        <v>69.19</v>
      </c>
      <c r="E2426" s="5">
        <v>69.739999999999995</v>
      </c>
      <c r="F2426" s="5">
        <v>69.069999999999993</v>
      </c>
      <c r="G2426" s="18" t="s">
        <v>101</v>
      </c>
      <c r="H2426" s="2">
        <v>5.5999999999999999E-3</v>
      </c>
      <c r="I2426" s="16">
        <f t="shared" si="188"/>
        <v>5.6374674761489781E-3</v>
      </c>
      <c r="J2426" s="16">
        <f t="shared" si="189"/>
        <v>1.005637467476149</v>
      </c>
      <c r="K2426" s="16">
        <f t="shared" si="190"/>
        <v>71.142631578947388</v>
      </c>
      <c r="L2426" s="16">
        <f t="shared" si="191"/>
        <v>70.38408163265305</v>
      </c>
      <c r="M2426" s="25" t="str">
        <f t="shared" si="192"/>
        <v>HOLD</v>
      </c>
    </row>
    <row r="2427" spans="2:13">
      <c r="B2427" s="3">
        <v>45575</v>
      </c>
      <c r="C2427" s="5">
        <v>69.25</v>
      </c>
      <c r="D2427" s="5">
        <v>69.83</v>
      </c>
      <c r="E2427" s="5">
        <v>69.91</v>
      </c>
      <c r="F2427" s="5">
        <v>68.989999999999995</v>
      </c>
      <c r="G2427" s="18" t="s">
        <v>100</v>
      </c>
      <c r="H2427" s="2">
        <v>-4.5999999999999999E-3</v>
      </c>
      <c r="I2427" s="16">
        <f t="shared" si="188"/>
        <v>-4.5996837717405953E-3</v>
      </c>
      <c r="J2427" s="16">
        <f t="shared" si="189"/>
        <v>0.99540031622825942</v>
      </c>
      <c r="K2427" s="16">
        <f t="shared" si="190"/>
        <v>71.055263157894743</v>
      </c>
      <c r="L2427" s="16">
        <f t="shared" si="191"/>
        <v>70.441836734693879</v>
      </c>
      <c r="M2427" s="25" t="str">
        <f t="shared" si="192"/>
        <v>HOLD</v>
      </c>
    </row>
    <row r="2428" spans="2:13">
      <c r="B2428" s="3">
        <v>45576</v>
      </c>
      <c r="C2428" s="5">
        <v>69.569999999999993</v>
      </c>
      <c r="D2428" s="5">
        <v>69.459999999999994</v>
      </c>
      <c r="E2428" s="5">
        <v>69.59</v>
      </c>
      <c r="F2428" s="5">
        <v>69</v>
      </c>
      <c r="G2428" s="18" t="s">
        <v>99</v>
      </c>
      <c r="H2428" s="2">
        <v>4.5999999999999999E-3</v>
      </c>
      <c r="I2428" s="16">
        <f t="shared" si="188"/>
        <v>4.6209386281587462E-3</v>
      </c>
      <c r="J2428" s="16">
        <f t="shared" si="189"/>
        <v>1.0046209386281588</v>
      </c>
      <c r="K2428" s="16">
        <f t="shared" si="190"/>
        <v>70.941578947368413</v>
      </c>
      <c r="L2428" s="16">
        <f t="shared" si="191"/>
        <v>70.468163265306117</v>
      </c>
      <c r="M2428" s="25" t="str">
        <f t="shared" si="192"/>
        <v>HOLD</v>
      </c>
    </row>
    <row r="2429" spans="2:13">
      <c r="B2429" s="3">
        <v>45579</v>
      </c>
      <c r="C2429" s="5">
        <v>70.34</v>
      </c>
      <c r="D2429" s="5">
        <v>69.569999999999993</v>
      </c>
      <c r="E2429" s="5">
        <v>70.47</v>
      </c>
      <c r="F2429" s="5">
        <v>69.47</v>
      </c>
      <c r="G2429" s="18" t="s">
        <v>98</v>
      </c>
      <c r="H2429" s="2">
        <v>1.11E-2</v>
      </c>
      <c r="I2429" s="16">
        <f t="shared" si="188"/>
        <v>1.106798907575119E-2</v>
      </c>
      <c r="J2429" s="16">
        <f t="shared" si="189"/>
        <v>1.0110679890757512</v>
      </c>
      <c r="K2429" s="16">
        <f t="shared" si="190"/>
        <v>70.808421052631573</v>
      </c>
      <c r="L2429" s="16">
        <f t="shared" si="191"/>
        <v>70.473061224489811</v>
      </c>
      <c r="M2429" s="25" t="str">
        <f t="shared" si="192"/>
        <v>HOLD</v>
      </c>
    </row>
    <row r="2430" spans="2:13">
      <c r="B2430" s="3">
        <v>45580</v>
      </c>
      <c r="C2430" s="5">
        <v>70.34</v>
      </c>
      <c r="D2430" s="5">
        <v>70.459999999999994</v>
      </c>
      <c r="E2430" s="5">
        <v>71.209999999999994</v>
      </c>
      <c r="F2430" s="5">
        <v>70.16</v>
      </c>
      <c r="G2430" s="18" t="s">
        <v>97</v>
      </c>
      <c r="H2430" s="2">
        <v>0</v>
      </c>
      <c r="I2430" s="16">
        <f t="shared" si="188"/>
        <v>0</v>
      </c>
      <c r="J2430" s="16">
        <f t="shared" si="189"/>
        <v>1</v>
      </c>
      <c r="K2430" s="16">
        <f t="shared" si="190"/>
        <v>70.731578947368405</v>
      </c>
      <c r="L2430" s="16">
        <f t="shared" si="191"/>
        <v>70.518775510204094</v>
      </c>
      <c r="M2430" s="25" t="str">
        <f t="shared" si="192"/>
        <v>HOLD</v>
      </c>
    </row>
    <row r="2431" spans="2:13">
      <c r="B2431" s="3">
        <v>45581</v>
      </c>
      <c r="C2431" s="5">
        <v>70.569999999999993</v>
      </c>
      <c r="D2431" s="5">
        <v>70.09</v>
      </c>
      <c r="E2431" s="5">
        <v>70.7</v>
      </c>
      <c r="F2431" s="5">
        <v>69.97</v>
      </c>
      <c r="G2431" s="18" t="s">
        <v>96</v>
      </c>
      <c r="H2431" s="2">
        <v>3.3E-3</v>
      </c>
      <c r="I2431" s="16">
        <f t="shared" si="188"/>
        <v>3.2698322433891065E-3</v>
      </c>
      <c r="J2431" s="16">
        <f t="shared" si="189"/>
        <v>1.0032698322433891</v>
      </c>
      <c r="K2431" s="16">
        <f t="shared" si="190"/>
        <v>70.65736842105261</v>
      </c>
      <c r="L2431" s="16">
        <f t="shared" si="191"/>
        <v>70.565510204081647</v>
      </c>
      <c r="M2431" s="25" t="str">
        <f t="shared" si="192"/>
        <v>HOLD</v>
      </c>
    </row>
    <row r="2432" spans="2:13">
      <c r="B2432" s="3">
        <v>45582</v>
      </c>
      <c r="C2432" s="5">
        <v>69.900000000000006</v>
      </c>
      <c r="D2432" s="5">
        <v>70.63</v>
      </c>
      <c r="E2432" s="5">
        <v>70.69</v>
      </c>
      <c r="F2432" s="5">
        <v>69.58</v>
      </c>
      <c r="G2432" s="18" t="s">
        <v>95</v>
      </c>
      <c r="H2432" s="2">
        <v>-9.4999999999999998E-3</v>
      </c>
      <c r="I2432" s="16">
        <f t="shared" si="188"/>
        <v>-9.4941193141559813E-3</v>
      </c>
      <c r="J2432" s="16">
        <f t="shared" si="189"/>
        <v>0.990505880685844</v>
      </c>
      <c r="K2432" s="16">
        <f t="shared" si="190"/>
        <v>70.654736842105237</v>
      </c>
      <c r="L2432" s="16">
        <f t="shared" si="191"/>
        <v>70.608571428571437</v>
      </c>
      <c r="M2432" s="25" t="str">
        <f t="shared" si="192"/>
        <v>HOLD</v>
      </c>
    </row>
    <row r="2433" spans="2:13">
      <c r="B2433" s="3">
        <v>45583</v>
      </c>
      <c r="C2433" s="5">
        <v>70.44</v>
      </c>
      <c r="D2433" s="5">
        <v>69.87</v>
      </c>
      <c r="E2433" s="5">
        <v>70.55</v>
      </c>
      <c r="F2433" s="5">
        <v>69.61</v>
      </c>
      <c r="G2433" s="18" t="s">
        <v>94</v>
      </c>
      <c r="H2433" s="2">
        <v>7.7000000000000002E-3</v>
      </c>
      <c r="I2433" s="16">
        <f t="shared" si="188"/>
        <v>7.7253218884119025E-3</v>
      </c>
      <c r="J2433" s="16">
        <f t="shared" si="189"/>
        <v>1.0077253218884119</v>
      </c>
      <c r="K2433" s="16">
        <f t="shared" si="190"/>
        <v>70.563157894736818</v>
      </c>
      <c r="L2433" s="16">
        <f t="shared" si="191"/>
        <v>70.632448979591857</v>
      </c>
      <c r="M2433" s="25" t="str">
        <f t="shared" si="192"/>
        <v>SELL</v>
      </c>
    </row>
    <row r="2434" spans="2:13">
      <c r="B2434" s="3">
        <v>45586</v>
      </c>
      <c r="C2434" s="5">
        <v>69.45</v>
      </c>
      <c r="D2434" s="5">
        <v>70</v>
      </c>
      <c r="E2434" s="5">
        <v>70.319999999999993</v>
      </c>
      <c r="F2434" s="5">
        <v>69.31</v>
      </c>
      <c r="G2434" s="18" t="s">
        <v>93</v>
      </c>
      <c r="H2434" s="2">
        <v>-1.41E-2</v>
      </c>
      <c r="I2434" s="16">
        <f t="shared" si="188"/>
        <v>-1.4054514480408786E-2</v>
      </c>
      <c r="J2434" s="16">
        <f t="shared" si="189"/>
        <v>0.98594548551959116</v>
      </c>
      <c r="K2434" s="16">
        <f t="shared" si="190"/>
        <v>70.495263157894726</v>
      </c>
      <c r="L2434" s="16">
        <f t="shared" si="191"/>
        <v>70.668367346938794</v>
      </c>
      <c r="M2434" s="25" t="str">
        <f t="shared" si="192"/>
        <v>HOLD</v>
      </c>
    </row>
    <row r="2435" spans="2:13">
      <c r="B2435" s="3">
        <v>45587</v>
      </c>
      <c r="C2435" s="5">
        <v>69.45</v>
      </c>
      <c r="D2435" s="5">
        <v>69</v>
      </c>
      <c r="E2435" s="5">
        <v>69.75</v>
      </c>
      <c r="F2435" s="5">
        <v>68.680000000000007</v>
      </c>
      <c r="G2435" s="18" t="s">
        <v>92</v>
      </c>
      <c r="H2435" s="2">
        <v>0</v>
      </c>
      <c r="I2435" s="16">
        <f t="shared" si="188"/>
        <v>0</v>
      </c>
      <c r="J2435" s="16">
        <f t="shared" si="189"/>
        <v>1</v>
      </c>
      <c r="K2435" s="16">
        <f t="shared" si="190"/>
        <v>70.39631578947369</v>
      </c>
      <c r="L2435" s="16">
        <f t="shared" si="191"/>
        <v>70.694489795918386</v>
      </c>
      <c r="M2435" s="25" t="str">
        <f t="shared" si="192"/>
        <v>HOLD</v>
      </c>
    </row>
    <row r="2436" spans="2:13">
      <c r="B2436" s="3">
        <v>45588</v>
      </c>
      <c r="C2436" s="5">
        <v>68.010000000000005</v>
      </c>
      <c r="D2436" s="5">
        <v>66.989999999999995</v>
      </c>
      <c r="E2436" s="5">
        <v>68.7</v>
      </c>
      <c r="F2436" s="5">
        <v>66.58</v>
      </c>
      <c r="G2436" s="18" t="s">
        <v>91</v>
      </c>
      <c r="H2436" s="2">
        <v>-2.07E-2</v>
      </c>
      <c r="I2436" s="16">
        <f t="shared" si="188"/>
        <v>-2.073434125269975E-2</v>
      </c>
      <c r="J2436" s="16">
        <f t="shared" si="189"/>
        <v>0.97926565874730021</v>
      </c>
      <c r="K2436" s="16">
        <f t="shared" si="190"/>
        <v>70.291052631578964</v>
      </c>
      <c r="L2436" s="16">
        <f t="shared" si="191"/>
        <v>70.714693877551042</v>
      </c>
      <c r="M2436" s="25" t="str">
        <f t="shared" si="192"/>
        <v>HOLD</v>
      </c>
    </row>
    <row r="2437" spans="2:13">
      <c r="B2437" s="3">
        <v>45589</v>
      </c>
      <c r="C2437" s="5">
        <v>67.3</v>
      </c>
      <c r="D2437" s="5">
        <v>67.650000000000006</v>
      </c>
      <c r="E2437" s="5">
        <v>68.040000000000006</v>
      </c>
      <c r="F2437" s="5">
        <v>66.95</v>
      </c>
      <c r="G2437" s="18" t="s">
        <v>90</v>
      </c>
      <c r="H2437" s="2">
        <v>-1.04E-2</v>
      </c>
      <c r="I2437" s="16">
        <f t="shared" si="188"/>
        <v>-1.0439641229231111E-2</v>
      </c>
      <c r="J2437" s="16">
        <f t="shared" si="189"/>
        <v>0.98956035877076887</v>
      </c>
      <c r="K2437" s="16">
        <f t="shared" si="190"/>
        <v>70.112631578947372</v>
      </c>
      <c r="L2437" s="16">
        <f t="shared" si="191"/>
        <v>70.703061224489815</v>
      </c>
      <c r="M2437" s="25" t="str">
        <f t="shared" si="192"/>
        <v>HOLD</v>
      </c>
    </row>
    <row r="2438" spans="2:13">
      <c r="B2438" s="3">
        <v>45590</v>
      </c>
      <c r="C2438" s="5">
        <v>66.92</v>
      </c>
      <c r="D2438" s="5">
        <v>67.069999999999993</v>
      </c>
      <c r="E2438" s="5">
        <v>67.7</v>
      </c>
      <c r="F2438" s="5">
        <v>66.790000000000006</v>
      </c>
      <c r="G2438" s="18" t="s">
        <v>89</v>
      </c>
      <c r="H2438" s="2">
        <v>-5.5999999999999999E-3</v>
      </c>
      <c r="I2438" s="16">
        <f t="shared" si="188"/>
        <v>-5.6463595839523839E-3</v>
      </c>
      <c r="J2438" s="16">
        <f t="shared" si="189"/>
        <v>0.99435364041604757</v>
      </c>
      <c r="K2438" s="16">
        <f t="shared" si="190"/>
        <v>69.876315789473679</v>
      </c>
      <c r="L2438" s="16">
        <f t="shared" si="191"/>
        <v>70.675510204081661</v>
      </c>
      <c r="M2438" s="25" t="str">
        <f t="shared" si="192"/>
        <v>HOLD</v>
      </c>
    </row>
    <row r="2439" spans="2:13">
      <c r="B2439" s="3">
        <v>45593</v>
      </c>
      <c r="C2439" s="5">
        <v>66.67</v>
      </c>
      <c r="D2439" s="5">
        <v>66.959999999999994</v>
      </c>
      <c r="E2439" s="5">
        <v>67.39</v>
      </c>
      <c r="F2439" s="5">
        <v>66.599999999999994</v>
      </c>
      <c r="G2439" s="18" t="s">
        <v>88</v>
      </c>
      <c r="H2439" s="2">
        <v>-3.7000000000000002E-3</v>
      </c>
      <c r="I2439" s="16">
        <f t="shared" si="188"/>
        <v>-3.7358039450089658E-3</v>
      </c>
      <c r="J2439" s="16">
        <f t="shared" si="189"/>
        <v>0.99626419605499106</v>
      </c>
      <c r="K2439" s="16">
        <f t="shared" si="190"/>
        <v>69.616315789473688</v>
      </c>
      <c r="L2439" s="16">
        <f t="shared" si="191"/>
        <v>70.629387755102073</v>
      </c>
      <c r="M2439" s="25" t="str">
        <f t="shared" si="192"/>
        <v>HOLD</v>
      </c>
    </row>
    <row r="2440" spans="2:13">
      <c r="B2440" s="3">
        <v>45594</v>
      </c>
      <c r="C2440" s="5">
        <v>65.56</v>
      </c>
      <c r="D2440" s="5">
        <v>66.290000000000006</v>
      </c>
      <c r="E2440" s="5">
        <v>66.34</v>
      </c>
      <c r="F2440" s="5">
        <v>65.52</v>
      </c>
      <c r="G2440" s="18" t="s">
        <v>32</v>
      </c>
      <c r="H2440" s="2">
        <v>-1.66E-2</v>
      </c>
      <c r="I2440" s="16">
        <f t="shared" si="188"/>
        <v>-1.6649167541622909E-2</v>
      </c>
      <c r="J2440" s="16">
        <f t="shared" si="189"/>
        <v>0.98335083245837707</v>
      </c>
      <c r="K2440" s="16">
        <f t="shared" si="190"/>
        <v>69.351052631578952</v>
      </c>
      <c r="L2440" s="16">
        <f t="shared" si="191"/>
        <v>70.582244897959214</v>
      </c>
      <c r="M2440" s="25" t="str">
        <f t="shared" si="192"/>
        <v>HOLD</v>
      </c>
    </row>
    <row r="2441" spans="2:13">
      <c r="B2441" s="3">
        <v>45595</v>
      </c>
      <c r="C2441" s="5">
        <v>65.92</v>
      </c>
      <c r="D2441" s="5">
        <v>65.510000000000005</v>
      </c>
      <c r="E2441" s="5">
        <v>66.540000000000006</v>
      </c>
      <c r="F2441" s="5">
        <v>65.319999999999993</v>
      </c>
      <c r="G2441" s="18" t="s">
        <v>87</v>
      </c>
      <c r="H2441" s="2">
        <v>5.4999999999999997E-3</v>
      </c>
      <c r="I2441" s="16">
        <f t="shared" ref="I2441:I2504" si="193">(C2441-C2440)/C2440</f>
        <v>5.491153142159845E-3</v>
      </c>
      <c r="J2441" s="16">
        <f t="shared" ref="J2441:J2504" si="194">C2441/C2440</f>
        <v>1.0054911531421598</v>
      </c>
      <c r="K2441" s="16">
        <f t="shared" si="190"/>
        <v>69.06421052631579</v>
      </c>
      <c r="L2441" s="16">
        <f t="shared" si="191"/>
        <v>70.504285714285729</v>
      </c>
      <c r="M2441" s="25" t="str">
        <f t="shared" si="192"/>
        <v>HOLD</v>
      </c>
    </row>
    <row r="2442" spans="2:13">
      <c r="B2442" s="3">
        <v>45596</v>
      </c>
      <c r="C2442" s="5">
        <v>65.31</v>
      </c>
      <c r="D2442" s="5">
        <v>65.81</v>
      </c>
      <c r="E2442" s="5">
        <v>65.989999999999995</v>
      </c>
      <c r="F2442" s="5">
        <v>65.25</v>
      </c>
      <c r="G2442" s="18" t="s">
        <v>86</v>
      </c>
      <c r="H2442" s="2">
        <v>-9.2999999999999992E-3</v>
      </c>
      <c r="I2442" s="16">
        <f t="shared" si="193"/>
        <v>-9.2536407766990198E-3</v>
      </c>
      <c r="J2442" s="16">
        <f t="shared" si="194"/>
        <v>0.99074635922330101</v>
      </c>
      <c r="K2442" s="16">
        <f t="shared" si="190"/>
        <v>68.822105263157894</v>
      </c>
      <c r="L2442" s="16">
        <f t="shared" si="191"/>
        <v>70.429795918367375</v>
      </c>
      <c r="M2442" s="25" t="str">
        <f t="shared" si="192"/>
        <v>HOLD</v>
      </c>
    </row>
    <row r="2443" spans="2:13">
      <c r="B2443" s="3">
        <v>45597</v>
      </c>
      <c r="C2443" s="5">
        <v>65.010000000000005</v>
      </c>
      <c r="D2443" s="5">
        <v>65.47</v>
      </c>
      <c r="E2443" s="5">
        <v>65.66</v>
      </c>
      <c r="F2443" s="5">
        <v>64.89</v>
      </c>
      <c r="G2443" s="18" t="s">
        <v>85</v>
      </c>
      <c r="H2443" s="2">
        <v>-4.5999999999999999E-3</v>
      </c>
      <c r="I2443" s="16">
        <f t="shared" si="193"/>
        <v>-4.593477262287508E-3</v>
      </c>
      <c r="J2443" s="16">
        <f t="shared" si="194"/>
        <v>0.99540652273771246</v>
      </c>
      <c r="K2443" s="16">
        <f t="shared" si="190"/>
        <v>68.566315789473677</v>
      </c>
      <c r="L2443" s="16">
        <f t="shared" si="191"/>
        <v>70.34775510204085</v>
      </c>
      <c r="M2443" s="25" t="str">
        <f t="shared" si="192"/>
        <v>HOLD</v>
      </c>
    </row>
    <row r="2444" spans="2:13">
      <c r="B2444" s="3">
        <v>45600</v>
      </c>
      <c r="C2444" s="5">
        <v>65.11</v>
      </c>
      <c r="D2444" s="5">
        <v>65.08</v>
      </c>
      <c r="E2444" s="5">
        <v>65.42</v>
      </c>
      <c r="F2444" s="5">
        <v>64.650000000000006</v>
      </c>
      <c r="G2444" s="18" t="s">
        <v>84</v>
      </c>
      <c r="H2444" s="2">
        <v>1.5E-3</v>
      </c>
      <c r="I2444" s="16">
        <f t="shared" si="193"/>
        <v>1.5382248884786081E-3</v>
      </c>
      <c r="J2444" s="16">
        <f t="shared" si="194"/>
        <v>1.0015382248884785</v>
      </c>
      <c r="K2444" s="16">
        <f t="shared" si="190"/>
        <v>68.355789473684212</v>
      </c>
      <c r="L2444" s="16">
        <f t="shared" si="191"/>
        <v>70.250204081632688</v>
      </c>
      <c r="M2444" s="25" t="str">
        <f t="shared" si="192"/>
        <v>HOLD</v>
      </c>
    </row>
    <row r="2445" spans="2:13">
      <c r="B2445" s="3">
        <v>45601</v>
      </c>
      <c r="C2445" s="5">
        <v>65.37</v>
      </c>
      <c r="D2445" s="5">
        <v>64.64</v>
      </c>
      <c r="E2445" s="5">
        <v>65.47</v>
      </c>
      <c r="F2445" s="5">
        <v>64.64</v>
      </c>
      <c r="G2445" s="18" t="s">
        <v>83</v>
      </c>
      <c r="H2445" s="2">
        <v>4.0000000000000001E-3</v>
      </c>
      <c r="I2445" s="16">
        <f t="shared" si="193"/>
        <v>3.9932422054984656E-3</v>
      </c>
      <c r="J2445" s="16">
        <f t="shared" si="194"/>
        <v>1.0039932422054985</v>
      </c>
      <c r="K2445" s="16">
        <f t="shared" si="190"/>
        <v>68.141578947368416</v>
      </c>
      <c r="L2445" s="16">
        <f t="shared" si="191"/>
        <v>70.133265306122482</v>
      </c>
      <c r="M2445" s="25" t="str">
        <f t="shared" si="192"/>
        <v>HOLD</v>
      </c>
    </row>
    <row r="2446" spans="2:13">
      <c r="B2446" s="3">
        <v>45602</v>
      </c>
      <c r="C2446" s="5">
        <v>63.7</v>
      </c>
      <c r="D2446" s="5">
        <v>64.42</v>
      </c>
      <c r="E2446" s="5">
        <v>64.86</v>
      </c>
      <c r="F2446" s="5">
        <v>63.18</v>
      </c>
      <c r="G2446" s="18" t="s">
        <v>82</v>
      </c>
      <c r="H2446" s="2">
        <v>-2.5499999999999998E-2</v>
      </c>
      <c r="I2446" s="16">
        <f t="shared" si="193"/>
        <v>-2.554688695120088E-2</v>
      </c>
      <c r="J2446" s="16">
        <f t="shared" si="194"/>
        <v>0.97445311304879911</v>
      </c>
      <c r="K2446" s="16">
        <f t="shared" si="190"/>
        <v>67.920526315789459</v>
      </c>
      <c r="L2446" s="16">
        <f t="shared" si="191"/>
        <v>70.008163265306152</v>
      </c>
      <c r="M2446" s="25" t="str">
        <f t="shared" si="192"/>
        <v>HOLD</v>
      </c>
    </row>
    <row r="2447" spans="2:13">
      <c r="B2447" s="3">
        <v>45603</v>
      </c>
      <c r="C2447" s="5">
        <v>63.66</v>
      </c>
      <c r="D2447" s="5">
        <v>64.290000000000006</v>
      </c>
      <c r="E2447" s="5">
        <v>64.39</v>
      </c>
      <c r="F2447" s="5">
        <v>63.6</v>
      </c>
      <c r="G2447" s="18" t="s">
        <v>81</v>
      </c>
      <c r="H2447" s="2">
        <v>-5.9999999999999995E-4</v>
      </c>
      <c r="I2447" s="16">
        <f t="shared" si="193"/>
        <v>-6.2794348508644036E-4</v>
      </c>
      <c r="J2447" s="16">
        <f t="shared" si="194"/>
        <v>0.99937205651491356</v>
      </c>
      <c r="K2447" s="16">
        <f t="shared" si="190"/>
        <v>67.628421052631566</v>
      </c>
      <c r="L2447" s="16">
        <f t="shared" si="191"/>
        <v>69.843877551020441</v>
      </c>
      <c r="M2447" s="25" t="str">
        <f t="shared" si="192"/>
        <v>HOLD</v>
      </c>
    </row>
    <row r="2448" spans="2:13">
      <c r="B2448" s="3">
        <v>45604</v>
      </c>
      <c r="C2448" s="5">
        <v>63.92</v>
      </c>
      <c r="D2448" s="5">
        <v>63.91</v>
      </c>
      <c r="E2448" s="5">
        <v>64.239999999999995</v>
      </c>
      <c r="F2448" s="5">
        <v>63.74</v>
      </c>
      <c r="G2448" s="18" t="s">
        <v>80</v>
      </c>
      <c r="H2448" s="2">
        <v>4.1000000000000003E-3</v>
      </c>
      <c r="I2448" s="16">
        <f t="shared" si="193"/>
        <v>4.0841972981464835E-3</v>
      </c>
      <c r="J2448" s="16">
        <f t="shared" si="194"/>
        <v>1.0040841972981465</v>
      </c>
      <c r="K2448" s="16">
        <f t="shared" si="190"/>
        <v>67.31736842105262</v>
      </c>
      <c r="L2448" s="16">
        <f t="shared" si="191"/>
        <v>69.672653061224509</v>
      </c>
      <c r="M2448" s="25" t="str">
        <f t="shared" si="192"/>
        <v>HOLD</v>
      </c>
    </row>
    <row r="2449" spans="2:13">
      <c r="B2449" s="3">
        <v>45607</v>
      </c>
      <c r="C2449" s="5">
        <v>63.36</v>
      </c>
      <c r="D2449" s="5">
        <v>63.99</v>
      </c>
      <c r="E2449" s="5">
        <v>64.12</v>
      </c>
      <c r="F2449" s="5">
        <v>63.25</v>
      </c>
      <c r="G2449" s="18" t="s">
        <v>79</v>
      </c>
      <c r="H2449" s="2">
        <v>-8.8000000000000005E-3</v>
      </c>
      <c r="I2449" s="16">
        <f t="shared" si="193"/>
        <v>-8.7609511889862688E-3</v>
      </c>
      <c r="J2449" s="16">
        <f t="shared" si="194"/>
        <v>0.99123904881101377</v>
      </c>
      <c r="K2449" s="16">
        <f t="shared" si="190"/>
        <v>66.979473684210532</v>
      </c>
      <c r="L2449" s="16">
        <f t="shared" si="191"/>
        <v>69.498163265306133</v>
      </c>
      <c r="M2449" s="25" t="str">
        <f t="shared" si="192"/>
        <v>HOLD</v>
      </c>
    </row>
    <row r="2450" spans="2:13">
      <c r="B2450" s="3">
        <v>45608</v>
      </c>
      <c r="C2450" s="5">
        <v>63.2</v>
      </c>
      <c r="D2450" s="5">
        <v>63.68</v>
      </c>
      <c r="E2450" s="5">
        <v>63.75</v>
      </c>
      <c r="F2450" s="5">
        <v>63.12</v>
      </c>
      <c r="G2450" s="18" t="s">
        <v>78</v>
      </c>
      <c r="H2450" s="2">
        <v>-2.5000000000000001E-3</v>
      </c>
      <c r="I2450" s="16">
        <f t="shared" si="193"/>
        <v>-2.5252525252524713E-3</v>
      </c>
      <c r="J2450" s="16">
        <f t="shared" si="194"/>
        <v>0.99747474747474751</v>
      </c>
      <c r="K2450" s="16">
        <f t="shared" si="190"/>
        <v>66.6121052631579</v>
      </c>
      <c r="L2450" s="16">
        <f t="shared" si="191"/>
        <v>69.301224489795928</v>
      </c>
      <c r="M2450" s="25" t="str">
        <f t="shared" si="192"/>
        <v>HOLD</v>
      </c>
    </row>
    <row r="2451" spans="2:13">
      <c r="B2451" s="3">
        <v>45609</v>
      </c>
      <c r="C2451" s="5">
        <v>63</v>
      </c>
      <c r="D2451" s="5">
        <v>63.05</v>
      </c>
      <c r="E2451" s="5">
        <v>63.26</v>
      </c>
      <c r="F2451" s="5">
        <v>62.49</v>
      </c>
      <c r="G2451" s="18" t="s">
        <v>21</v>
      </c>
      <c r="H2451" s="2">
        <v>-3.2000000000000002E-3</v>
      </c>
      <c r="I2451" s="16">
        <f t="shared" si="193"/>
        <v>-3.1645569620253611E-3</v>
      </c>
      <c r="J2451" s="16">
        <f t="shared" si="194"/>
        <v>0.99683544303797467</v>
      </c>
      <c r="K2451" s="16">
        <f t="shared" si="190"/>
        <v>66.224210526315801</v>
      </c>
      <c r="L2451" s="16">
        <f t="shared" si="191"/>
        <v>69.110204081632659</v>
      </c>
      <c r="M2451" s="25" t="str">
        <f t="shared" si="192"/>
        <v>HOLD</v>
      </c>
    </row>
    <row r="2452" spans="2:13">
      <c r="B2452" s="3">
        <v>45610</v>
      </c>
      <c r="C2452" s="5">
        <v>62.55</v>
      </c>
      <c r="D2452" s="5">
        <v>63.11</v>
      </c>
      <c r="E2452" s="5">
        <v>63.11</v>
      </c>
      <c r="F2452" s="5">
        <v>62.43</v>
      </c>
      <c r="G2452" s="18" t="s">
        <v>77</v>
      </c>
      <c r="H2452" s="2">
        <v>-7.1000000000000004E-3</v>
      </c>
      <c r="I2452" s="16">
        <f t="shared" si="193"/>
        <v>-7.1428571428571877E-3</v>
      </c>
      <c r="J2452" s="16">
        <f t="shared" si="194"/>
        <v>0.99285714285714277</v>
      </c>
      <c r="K2452" s="16">
        <f t="shared" si="190"/>
        <v>65.861052631578943</v>
      </c>
      <c r="L2452" s="16">
        <f t="shared" si="191"/>
        <v>68.943469387755101</v>
      </c>
      <c r="M2452" s="25" t="str">
        <f t="shared" si="192"/>
        <v>HOLD</v>
      </c>
    </row>
    <row r="2453" spans="2:13">
      <c r="B2453" s="3">
        <v>45611</v>
      </c>
      <c r="C2453" s="5">
        <v>61.74</v>
      </c>
      <c r="D2453" s="5">
        <v>62.49</v>
      </c>
      <c r="E2453" s="5">
        <v>62.63</v>
      </c>
      <c r="F2453" s="5">
        <v>61.39</v>
      </c>
      <c r="G2453" s="18" t="s">
        <v>76</v>
      </c>
      <c r="H2453" s="2">
        <v>-1.29E-2</v>
      </c>
      <c r="I2453" s="16">
        <f t="shared" si="193"/>
        <v>-1.2949640287769707E-2</v>
      </c>
      <c r="J2453" s="16">
        <f t="shared" si="194"/>
        <v>0.98705035971223032</v>
      </c>
      <c r="K2453" s="16">
        <f t="shared" si="190"/>
        <v>65.445789473684215</v>
      </c>
      <c r="L2453" s="16">
        <f t="shared" si="191"/>
        <v>68.768163265306114</v>
      </c>
      <c r="M2453" s="25" t="str">
        <f t="shared" si="192"/>
        <v>HOLD</v>
      </c>
    </row>
    <row r="2454" spans="2:13">
      <c r="B2454" s="3">
        <v>45614</v>
      </c>
      <c r="C2454" s="5">
        <v>61.86</v>
      </c>
      <c r="D2454" s="5">
        <v>61.85</v>
      </c>
      <c r="E2454" s="5">
        <v>62.14</v>
      </c>
      <c r="F2454" s="5">
        <v>61.56</v>
      </c>
      <c r="G2454" s="18" t="s">
        <v>75</v>
      </c>
      <c r="H2454" s="2">
        <v>1.9E-3</v>
      </c>
      <c r="I2454" s="16">
        <f t="shared" si="193"/>
        <v>1.9436345966957797E-3</v>
      </c>
      <c r="J2454" s="16">
        <f t="shared" si="194"/>
        <v>1.0019436345966959</v>
      </c>
      <c r="K2454" s="16">
        <f t="shared" si="190"/>
        <v>65.040000000000006</v>
      </c>
      <c r="L2454" s="16">
        <f t="shared" si="191"/>
        <v>68.56183673469387</v>
      </c>
      <c r="M2454" s="25" t="str">
        <f t="shared" si="192"/>
        <v>HOLD</v>
      </c>
    </row>
    <row r="2455" spans="2:13">
      <c r="B2455" s="3">
        <v>45615</v>
      </c>
      <c r="C2455" s="5">
        <v>62.59</v>
      </c>
      <c r="D2455" s="5">
        <v>61.9</v>
      </c>
      <c r="E2455" s="5">
        <v>62.62</v>
      </c>
      <c r="F2455" s="5">
        <v>61.63</v>
      </c>
      <c r="G2455" s="18" t="s">
        <v>74</v>
      </c>
      <c r="H2455" s="2">
        <v>1.18E-2</v>
      </c>
      <c r="I2455" s="16">
        <f t="shared" si="193"/>
        <v>1.1800840607824183E-2</v>
      </c>
      <c r="J2455" s="16">
        <f t="shared" si="194"/>
        <v>1.0118008406078243</v>
      </c>
      <c r="K2455" s="16">
        <f t="shared" si="190"/>
        <v>64.640526315789472</v>
      </c>
      <c r="L2455" s="16">
        <f t="shared" si="191"/>
        <v>68.364081632653068</v>
      </c>
      <c r="M2455" s="25" t="str">
        <f t="shared" si="192"/>
        <v>HOLD</v>
      </c>
    </row>
    <row r="2456" spans="2:13">
      <c r="B2456" s="3">
        <v>45616</v>
      </c>
      <c r="C2456" s="5">
        <v>62.99</v>
      </c>
      <c r="D2456" s="5">
        <v>62.7</v>
      </c>
      <c r="E2456" s="5">
        <v>63.01</v>
      </c>
      <c r="F2456" s="5">
        <v>62.02</v>
      </c>
      <c r="G2456" s="18" t="s">
        <v>73</v>
      </c>
      <c r="H2456" s="2">
        <v>6.4000000000000003E-3</v>
      </c>
      <c r="I2456" s="16">
        <f t="shared" si="193"/>
        <v>6.3907972519571584E-3</v>
      </c>
      <c r="J2456" s="16">
        <f t="shared" si="194"/>
        <v>1.0063907972519572</v>
      </c>
      <c r="K2456" s="16">
        <f t="shared" si="190"/>
        <v>64.355263157894726</v>
      </c>
      <c r="L2456" s="16">
        <f t="shared" si="191"/>
        <v>68.190816326530623</v>
      </c>
      <c r="M2456" s="25" t="str">
        <f t="shared" si="192"/>
        <v>HOLD</v>
      </c>
    </row>
    <row r="2457" spans="2:13">
      <c r="B2457" s="3">
        <v>45617</v>
      </c>
      <c r="C2457" s="5">
        <v>63.76</v>
      </c>
      <c r="D2457" s="5">
        <v>63.15</v>
      </c>
      <c r="E2457" s="5">
        <v>63.81</v>
      </c>
      <c r="F2457" s="5">
        <v>62.95</v>
      </c>
      <c r="G2457" s="18" t="s">
        <v>72</v>
      </c>
      <c r="H2457" s="2">
        <v>1.2200000000000001E-2</v>
      </c>
      <c r="I2457" s="16">
        <f t="shared" si="193"/>
        <v>1.2224162565486522E-2</v>
      </c>
      <c r="J2457" s="16">
        <f t="shared" si="194"/>
        <v>1.0122241625654864</v>
      </c>
      <c r="K2457" s="16">
        <f t="shared" si="190"/>
        <v>64.128421052631566</v>
      </c>
      <c r="L2457" s="16">
        <f t="shared" si="191"/>
        <v>68.022653061224489</v>
      </c>
      <c r="M2457" s="25" t="str">
        <f t="shared" si="192"/>
        <v>HOLD</v>
      </c>
    </row>
    <row r="2458" spans="2:13">
      <c r="B2458" s="3">
        <v>45618</v>
      </c>
      <c r="C2458" s="5">
        <v>63.92</v>
      </c>
      <c r="D2458" s="5">
        <v>64.239999999999995</v>
      </c>
      <c r="E2458" s="5">
        <v>64.48</v>
      </c>
      <c r="F2458" s="5">
        <v>63.65</v>
      </c>
      <c r="G2458" s="18" t="s">
        <v>71</v>
      </c>
      <c r="H2458" s="2">
        <v>2.5000000000000001E-3</v>
      </c>
      <c r="I2458" s="16">
        <f t="shared" si="193"/>
        <v>2.5094102885822411E-3</v>
      </c>
      <c r="J2458" s="16">
        <f t="shared" si="194"/>
        <v>1.0025094102885823</v>
      </c>
      <c r="K2458" s="16">
        <f t="shared" si="190"/>
        <v>63.962105263157895</v>
      </c>
      <c r="L2458" s="16">
        <f t="shared" si="191"/>
        <v>67.866530612244901</v>
      </c>
      <c r="M2458" s="25" t="str">
        <f t="shared" si="192"/>
        <v>HOLD</v>
      </c>
    </row>
    <row r="2459" spans="2:13">
      <c r="B2459" s="3">
        <v>45621</v>
      </c>
      <c r="C2459" s="5">
        <v>64.38</v>
      </c>
      <c r="D2459" s="5">
        <v>64.319999999999993</v>
      </c>
      <c r="E2459" s="5">
        <v>64.709999999999994</v>
      </c>
      <c r="F2459" s="5">
        <v>63.84</v>
      </c>
      <c r="G2459" s="18" t="s">
        <v>70</v>
      </c>
      <c r="H2459" s="2">
        <v>7.1999999999999998E-3</v>
      </c>
      <c r="I2459" s="16">
        <f t="shared" si="193"/>
        <v>7.1964956195243075E-3</v>
      </c>
      <c r="J2459" s="16">
        <f t="shared" si="194"/>
        <v>1.0071964956195243</v>
      </c>
      <c r="K2459" s="16">
        <f t="shared" ref="K2459:K2523" si="195">AVERAGE(C2440:C2458)</f>
        <v>63.817368421052628</v>
      </c>
      <c r="L2459" s="16">
        <f t="shared" si="191"/>
        <v>67.699591836734697</v>
      </c>
      <c r="M2459" s="25" t="str">
        <f t="shared" si="192"/>
        <v>HOLD</v>
      </c>
    </row>
    <row r="2460" spans="2:13">
      <c r="B2460" s="3">
        <v>45622</v>
      </c>
      <c r="C2460" s="5">
        <v>64.55</v>
      </c>
      <c r="D2460" s="5">
        <v>64.31</v>
      </c>
      <c r="E2460" s="5">
        <v>64.64</v>
      </c>
      <c r="F2460" s="5">
        <v>64.06</v>
      </c>
      <c r="G2460" s="18" t="s">
        <v>69</v>
      </c>
      <c r="H2460" s="2">
        <v>2.5999999999999999E-3</v>
      </c>
      <c r="I2460" s="16">
        <f t="shared" si="193"/>
        <v>2.6405716060888739E-3</v>
      </c>
      <c r="J2460" s="16">
        <f t="shared" si="194"/>
        <v>1.0026405716060889</v>
      </c>
      <c r="K2460" s="16">
        <f t="shared" si="195"/>
        <v>63.755263157894753</v>
      </c>
      <c r="L2460" s="16">
        <f t="shared" si="191"/>
        <v>67.54816326530613</v>
      </c>
      <c r="M2460" s="25" t="str">
        <f t="shared" si="192"/>
        <v>HOLD</v>
      </c>
    </row>
    <row r="2461" spans="2:13">
      <c r="B2461" s="3">
        <v>45623</v>
      </c>
      <c r="C2461" s="5">
        <v>64.430000000000007</v>
      </c>
      <c r="D2461" s="5">
        <v>64.959999999999994</v>
      </c>
      <c r="E2461" s="5">
        <v>65.099999999999994</v>
      </c>
      <c r="F2461" s="5">
        <v>64.25</v>
      </c>
      <c r="G2461" s="18" t="s">
        <v>68</v>
      </c>
      <c r="H2461" s="2">
        <v>-1.9E-3</v>
      </c>
      <c r="I2461" s="16">
        <f t="shared" si="193"/>
        <v>-1.8590240123933439E-3</v>
      </c>
      <c r="J2461" s="16">
        <f t="shared" si="194"/>
        <v>0.99814097598760665</v>
      </c>
      <c r="K2461" s="16">
        <f t="shared" si="195"/>
        <v>63.68315789473683</v>
      </c>
      <c r="L2461" s="16">
        <f t="shared" si="191"/>
        <v>67.401224489795922</v>
      </c>
      <c r="M2461" s="25" t="str">
        <f t="shared" si="192"/>
        <v>HOLD</v>
      </c>
    </row>
    <row r="2462" spans="2:13">
      <c r="B2462" s="3">
        <v>45625</v>
      </c>
      <c r="C2462" s="5">
        <v>64.08</v>
      </c>
      <c r="D2462" s="5">
        <v>64.02</v>
      </c>
      <c r="E2462" s="5">
        <v>64.25</v>
      </c>
      <c r="F2462" s="5">
        <v>63.77</v>
      </c>
      <c r="G2462" s="18" t="s">
        <v>67</v>
      </c>
      <c r="H2462" s="2">
        <v>-5.4000000000000003E-3</v>
      </c>
      <c r="I2462" s="16">
        <f t="shared" si="193"/>
        <v>-5.4322520564955533E-3</v>
      </c>
      <c r="J2462" s="16">
        <f t="shared" si="194"/>
        <v>0.99456774794350444</v>
      </c>
      <c r="K2462" s="16">
        <f t="shared" si="195"/>
        <v>63.636842105263156</v>
      </c>
      <c r="L2462" s="16">
        <f t="shared" si="191"/>
        <v>67.274897959183676</v>
      </c>
      <c r="M2462" s="25" t="str">
        <f t="shared" si="192"/>
        <v>HOLD</v>
      </c>
    </row>
    <row r="2463" spans="2:13">
      <c r="B2463" s="3">
        <v>45628</v>
      </c>
      <c r="C2463" s="5">
        <v>63.65</v>
      </c>
      <c r="D2463" s="5">
        <v>64.05</v>
      </c>
      <c r="E2463" s="5">
        <v>64.19</v>
      </c>
      <c r="F2463" s="5">
        <v>63.35</v>
      </c>
      <c r="G2463" s="18" t="s">
        <v>66</v>
      </c>
      <c r="H2463" s="2">
        <v>-6.7000000000000002E-3</v>
      </c>
      <c r="I2463" s="16">
        <f t="shared" si="193"/>
        <v>-6.7103620474406947E-3</v>
      </c>
      <c r="J2463" s="16">
        <f t="shared" si="194"/>
        <v>0.99328963795255931</v>
      </c>
      <c r="K2463" s="16">
        <f t="shared" si="195"/>
        <v>63.587894736842109</v>
      </c>
      <c r="L2463" s="16">
        <f t="shared" si="191"/>
        <v>67.120612244897956</v>
      </c>
      <c r="M2463" s="25" t="str">
        <f t="shared" si="192"/>
        <v>HOLD</v>
      </c>
    </row>
    <row r="2464" spans="2:13">
      <c r="B2464" s="3">
        <v>45629</v>
      </c>
      <c r="C2464" s="5">
        <v>63.52</v>
      </c>
      <c r="D2464" s="5">
        <v>63.72</v>
      </c>
      <c r="E2464" s="5">
        <v>64.08</v>
      </c>
      <c r="F2464" s="5">
        <v>63.03</v>
      </c>
      <c r="G2464" s="18" t="s">
        <v>65</v>
      </c>
      <c r="H2464" s="2">
        <v>-2E-3</v>
      </c>
      <c r="I2464" s="16">
        <f t="shared" si="193"/>
        <v>-2.0424194815395987E-3</v>
      </c>
      <c r="J2464" s="16">
        <f t="shared" si="194"/>
        <v>0.9979575805184604</v>
      </c>
      <c r="K2464" s="16">
        <f t="shared" si="195"/>
        <v>63.511052631578949</v>
      </c>
      <c r="L2464" s="16">
        <f t="shared" si="191"/>
        <v>66.955714285714279</v>
      </c>
      <c r="M2464" s="25" t="str">
        <f t="shared" si="192"/>
        <v>HOLD</v>
      </c>
    </row>
    <row r="2465" spans="2:13">
      <c r="B2465" s="3">
        <v>45630</v>
      </c>
      <c r="C2465" s="5">
        <v>62.21</v>
      </c>
      <c r="D2465" s="5">
        <v>63.28</v>
      </c>
      <c r="E2465" s="5">
        <v>63.35</v>
      </c>
      <c r="F2465" s="5">
        <v>61.9</v>
      </c>
      <c r="G2465" s="18" t="s">
        <v>64</v>
      </c>
      <c r="H2465" s="2">
        <v>-2.06E-2</v>
      </c>
      <c r="I2465" s="16">
        <f t="shared" si="193"/>
        <v>-2.0623425692695249E-2</v>
      </c>
      <c r="J2465" s="16">
        <f t="shared" si="194"/>
        <v>0.97937657430730474</v>
      </c>
      <c r="K2465" s="16">
        <f t="shared" si="195"/>
        <v>63.413684210526313</v>
      </c>
      <c r="L2465" s="16">
        <f t="shared" si="191"/>
        <v>66.796326530612248</v>
      </c>
      <c r="M2465" s="25" t="str">
        <f t="shared" si="192"/>
        <v>HOLD</v>
      </c>
    </row>
    <row r="2466" spans="2:13">
      <c r="B2466" s="3">
        <v>45631</v>
      </c>
      <c r="C2466" s="5">
        <v>62.92</v>
      </c>
      <c r="D2466" s="5">
        <v>62.47</v>
      </c>
      <c r="E2466" s="5">
        <v>63.12</v>
      </c>
      <c r="F2466" s="5">
        <v>62.1</v>
      </c>
      <c r="G2466" s="18" t="s">
        <v>63</v>
      </c>
      <c r="H2466" s="2">
        <v>1.14E-2</v>
      </c>
      <c r="I2466" s="16">
        <f t="shared" si="193"/>
        <v>1.1412956116380017E-2</v>
      </c>
      <c r="J2466" s="16">
        <f t="shared" si="194"/>
        <v>1.01141295611638</v>
      </c>
      <c r="K2466" s="16">
        <f t="shared" si="195"/>
        <v>63.33526315789473</v>
      </c>
      <c r="L2466" s="16">
        <f t="shared" si="191"/>
        <v>66.607755102040827</v>
      </c>
      <c r="M2466" s="25" t="str">
        <f t="shared" si="192"/>
        <v>HOLD</v>
      </c>
    </row>
    <row r="2467" spans="2:13">
      <c r="B2467" s="3">
        <v>45632</v>
      </c>
      <c r="C2467" s="5">
        <v>62.53</v>
      </c>
      <c r="D2467" s="5">
        <v>62.83</v>
      </c>
      <c r="E2467" s="5">
        <v>63.36</v>
      </c>
      <c r="F2467" s="5">
        <v>62.51</v>
      </c>
      <c r="G2467" s="18" t="s">
        <v>62</v>
      </c>
      <c r="H2467" s="2">
        <v>-6.1999999999999998E-3</v>
      </c>
      <c r="I2467" s="16">
        <f t="shared" si="193"/>
        <v>-6.1983471074380254E-3</v>
      </c>
      <c r="J2467" s="16">
        <f t="shared" si="194"/>
        <v>0.99380165289256195</v>
      </c>
      <c r="K2467" s="16">
        <f t="shared" si="195"/>
        <v>63.296315789473688</v>
      </c>
      <c r="L2467" s="16">
        <f t="shared" si="191"/>
        <v>66.434693877551027</v>
      </c>
      <c r="M2467" s="25" t="str">
        <f t="shared" si="192"/>
        <v>HOLD</v>
      </c>
    </row>
    <row r="2468" spans="2:13">
      <c r="B2468" s="3">
        <v>45635</v>
      </c>
      <c r="C2468" s="5">
        <v>62.6</v>
      </c>
      <c r="D2468" s="5">
        <v>62.69</v>
      </c>
      <c r="E2468" s="5">
        <v>62.93</v>
      </c>
      <c r="F2468" s="5">
        <v>61.9</v>
      </c>
      <c r="G2468" s="18" t="s">
        <v>61</v>
      </c>
      <c r="H2468" s="2">
        <v>1.1000000000000001E-3</v>
      </c>
      <c r="I2468" s="16">
        <f t="shared" si="193"/>
        <v>1.1194626579242009E-3</v>
      </c>
      <c r="J2468" s="16">
        <f t="shared" si="194"/>
        <v>1.0011194626579243</v>
      </c>
      <c r="K2468" s="16">
        <f t="shared" si="195"/>
        <v>63.223157894736843</v>
      </c>
      <c r="L2468" s="16">
        <f t="shared" si="191"/>
        <v>66.2457142857143</v>
      </c>
      <c r="M2468" s="25" t="str">
        <f t="shared" si="192"/>
        <v>HOLD</v>
      </c>
    </row>
    <row r="2469" spans="2:13">
      <c r="B2469" s="3">
        <v>45636</v>
      </c>
      <c r="C2469" s="5">
        <v>62.91</v>
      </c>
      <c r="D2469" s="5">
        <v>62.7</v>
      </c>
      <c r="E2469" s="5">
        <v>63.04</v>
      </c>
      <c r="F2469" s="5">
        <v>61.79</v>
      </c>
      <c r="G2469" s="18" t="s">
        <v>60</v>
      </c>
      <c r="H2469" s="2">
        <v>5.0000000000000001E-3</v>
      </c>
      <c r="I2469" s="16">
        <f t="shared" si="193"/>
        <v>4.9520766773162167E-3</v>
      </c>
      <c r="J2469" s="16">
        <f t="shared" si="194"/>
        <v>1.0049520766773161</v>
      </c>
      <c r="K2469" s="16">
        <f t="shared" si="195"/>
        <v>63.183157894736844</v>
      </c>
      <c r="L2469" s="16">
        <f t="shared" si="191"/>
        <v>66.056734693877559</v>
      </c>
      <c r="M2469" s="25" t="str">
        <f t="shared" si="192"/>
        <v>HOLD</v>
      </c>
    </row>
    <row r="2470" spans="2:13">
      <c r="B2470" s="3">
        <v>45637</v>
      </c>
      <c r="C2470" s="5">
        <v>62.64</v>
      </c>
      <c r="D2470" s="5">
        <v>63</v>
      </c>
      <c r="E2470" s="5">
        <v>63.63</v>
      </c>
      <c r="F2470" s="5">
        <v>62.4</v>
      </c>
      <c r="G2470" s="18" t="s">
        <v>59</v>
      </c>
      <c r="H2470" s="2">
        <v>-4.3E-3</v>
      </c>
      <c r="I2470" s="16">
        <f t="shared" si="193"/>
        <v>-4.2918454935621684E-3</v>
      </c>
      <c r="J2470" s="16">
        <f t="shared" si="194"/>
        <v>0.99570815450643779</v>
      </c>
      <c r="K2470" s="16">
        <f t="shared" si="195"/>
        <v>63.167894736842108</v>
      </c>
      <c r="L2470" s="16">
        <f t="shared" si="191"/>
        <v>65.877142857142871</v>
      </c>
      <c r="M2470" s="25" t="str">
        <f t="shared" si="192"/>
        <v>HOLD</v>
      </c>
    </row>
    <row r="2471" spans="2:13">
      <c r="B2471" s="3">
        <v>45638</v>
      </c>
      <c r="C2471" s="5">
        <v>63.84</v>
      </c>
      <c r="D2471" s="5">
        <v>63.55</v>
      </c>
      <c r="E2471" s="5">
        <v>63.92</v>
      </c>
      <c r="F2471" s="5">
        <v>63.22</v>
      </c>
      <c r="G2471" s="18" t="s">
        <v>58</v>
      </c>
      <c r="H2471" s="2">
        <v>1.9199999999999998E-2</v>
      </c>
      <c r="I2471" s="16">
        <f t="shared" si="193"/>
        <v>1.9157088122605408E-2</v>
      </c>
      <c r="J2471" s="16">
        <f t="shared" si="194"/>
        <v>1.0191570881226053</v>
      </c>
      <c r="K2471" s="16">
        <f t="shared" si="195"/>
        <v>63.148947368421062</v>
      </c>
      <c r="L2471" s="16">
        <f t="shared" si="191"/>
        <v>65.706326530612259</v>
      </c>
      <c r="M2471" s="25" t="str">
        <f t="shared" si="192"/>
        <v>HOLD</v>
      </c>
    </row>
    <row r="2472" spans="2:13">
      <c r="B2472" s="3">
        <v>45639</v>
      </c>
      <c r="C2472" s="5">
        <v>63.12</v>
      </c>
      <c r="D2472" s="5">
        <v>63.57</v>
      </c>
      <c r="E2472" s="5">
        <v>63.83</v>
      </c>
      <c r="F2472" s="5">
        <v>63.11</v>
      </c>
      <c r="G2472" s="18" t="s">
        <v>57</v>
      </c>
      <c r="H2472" s="2">
        <v>-1.1299999999999999E-2</v>
      </c>
      <c r="I2472" s="16">
        <f t="shared" si="193"/>
        <v>-1.1278195488721898E-2</v>
      </c>
      <c r="J2472" s="16">
        <f t="shared" si="194"/>
        <v>0.98872180451127811</v>
      </c>
      <c r="K2472" s="16">
        <f t="shared" si="195"/>
        <v>63.216842105263161</v>
      </c>
      <c r="L2472" s="16">
        <f t="shared" si="191"/>
        <v>65.570000000000022</v>
      </c>
      <c r="M2472" s="25" t="str">
        <f t="shared" si="192"/>
        <v>HOLD</v>
      </c>
    </row>
    <row r="2473" spans="2:13">
      <c r="B2473" s="3">
        <v>45642</v>
      </c>
      <c r="C2473" s="5">
        <v>62.55</v>
      </c>
      <c r="D2473" s="5">
        <v>63.23</v>
      </c>
      <c r="E2473" s="5">
        <v>63.86</v>
      </c>
      <c r="F2473" s="5">
        <v>62.35</v>
      </c>
      <c r="G2473" s="18" t="s">
        <v>56</v>
      </c>
      <c r="H2473" s="2">
        <v>-8.9999999999999993E-3</v>
      </c>
      <c r="I2473" s="16">
        <f t="shared" si="193"/>
        <v>-9.0304182509505747E-3</v>
      </c>
      <c r="J2473" s="16">
        <f t="shared" si="194"/>
        <v>0.99096958174904948</v>
      </c>
      <c r="K2473" s="16">
        <f t="shared" si="195"/>
        <v>63.289473684210513</v>
      </c>
      <c r="L2473" s="16">
        <f t="shared" si="191"/>
        <v>65.426122448979598</v>
      </c>
      <c r="M2473" s="25" t="str">
        <f t="shared" si="192"/>
        <v>HOLD</v>
      </c>
    </row>
    <row r="2474" spans="2:13">
      <c r="B2474" s="3">
        <v>45643</v>
      </c>
      <c r="C2474" s="5">
        <v>63.4</v>
      </c>
      <c r="D2474" s="5">
        <v>62.45</v>
      </c>
      <c r="E2474" s="5">
        <v>63.55</v>
      </c>
      <c r="F2474" s="5">
        <v>62.32</v>
      </c>
      <c r="G2474" s="18" t="s">
        <v>55</v>
      </c>
      <c r="H2474" s="2">
        <v>1.3599999999999999E-2</v>
      </c>
      <c r="I2474" s="16">
        <f t="shared" si="193"/>
        <v>1.358912869704239E-2</v>
      </c>
      <c r="J2474" s="16">
        <f t="shared" si="194"/>
        <v>1.0135891286970424</v>
      </c>
      <c r="K2474" s="16">
        <f t="shared" si="195"/>
        <v>63.325789473684203</v>
      </c>
      <c r="L2474" s="16">
        <f t="shared" si="191"/>
        <v>65.294285714285721</v>
      </c>
      <c r="M2474" s="25" t="str">
        <f t="shared" si="192"/>
        <v>HOLD</v>
      </c>
    </row>
    <row r="2475" spans="2:13">
      <c r="B2475" s="3">
        <v>45644</v>
      </c>
      <c r="C2475" s="5">
        <v>62.85</v>
      </c>
      <c r="D2475" s="5">
        <v>62.81</v>
      </c>
      <c r="E2475" s="5">
        <v>63.64</v>
      </c>
      <c r="F2475" s="5">
        <v>62.79</v>
      </c>
      <c r="G2475" s="18" t="s">
        <v>54</v>
      </c>
      <c r="H2475" s="2">
        <v>-8.6999999999999994E-3</v>
      </c>
      <c r="I2475" s="16">
        <f t="shared" si="193"/>
        <v>-8.675078864353267E-3</v>
      </c>
      <c r="J2475" s="16">
        <f t="shared" si="194"/>
        <v>0.99132492113564674</v>
      </c>
      <c r="K2475" s="16">
        <f t="shared" si="195"/>
        <v>63.368421052631582</v>
      </c>
      <c r="L2475" s="16">
        <f t="shared" si="191"/>
        <v>65.176326530612258</v>
      </c>
      <c r="M2475" s="25" t="str">
        <f t="shared" si="192"/>
        <v>HOLD</v>
      </c>
    </row>
    <row r="2476" spans="2:13">
      <c r="B2476" s="3">
        <v>45645</v>
      </c>
      <c r="C2476" s="5">
        <v>62.45</v>
      </c>
      <c r="D2476" s="5">
        <v>62.7</v>
      </c>
      <c r="E2476" s="5">
        <v>63.17</v>
      </c>
      <c r="F2476" s="5">
        <v>62.4</v>
      </c>
      <c r="G2476" s="18" t="s">
        <v>53</v>
      </c>
      <c r="H2476" s="2">
        <v>-6.4000000000000003E-3</v>
      </c>
      <c r="I2476" s="16">
        <f t="shared" si="193"/>
        <v>-6.3643595863166038E-3</v>
      </c>
      <c r="J2476" s="16">
        <f t="shared" si="194"/>
        <v>0.99363564041368335</v>
      </c>
      <c r="K2476" s="16">
        <f t="shared" si="195"/>
        <v>63.361052631578943</v>
      </c>
      <c r="L2476" s="16">
        <f t="shared" si="191"/>
        <v>65.039183673469395</v>
      </c>
      <c r="M2476" s="25" t="str">
        <f t="shared" si="192"/>
        <v>HOLD</v>
      </c>
    </row>
    <row r="2477" spans="2:13">
      <c r="B2477" s="3">
        <v>45646</v>
      </c>
      <c r="C2477" s="5">
        <v>62.55</v>
      </c>
      <c r="D2477" s="5">
        <v>62.47</v>
      </c>
      <c r="E2477" s="5">
        <v>63.06</v>
      </c>
      <c r="F2477" s="5">
        <v>62.28</v>
      </c>
      <c r="G2477" s="18" t="s">
        <v>52</v>
      </c>
      <c r="H2477" s="2">
        <v>1.6000000000000001E-3</v>
      </c>
      <c r="I2477" s="16">
        <f t="shared" si="193"/>
        <v>1.6012810248197647E-3</v>
      </c>
      <c r="J2477" s="16">
        <f t="shared" si="194"/>
        <v>1.0016012810248198</v>
      </c>
      <c r="K2477" s="16">
        <f t="shared" si="195"/>
        <v>63.292105263157893</v>
      </c>
      <c r="L2477" s="16">
        <f t="shared" si="191"/>
        <v>64.900408163265297</v>
      </c>
      <c r="M2477" s="25" t="str">
        <f t="shared" si="192"/>
        <v>HOLD</v>
      </c>
    </row>
    <row r="2478" spans="2:13">
      <c r="B2478" s="3">
        <v>45649</v>
      </c>
      <c r="C2478" s="5">
        <v>62.38</v>
      </c>
      <c r="D2478" s="5">
        <v>62.5</v>
      </c>
      <c r="E2478" s="5">
        <v>62.76</v>
      </c>
      <c r="F2478" s="5">
        <v>61.53</v>
      </c>
      <c r="G2478" s="18" t="s">
        <v>51</v>
      </c>
      <c r="H2478" s="2">
        <v>-2.7000000000000001E-3</v>
      </c>
      <c r="I2478" s="16">
        <f t="shared" si="193"/>
        <v>-2.7178257394083871E-3</v>
      </c>
      <c r="J2478" s="16">
        <f t="shared" si="194"/>
        <v>0.99728217426059163</v>
      </c>
      <c r="K2478" s="16">
        <f t="shared" si="195"/>
        <v>63.219999999999992</v>
      </c>
      <c r="L2478" s="16">
        <f t="shared" si="191"/>
        <v>64.757142857142853</v>
      </c>
      <c r="M2478" s="25" t="str">
        <f t="shared" si="192"/>
        <v>HOLD</v>
      </c>
    </row>
    <row r="2479" spans="2:13">
      <c r="B2479" s="3">
        <v>45650</v>
      </c>
      <c r="C2479" s="5">
        <v>62.84</v>
      </c>
      <c r="D2479" s="5">
        <v>62.2</v>
      </c>
      <c r="E2479" s="5">
        <v>62.84</v>
      </c>
      <c r="F2479" s="5">
        <v>62.01</v>
      </c>
      <c r="G2479" s="18" t="s">
        <v>50</v>
      </c>
      <c r="H2479" s="2">
        <v>7.4000000000000003E-3</v>
      </c>
      <c r="I2479" s="16">
        <f t="shared" si="193"/>
        <v>7.3741583840974808E-3</v>
      </c>
      <c r="J2479" s="16">
        <f t="shared" si="194"/>
        <v>1.0073741583840974</v>
      </c>
      <c r="K2479" s="16">
        <f t="shared" si="195"/>
        <v>63.114736842105266</v>
      </c>
      <c r="L2479" s="16">
        <f t="shared" si="191"/>
        <v>64.594693877551023</v>
      </c>
      <c r="M2479" s="25" t="str">
        <f t="shared" si="192"/>
        <v>HOLD</v>
      </c>
    </row>
    <row r="2480" spans="2:13">
      <c r="B2480" s="3">
        <v>45652</v>
      </c>
      <c r="C2480" s="5">
        <v>62.57</v>
      </c>
      <c r="D2480" s="5">
        <v>62.62</v>
      </c>
      <c r="E2480" s="5">
        <v>62.74</v>
      </c>
      <c r="F2480" s="5">
        <v>62.4</v>
      </c>
      <c r="G2480" s="18" t="s">
        <v>49</v>
      </c>
      <c r="H2480" s="2">
        <v>-4.3E-3</v>
      </c>
      <c r="I2480" s="16">
        <f t="shared" si="193"/>
        <v>-4.2966263526416793E-3</v>
      </c>
      <c r="J2480" s="16">
        <f t="shared" si="194"/>
        <v>0.99570337364735828</v>
      </c>
      <c r="K2480" s="16">
        <f t="shared" si="195"/>
        <v>63.024736842105263</v>
      </c>
      <c r="L2480" s="16">
        <f t="shared" si="191"/>
        <v>64.441632653061234</v>
      </c>
      <c r="M2480" s="25" t="str">
        <f t="shared" si="192"/>
        <v>HOLD</v>
      </c>
    </row>
    <row r="2481" spans="2:13">
      <c r="B2481" s="3">
        <v>45653</v>
      </c>
      <c r="C2481" s="5">
        <v>62.45</v>
      </c>
      <c r="D2481" s="5">
        <v>62.45</v>
      </c>
      <c r="E2481" s="5">
        <v>62.95</v>
      </c>
      <c r="F2481" s="5">
        <v>62.21</v>
      </c>
      <c r="G2481" s="18" t="s">
        <v>48</v>
      </c>
      <c r="H2481" s="2">
        <v>-1.9E-3</v>
      </c>
      <c r="I2481" s="16">
        <f t="shared" si="193"/>
        <v>-1.9178520057535151E-3</v>
      </c>
      <c r="J2481" s="16">
        <f t="shared" si="194"/>
        <v>0.99808214799424644</v>
      </c>
      <c r="K2481" s="16">
        <f t="shared" si="195"/>
        <v>62.926842105263155</v>
      </c>
      <c r="L2481" s="16">
        <f t="shared" si="191"/>
        <v>64.278367346938794</v>
      </c>
      <c r="M2481" s="25" t="str">
        <f t="shared" si="192"/>
        <v>HOLD</v>
      </c>
    </row>
    <row r="2482" spans="2:13">
      <c r="B2482" s="3">
        <v>45656</v>
      </c>
      <c r="C2482" s="5">
        <v>62.03</v>
      </c>
      <c r="D2482" s="5">
        <v>62.34</v>
      </c>
      <c r="E2482" s="5">
        <v>62.34</v>
      </c>
      <c r="F2482" s="5">
        <v>61.68</v>
      </c>
      <c r="G2482" s="18" t="s">
        <v>47</v>
      </c>
      <c r="H2482" s="2">
        <v>-6.7000000000000002E-3</v>
      </c>
      <c r="I2482" s="16">
        <f t="shared" si="193"/>
        <v>-6.7253803042434217E-3</v>
      </c>
      <c r="J2482" s="16">
        <f t="shared" si="194"/>
        <v>0.99327461969575659</v>
      </c>
      <c r="K2482" s="16">
        <f t="shared" si="195"/>
        <v>62.841052631578947</v>
      </c>
      <c r="L2482" s="16">
        <f t="shared" si="191"/>
        <v>64.126326530612246</v>
      </c>
      <c r="M2482" s="25" t="str">
        <f t="shared" si="192"/>
        <v>HOLD</v>
      </c>
    </row>
    <row r="2483" spans="2:13">
      <c r="B2483" s="3">
        <v>45657</v>
      </c>
      <c r="C2483" s="5">
        <v>62.26</v>
      </c>
      <c r="D2483" s="5">
        <v>62.02</v>
      </c>
      <c r="E2483" s="5">
        <v>62.43</v>
      </c>
      <c r="F2483" s="5">
        <v>61.8</v>
      </c>
      <c r="G2483" s="18" t="s">
        <v>46</v>
      </c>
      <c r="H2483" s="2">
        <v>3.7000000000000002E-3</v>
      </c>
      <c r="I2483" s="16">
        <f t="shared" si="193"/>
        <v>3.7078832822827158E-3</v>
      </c>
      <c r="J2483" s="16">
        <f t="shared" si="194"/>
        <v>1.0037078832822828</v>
      </c>
      <c r="K2483" s="16">
        <f t="shared" si="195"/>
        <v>62.755789473684217</v>
      </c>
      <c r="L2483" s="16">
        <f t="shared" si="191"/>
        <v>63.954693877551037</v>
      </c>
      <c r="M2483" s="25" t="str">
        <f t="shared" si="192"/>
        <v>HOLD</v>
      </c>
    </row>
    <row r="2484" spans="2:13">
      <c r="B2484" s="3">
        <v>45659</v>
      </c>
      <c r="C2484" s="5">
        <v>61.84</v>
      </c>
      <c r="D2484" s="5">
        <v>62.35</v>
      </c>
      <c r="E2484" s="5">
        <v>62.75</v>
      </c>
      <c r="F2484" s="5">
        <v>61.62</v>
      </c>
      <c r="G2484" s="18" t="s">
        <v>45</v>
      </c>
      <c r="H2484" s="2">
        <v>-6.7000000000000002E-3</v>
      </c>
      <c r="I2484" s="16">
        <f t="shared" si="193"/>
        <v>-6.7459042724059524E-3</v>
      </c>
      <c r="J2484" s="16">
        <f t="shared" si="194"/>
        <v>0.99325409572759404</v>
      </c>
      <c r="K2484" s="16">
        <f t="shared" si="195"/>
        <v>62.689473684210519</v>
      </c>
      <c r="L2484" s="16">
        <f t="shared" si="191"/>
        <v>63.807959183673482</v>
      </c>
      <c r="M2484" s="25" t="str">
        <f t="shared" si="192"/>
        <v>HOLD</v>
      </c>
    </row>
    <row r="2485" spans="2:13">
      <c r="B2485" s="3">
        <v>45660</v>
      </c>
      <c r="C2485" s="5">
        <v>61.75</v>
      </c>
      <c r="D2485" s="5">
        <v>61.9</v>
      </c>
      <c r="E2485" s="5">
        <v>62.08</v>
      </c>
      <c r="F2485" s="5">
        <v>61.62</v>
      </c>
      <c r="G2485" s="18" t="s">
        <v>44</v>
      </c>
      <c r="H2485" s="2">
        <v>-1.5E-3</v>
      </c>
      <c r="I2485" s="16">
        <f t="shared" si="193"/>
        <v>-1.4553686934023838E-3</v>
      </c>
      <c r="J2485" s="16">
        <f t="shared" si="194"/>
        <v>0.99854463130659765</v>
      </c>
      <c r="K2485" s="16">
        <f t="shared" si="195"/>
        <v>62.670000000000016</v>
      </c>
      <c r="L2485" s="16">
        <f t="shared" si="191"/>
        <v>63.652653061224505</v>
      </c>
      <c r="M2485" s="25" t="str">
        <f t="shared" si="192"/>
        <v>HOLD</v>
      </c>
    </row>
    <row r="2486" spans="2:13">
      <c r="B2486" s="3">
        <v>45663</v>
      </c>
      <c r="C2486" s="5">
        <v>60.81</v>
      </c>
      <c r="D2486" s="5">
        <v>61.5</v>
      </c>
      <c r="E2486" s="5">
        <v>61.56</v>
      </c>
      <c r="F2486" s="5">
        <v>60.66</v>
      </c>
      <c r="G2486" s="18" t="s">
        <v>43</v>
      </c>
      <c r="H2486" s="2">
        <v>-1.52E-2</v>
      </c>
      <c r="I2486" s="16">
        <f t="shared" si="193"/>
        <v>-1.5222672064777291E-2</v>
      </c>
      <c r="J2486" s="16">
        <f t="shared" si="194"/>
        <v>0.98477732793522266</v>
      </c>
      <c r="K2486" s="16">
        <f t="shared" si="195"/>
        <v>62.608421052631577</v>
      </c>
      <c r="L2486" s="16">
        <f t="shared" si="191"/>
        <v>63.52489795918369</v>
      </c>
      <c r="M2486" s="25" t="str">
        <f t="shared" si="192"/>
        <v>HOLD</v>
      </c>
    </row>
    <row r="2487" spans="2:13">
      <c r="B2487" s="3">
        <v>45664</v>
      </c>
      <c r="C2487" s="5">
        <v>60.84</v>
      </c>
      <c r="D2487" s="5">
        <v>61.11</v>
      </c>
      <c r="E2487" s="5">
        <v>61.72</v>
      </c>
      <c r="F2487" s="5">
        <v>60.62</v>
      </c>
      <c r="G2487" s="18" t="s">
        <v>42</v>
      </c>
      <c r="H2487" s="2">
        <v>5.0000000000000001E-4</v>
      </c>
      <c r="I2487" s="16">
        <f t="shared" si="193"/>
        <v>4.9333991119883468E-4</v>
      </c>
      <c r="J2487" s="16">
        <f t="shared" si="194"/>
        <v>1.0004933399111988</v>
      </c>
      <c r="K2487" s="16">
        <f t="shared" si="195"/>
        <v>62.517894736842102</v>
      </c>
      <c r="L2487" s="16">
        <f t="shared" si="191"/>
        <v>63.392448979591855</v>
      </c>
      <c r="M2487" s="25" t="str">
        <f t="shared" si="192"/>
        <v>HOLD</v>
      </c>
    </row>
    <row r="2488" spans="2:13">
      <c r="B2488" s="3">
        <v>45665</v>
      </c>
      <c r="C2488" s="5">
        <v>61.71</v>
      </c>
      <c r="D2488" s="5">
        <v>60.99</v>
      </c>
      <c r="E2488" s="5">
        <v>61.77</v>
      </c>
      <c r="F2488" s="5">
        <v>60.93</v>
      </c>
      <c r="G2488" s="18" t="s">
        <v>41</v>
      </c>
      <c r="H2488" s="2">
        <v>1.43E-2</v>
      </c>
      <c r="I2488" s="16">
        <f t="shared" si="193"/>
        <v>1.429980276134118E-2</v>
      </c>
      <c r="J2488" s="16">
        <f t="shared" si="194"/>
        <v>1.0142998027613412</v>
      </c>
      <c r="K2488" s="16">
        <f t="shared" si="195"/>
        <v>62.425263157894733</v>
      </c>
      <c r="L2488" s="16">
        <f t="shared" si="191"/>
        <v>63.268367346938795</v>
      </c>
      <c r="M2488" s="25" t="str">
        <f t="shared" si="192"/>
        <v>HOLD</v>
      </c>
    </row>
    <row r="2489" spans="2:13">
      <c r="B2489" s="3">
        <v>45667</v>
      </c>
      <c r="C2489" s="5">
        <v>61.07</v>
      </c>
      <c r="D2489" s="5">
        <v>61.58</v>
      </c>
      <c r="E2489" s="5">
        <v>61.65</v>
      </c>
      <c r="F2489" s="5">
        <v>60.73</v>
      </c>
      <c r="G2489" s="18" t="s">
        <v>40</v>
      </c>
      <c r="H2489" s="2">
        <v>-1.04E-2</v>
      </c>
      <c r="I2489" s="16">
        <f t="shared" si="193"/>
        <v>-1.0371090584994337E-2</v>
      </c>
      <c r="J2489" s="16">
        <f t="shared" si="194"/>
        <v>0.9896289094150057</v>
      </c>
      <c r="K2489" s="16">
        <f t="shared" si="195"/>
        <v>62.3621052631579</v>
      </c>
      <c r="L2489" s="16">
        <f t="shared" ref="L2489:L2537" si="196">AVERAGE(C2440:C2488)</f>
        <v>63.167142857142878</v>
      </c>
      <c r="M2489" s="25" t="str">
        <f t="shared" ref="M2489:M2537" si="197">IF(AND(K2489&gt;L2489,K2488&lt;=L2488),"BUY",IF(AND(K2489&lt;L2489,K2488&gt;=L2488),"SELL","HOLD"))</f>
        <v>HOLD</v>
      </c>
    </row>
    <row r="2490" spans="2:13">
      <c r="B2490" s="3">
        <v>45670</v>
      </c>
      <c r="C2490" s="5">
        <v>61.65</v>
      </c>
      <c r="D2490" s="5">
        <v>61.13</v>
      </c>
      <c r="E2490" s="5">
        <v>61.85</v>
      </c>
      <c r="F2490" s="5">
        <v>60.71</v>
      </c>
      <c r="G2490" s="18" t="s">
        <v>39</v>
      </c>
      <c r="H2490" s="2">
        <v>9.4999999999999998E-3</v>
      </c>
      <c r="I2490" s="16">
        <f t="shared" si="193"/>
        <v>9.4972981824135959E-3</v>
      </c>
      <c r="J2490" s="16">
        <f t="shared" si="194"/>
        <v>1.0094972981824135</v>
      </c>
      <c r="K2490" s="16">
        <f t="shared" si="195"/>
        <v>62.279473684210522</v>
      </c>
      <c r="L2490" s="16">
        <f t="shared" si="196"/>
        <v>63.075510204081667</v>
      </c>
      <c r="M2490" s="25" t="str">
        <f t="shared" si="197"/>
        <v>HOLD</v>
      </c>
    </row>
    <row r="2491" spans="2:13">
      <c r="B2491" s="3">
        <v>45671</v>
      </c>
      <c r="C2491" s="5">
        <v>62.04</v>
      </c>
      <c r="D2491" s="5">
        <v>61.65</v>
      </c>
      <c r="E2491" s="5">
        <v>62.06</v>
      </c>
      <c r="F2491" s="5">
        <v>61.3</v>
      </c>
      <c r="G2491" s="18" t="s">
        <v>38</v>
      </c>
      <c r="H2491" s="2">
        <v>6.3E-3</v>
      </c>
      <c r="I2491" s="16">
        <f t="shared" si="193"/>
        <v>6.3260340632603504E-3</v>
      </c>
      <c r="J2491" s="16">
        <f t="shared" si="194"/>
        <v>1.0063260340632603</v>
      </c>
      <c r="K2491" s="16">
        <f t="shared" si="195"/>
        <v>62.164210526315799</v>
      </c>
      <c r="L2491" s="16">
        <f t="shared" si="196"/>
        <v>62.988367346938787</v>
      </c>
      <c r="M2491" s="25" t="str">
        <f t="shared" si="197"/>
        <v>HOLD</v>
      </c>
    </row>
    <row r="2492" spans="2:13">
      <c r="B2492" s="3">
        <v>45672</v>
      </c>
      <c r="C2492" s="5">
        <v>61.77</v>
      </c>
      <c r="D2492" s="5">
        <v>62.33</v>
      </c>
      <c r="E2492" s="5">
        <v>62.62</v>
      </c>
      <c r="F2492" s="5">
        <v>61.68</v>
      </c>
      <c r="G2492" s="18" t="s">
        <v>37</v>
      </c>
      <c r="H2492" s="2">
        <v>-4.4000000000000003E-3</v>
      </c>
      <c r="I2492" s="16">
        <f t="shared" si="193"/>
        <v>-4.3520309477755644E-3</v>
      </c>
      <c r="J2492" s="16">
        <f t="shared" si="194"/>
        <v>0.99564796905222441</v>
      </c>
      <c r="K2492" s="16">
        <f t="shared" si="195"/>
        <v>62.107368421052641</v>
      </c>
      <c r="L2492" s="16">
        <f t="shared" si="196"/>
        <v>62.921632653061252</v>
      </c>
      <c r="M2492" s="25" t="str">
        <f t="shared" si="197"/>
        <v>HOLD</v>
      </c>
    </row>
    <row r="2493" spans="2:13">
      <c r="B2493" s="3">
        <v>45673</v>
      </c>
      <c r="C2493" s="5">
        <v>62.25</v>
      </c>
      <c r="D2493" s="5">
        <v>61.42</v>
      </c>
      <c r="E2493" s="5">
        <v>62.3</v>
      </c>
      <c r="F2493" s="5">
        <v>61.32</v>
      </c>
      <c r="G2493" s="18" t="s">
        <v>36</v>
      </c>
      <c r="H2493" s="2">
        <v>7.7999999999999996E-3</v>
      </c>
      <c r="I2493" s="16">
        <f t="shared" si="193"/>
        <v>7.7707625060708576E-3</v>
      </c>
      <c r="J2493" s="16">
        <f t="shared" si="194"/>
        <v>1.0077707625060708</v>
      </c>
      <c r="K2493" s="16">
        <f t="shared" si="195"/>
        <v>62.066315789473698</v>
      </c>
      <c r="L2493" s="16">
        <f t="shared" si="196"/>
        <v>62.855510204081661</v>
      </c>
      <c r="M2493" s="25" t="str">
        <f t="shared" si="197"/>
        <v>HOLD</v>
      </c>
    </row>
    <row r="2494" spans="2:13">
      <c r="B2494" s="3">
        <v>45674</v>
      </c>
      <c r="C2494" s="5">
        <v>62.71</v>
      </c>
      <c r="D2494" s="5">
        <v>62.31</v>
      </c>
      <c r="E2494" s="5">
        <v>62.76</v>
      </c>
      <c r="F2494" s="5">
        <v>62.17</v>
      </c>
      <c r="G2494" s="18" t="s">
        <v>35</v>
      </c>
      <c r="H2494" s="2">
        <v>7.4000000000000003E-3</v>
      </c>
      <c r="I2494" s="16">
        <f t="shared" si="193"/>
        <v>7.3895582329317408E-3</v>
      </c>
      <c r="J2494" s="16">
        <f t="shared" si="194"/>
        <v>1.0073895582329317</v>
      </c>
      <c r="K2494" s="16">
        <f t="shared" si="195"/>
        <v>62.005789473684217</v>
      </c>
      <c r="L2494" s="16">
        <f t="shared" si="196"/>
        <v>62.797142857142887</v>
      </c>
      <c r="M2494" s="25" t="str">
        <f t="shared" si="197"/>
        <v>HOLD</v>
      </c>
    </row>
    <row r="2495" spans="2:13">
      <c r="B2495" s="3">
        <v>45678</v>
      </c>
      <c r="C2495" s="5">
        <v>62.42</v>
      </c>
      <c r="D2495" s="5">
        <v>62.9</v>
      </c>
      <c r="E2495" s="5">
        <v>63.23</v>
      </c>
      <c r="F2495" s="5">
        <v>62.3</v>
      </c>
      <c r="G2495" s="18" t="s">
        <v>34</v>
      </c>
      <c r="H2495" s="2">
        <v>-4.5999999999999999E-3</v>
      </c>
      <c r="I2495" s="16">
        <f t="shared" si="193"/>
        <v>-4.6244618083240178E-3</v>
      </c>
      <c r="J2495" s="16">
        <f t="shared" si="194"/>
        <v>0.99537553819167601</v>
      </c>
      <c r="K2495" s="16">
        <f t="shared" si="195"/>
        <v>61.998421052631592</v>
      </c>
      <c r="L2495" s="16">
        <f t="shared" si="196"/>
        <v>62.742857142857162</v>
      </c>
      <c r="M2495" s="25" t="str">
        <f t="shared" si="197"/>
        <v>HOLD</v>
      </c>
    </row>
    <row r="2496" spans="2:13">
      <c r="B2496" s="3">
        <v>45679</v>
      </c>
      <c r="C2496" s="5">
        <v>61.78</v>
      </c>
      <c r="D2496" s="5">
        <v>62.12</v>
      </c>
      <c r="E2496" s="5">
        <v>62.28</v>
      </c>
      <c r="F2496" s="5">
        <v>61.66</v>
      </c>
      <c r="G2496" s="18" t="s">
        <v>33</v>
      </c>
      <c r="H2496" s="2">
        <v>-1.03E-2</v>
      </c>
      <c r="I2496" s="16">
        <f t="shared" si="193"/>
        <v>-1.0253123998718368E-2</v>
      </c>
      <c r="J2496" s="16">
        <f t="shared" si="194"/>
        <v>0.98974687600128164</v>
      </c>
      <c r="K2496" s="16">
        <f t="shared" si="195"/>
        <v>61.996842105263163</v>
      </c>
      <c r="L2496" s="16">
        <f t="shared" si="196"/>
        <v>62.716734693877569</v>
      </c>
      <c r="M2496" s="25" t="str">
        <f t="shared" si="197"/>
        <v>HOLD</v>
      </c>
    </row>
    <row r="2497" spans="2:13">
      <c r="B2497" s="3">
        <v>45680</v>
      </c>
      <c r="C2497" s="5">
        <v>61.53</v>
      </c>
      <c r="D2497" s="5">
        <v>61.8</v>
      </c>
      <c r="E2497" s="5">
        <v>61.98</v>
      </c>
      <c r="F2497" s="5">
        <v>61.37</v>
      </c>
      <c r="G2497" s="18" t="s">
        <v>32</v>
      </c>
      <c r="H2497" s="2">
        <v>-4.0000000000000001E-3</v>
      </c>
      <c r="I2497" s="16">
        <f t="shared" si="193"/>
        <v>-4.046617028164454E-3</v>
      </c>
      <c r="J2497" s="16">
        <f t="shared" si="194"/>
        <v>0.99595338297183555</v>
      </c>
      <c r="K2497" s="16">
        <f t="shared" si="195"/>
        <v>61.956315789473685</v>
      </c>
      <c r="L2497" s="16">
        <f t="shared" si="196"/>
        <v>62.678367346938799</v>
      </c>
      <c r="M2497" s="25" t="str">
        <f t="shared" si="197"/>
        <v>HOLD</v>
      </c>
    </row>
    <row r="2498" spans="2:13">
      <c r="B2498" s="3">
        <v>45681</v>
      </c>
      <c r="C2498" s="5">
        <v>61.92</v>
      </c>
      <c r="D2498" s="5">
        <v>61.72</v>
      </c>
      <c r="E2498" s="5">
        <v>62.01</v>
      </c>
      <c r="F2498" s="5">
        <v>61.44</v>
      </c>
      <c r="G2498" s="18" t="s">
        <v>31</v>
      </c>
      <c r="H2498" s="2">
        <v>6.3E-3</v>
      </c>
      <c r="I2498" s="16">
        <f t="shared" si="193"/>
        <v>6.3383715260848456E-3</v>
      </c>
      <c r="J2498" s="16">
        <f t="shared" si="194"/>
        <v>1.0063383715260847</v>
      </c>
      <c r="K2498" s="16">
        <f t="shared" si="195"/>
        <v>61.911578947368419</v>
      </c>
      <c r="L2498" s="16">
        <f t="shared" si="196"/>
        <v>62.629591836734718</v>
      </c>
      <c r="M2498" s="25" t="str">
        <f t="shared" si="197"/>
        <v>HOLD</v>
      </c>
    </row>
    <row r="2499" spans="2:13">
      <c r="B2499" s="3">
        <v>45684</v>
      </c>
      <c r="C2499" s="5">
        <v>63.87</v>
      </c>
      <c r="D2499" s="5">
        <v>62.87</v>
      </c>
      <c r="E2499" s="5">
        <v>64.180000000000007</v>
      </c>
      <c r="F2499" s="5">
        <v>62.47</v>
      </c>
      <c r="G2499" s="18" t="s">
        <v>30</v>
      </c>
      <c r="H2499" s="2">
        <v>3.15E-2</v>
      </c>
      <c r="I2499" s="16">
        <f t="shared" si="193"/>
        <v>3.1492248062015435E-2</v>
      </c>
      <c r="J2499" s="16">
        <f t="shared" si="194"/>
        <v>1.0314922480620154</v>
      </c>
      <c r="K2499" s="16">
        <f t="shared" si="195"/>
        <v>61.863157894736844</v>
      </c>
      <c r="L2499" s="16">
        <f t="shared" si="196"/>
        <v>62.600204081632675</v>
      </c>
      <c r="M2499" s="25" t="str">
        <f t="shared" si="197"/>
        <v>HOLD</v>
      </c>
    </row>
    <row r="2500" spans="2:13">
      <c r="B2500" s="3">
        <v>45685</v>
      </c>
      <c r="C2500" s="5">
        <v>62.36</v>
      </c>
      <c r="D2500" s="5">
        <v>63.51</v>
      </c>
      <c r="E2500" s="5">
        <v>64.040000000000006</v>
      </c>
      <c r="F2500" s="5">
        <v>62.28</v>
      </c>
      <c r="G2500" s="18" t="s">
        <v>29</v>
      </c>
      <c r="H2500" s="2">
        <v>-2.3599999999999999E-2</v>
      </c>
      <c r="I2500" s="16">
        <f t="shared" si="193"/>
        <v>-2.3641772350086084E-2</v>
      </c>
      <c r="J2500" s="16">
        <f t="shared" si="194"/>
        <v>0.97635822764991387</v>
      </c>
      <c r="K2500" s="16">
        <f t="shared" si="195"/>
        <v>61.931578947368415</v>
      </c>
      <c r="L2500" s="16">
        <f t="shared" si="196"/>
        <v>62.613877551020423</v>
      </c>
      <c r="M2500" s="25" t="str">
        <f t="shared" si="197"/>
        <v>HOLD</v>
      </c>
    </row>
    <row r="2501" spans="2:13">
      <c r="B2501" s="3">
        <v>45686</v>
      </c>
      <c r="C2501" s="5">
        <v>62.83</v>
      </c>
      <c r="D2501" s="5">
        <v>62.56</v>
      </c>
      <c r="E2501" s="5">
        <v>63.36</v>
      </c>
      <c r="F2501" s="5">
        <v>62.55</v>
      </c>
      <c r="G2501" s="18" t="s">
        <v>28</v>
      </c>
      <c r="H2501" s="2">
        <v>7.4999999999999997E-3</v>
      </c>
      <c r="I2501" s="16">
        <f t="shared" si="193"/>
        <v>7.5368826170622016E-3</v>
      </c>
      <c r="J2501" s="16">
        <f t="shared" si="194"/>
        <v>1.0075368826170621</v>
      </c>
      <c r="K2501" s="16">
        <f t="shared" si="195"/>
        <v>61.926842105263141</v>
      </c>
      <c r="L2501" s="16">
        <f t="shared" si="196"/>
        <v>62.600816326530634</v>
      </c>
      <c r="M2501" s="25" t="str">
        <f t="shared" si="197"/>
        <v>HOLD</v>
      </c>
    </row>
    <row r="2502" spans="2:13">
      <c r="B2502" s="3">
        <v>45687</v>
      </c>
      <c r="C2502" s="5">
        <v>64.05</v>
      </c>
      <c r="D2502" s="5">
        <v>63.85</v>
      </c>
      <c r="E2502" s="5">
        <v>64.290000000000006</v>
      </c>
      <c r="F2502" s="5">
        <v>63.23</v>
      </c>
      <c r="G2502" s="18" t="s">
        <v>27</v>
      </c>
      <c r="H2502" s="2">
        <v>1.9400000000000001E-2</v>
      </c>
      <c r="I2502" s="16">
        <f t="shared" si="193"/>
        <v>1.9417475728155321E-2</v>
      </c>
      <c r="J2502" s="16">
        <f t="shared" si="194"/>
        <v>1.0194174757281553</v>
      </c>
      <c r="K2502" s="16">
        <f t="shared" si="195"/>
        <v>61.968947368421034</v>
      </c>
      <c r="L2502" s="16">
        <f t="shared" si="196"/>
        <v>62.60653061224491</v>
      </c>
      <c r="M2502" s="25" t="str">
        <f t="shared" si="197"/>
        <v>HOLD</v>
      </c>
    </row>
    <row r="2503" spans="2:13">
      <c r="B2503" s="3">
        <v>45688</v>
      </c>
      <c r="C2503" s="5">
        <v>63.48</v>
      </c>
      <c r="D2503" s="5">
        <v>63.7</v>
      </c>
      <c r="E2503" s="5">
        <v>63.93</v>
      </c>
      <c r="F2503" s="5">
        <v>63.39</v>
      </c>
      <c r="G2503" s="18" t="s">
        <v>26</v>
      </c>
      <c r="H2503" s="2">
        <v>-8.8999999999999999E-3</v>
      </c>
      <c r="I2503" s="16">
        <f t="shared" si="193"/>
        <v>-8.8992974238875922E-3</v>
      </c>
      <c r="J2503" s="16">
        <f t="shared" si="194"/>
        <v>0.99110070257611238</v>
      </c>
      <c r="K2503" s="16">
        <f t="shared" si="195"/>
        <v>62.063157894736833</v>
      </c>
      <c r="L2503" s="16">
        <f t="shared" si="196"/>
        <v>62.653673469387769</v>
      </c>
      <c r="M2503" s="25" t="str">
        <f t="shared" si="197"/>
        <v>HOLD</v>
      </c>
    </row>
    <row r="2504" spans="2:13">
      <c r="B2504" s="3">
        <v>45691</v>
      </c>
      <c r="C2504" s="5">
        <v>63.35</v>
      </c>
      <c r="D2504" s="5">
        <v>63.18</v>
      </c>
      <c r="E2504" s="5">
        <v>63.63</v>
      </c>
      <c r="F2504" s="5">
        <v>62.43</v>
      </c>
      <c r="G2504" s="18" t="s">
        <v>25</v>
      </c>
      <c r="H2504" s="2">
        <v>-2E-3</v>
      </c>
      <c r="I2504" s="16">
        <f t="shared" si="193"/>
        <v>-2.0478890989287248E-3</v>
      </c>
      <c r="J2504" s="16">
        <f t="shared" si="194"/>
        <v>0.99795211090107128</v>
      </c>
      <c r="K2504" s="16">
        <f t="shared" si="195"/>
        <v>62.14947368421052</v>
      </c>
      <c r="L2504" s="16">
        <f t="shared" si="196"/>
        <v>62.686734693877561</v>
      </c>
      <c r="M2504" s="25" t="str">
        <f t="shared" si="197"/>
        <v>HOLD</v>
      </c>
    </row>
    <row r="2505" spans="2:13">
      <c r="B2505" s="3">
        <v>45692</v>
      </c>
      <c r="C2505" s="5">
        <v>62.67</v>
      </c>
      <c r="D2505" s="5">
        <v>63.61</v>
      </c>
      <c r="E2505" s="5">
        <v>63.63</v>
      </c>
      <c r="F2505" s="5">
        <v>62.35</v>
      </c>
      <c r="G2505" s="18" t="s">
        <v>24</v>
      </c>
      <c r="H2505" s="2">
        <v>-1.0699999999999999E-2</v>
      </c>
      <c r="I2505" s="16">
        <f t="shared" ref="I2505:I2522" si="198">(C2505-C2504)/C2504</f>
        <v>-1.0734017363851614E-2</v>
      </c>
      <c r="J2505" s="16">
        <f t="shared" ref="J2505:J2522" si="199">C2505/C2504</f>
        <v>0.9892659826361484</v>
      </c>
      <c r="K2505" s="16">
        <f t="shared" si="195"/>
        <v>62.233684210526306</v>
      </c>
      <c r="L2505" s="16">
        <f t="shared" si="196"/>
        <v>62.70224489795919</v>
      </c>
      <c r="M2505" s="25" t="str">
        <f t="shared" si="197"/>
        <v>HOLD</v>
      </c>
    </row>
    <row r="2506" spans="2:13">
      <c r="B2506" s="3">
        <v>45693</v>
      </c>
      <c r="C2506" s="5">
        <v>63.12</v>
      </c>
      <c r="D2506" s="5">
        <v>62.72</v>
      </c>
      <c r="E2506" s="5">
        <v>63.29</v>
      </c>
      <c r="F2506" s="5">
        <v>62.58</v>
      </c>
      <c r="G2506" s="18" t="s">
        <v>23</v>
      </c>
      <c r="H2506" s="2">
        <v>7.1999999999999998E-3</v>
      </c>
      <c r="I2506" s="16">
        <f t="shared" si="198"/>
        <v>7.1804691239826983E-3</v>
      </c>
      <c r="J2506" s="16">
        <f t="shared" si="199"/>
        <v>1.0071804691239827</v>
      </c>
      <c r="K2506" s="16">
        <f t="shared" si="195"/>
        <v>62.331578947368406</v>
      </c>
      <c r="L2506" s="16">
        <f t="shared" si="196"/>
        <v>62.695714285714295</v>
      </c>
      <c r="M2506" s="25" t="str">
        <f t="shared" si="197"/>
        <v>HOLD</v>
      </c>
    </row>
    <row r="2507" spans="2:13">
      <c r="B2507" s="3">
        <v>45694</v>
      </c>
      <c r="C2507" s="5">
        <v>63.36</v>
      </c>
      <c r="D2507" s="5">
        <v>63.62</v>
      </c>
      <c r="E2507" s="5">
        <v>63.74</v>
      </c>
      <c r="F2507" s="5">
        <v>62.91</v>
      </c>
      <c r="G2507" s="18" t="s">
        <v>22</v>
      </c>
      <c r="H2507" s="2">
        <v>3.8E-3</v>
      </c>
      <c r="I2507" s="16">
        <f t="shared" si="198"/>
        <v>3.8022813688213244E-3</v>
      </c>
      <c r="J2507" s="16">
        <f t="shared" si="199"/>
        <v>1.0038022813688212</v>
      </c>
      <c r="K2507" s="16">
        <f t="shared" si="195"/>
        <v>62.451578947368418</v>
      </c>
      <c r="L2507" s="16">
        <f t="shared" si="196"/>
        <v>62.682653061224492</v>
      </c>
      <c r="M2507" s="25" t="str">
        <f t="shared" si="197"/>
        <v>HOLD</v>
      </c>
    </row>
    <row r="2508" spans="2:13">
      <c r="B2508" s="3">
        <v>45695</v>
      </c>
      <c r="C2508" s="5">
        <v>63.84</v>
      </c>
      <c r="D2508" s="5">
        <v>63.43</v>
      </c>
      <c r="E2508" s="5">
        <v>63.92</v>
      </c>
      <c r="F2508" s="5">
        <v>63.27</v>
      </c>
      <c r="G2508" s="18" t="s">
        <v>21</v>
      </c>
      <c r="H2508" s="2">
        <v>7.6E-3</v>
      </c>
      <c r="I2508" s="16">
        <f t="shared" si="198"/>
        <v>7.5757575757576384E-3</v>
      </c>
      <c r="J2508" s="16">
        <f t="shared" si="199"/>
        <v>1.0075757575757576</v>
      </c>
      <c r="K2508" s="16">
        <f t="shared" si="195"/>
        <v>62.53842105263157</v>
      </c>
      <c r="L2508" s="16">
        <f t="shared" si="196"/>
        <v>62.671224489795925</v>
      </c>
      <c r="M2508" s="25" t="str">
        <f t="shared" si="197"/>
        <v>HOLD</v>
      </c>
    </row>
    <row r="2509" spans="2:13">
      <c r="B2509" s="3">
        <v>45698</v>
      </c>
      <c r="C2509" s="5">
        <v>64.55</v>
      </c>
      <c r="D2509" s="5">
        <v>64.099999999999994</v>
      </c>
      <c r="E2509" s="5">
        <v>64.650000000000006</v>
      </c>
      <c r="F2509" s="5">
        <v>63.66</v>
      </c>
      <c r="G2509" s="18" t="s">
        <v>20</v>
      </c>
      <c r="H2509" s="2">
        <v>1.11E-2</v>
      </c>
      <c r="I2509" s="16">
        <f t="shared" si="198"/>
        <v>1.1121553884711682E-2</v>
      </c>
      <c r="J2509" s="16">
        <f t="shared" si="199"/>
        <v>1.0111215538847116</v>
      </c>
      <c r="K2509" s="16">
        <f t="shared" si="195"/>
        <v>62.68421052631578</v>
      </c>
      <c r="L2509" s="16">
        <f t="shared" si="196"/>
        <v>62.660204081632671</v>
      </c>
      <c r="M2509" s="25" t="str">
        <f t="shared" si="197"/>
        <v>BUY</v>
      </c>
    </row>
    <row r="2510" spans="2:13">
      <c r="B2510" s="3">
        <v>45699</v>
      </c>
      <c r="C2510" s="5">
        <v>67.599999999999994</v>
      </c>
      <c r="D2510" s="5">
        <v>67.5</v>
      </c>
      <c r="E2510" s="5">
        <v>67.67</v>
      </c>
      <c r="F2510" s="5">
        <v>66.41</v>
      </c>
      <c r="G2510" s="18" t="s">
        <v>19</v>
      </c>
      <c r="H2510" s="2">
        <v>4.7300000000000002E-2</v>
      </c>
      <c r="I2510" s="16">
        <f t="shared" si="198"/>
        <v>4.7250193648334583E-2</v>
      </c>
      <c r="J2510" s="16">
        <f t="shared" si="199"/>
        <v>1.0472501936483345</v>
      </c>
      <c r="K2510" s="16">
        <f t="shared" si="195"/>
        <v>62.836842105263152</v>
      </c>
      <c r="L2510" s="16">
        <f t="shared" si="196"/>
        <v>62.660204081632671</v>
      </c>
      <c r="M2510" s="25" t="str">
        <f t="shared" si="197"/>
        <v>HOLD</v>
      </c>
    </row>
    <row r="2511" spans="2:13">
      <c r="B2511" s="3">
        <v>45700</v>
      </c>
      <c r="C2511" s="5">
        <v>68.709999999999994</v>
      </c>
      <c r="D2511" s="5">
        <v>66.87</v>
      </c>
      <c r="E2511" s="5">
        <v>68.819999999999993</v>
      </c>
      <c r="F2511" s="5">
        <v>66.87</v>
      </c>
      <c r="G2511" s="18" t="s">
        <v>18</v>
      </c>
      <c r="H2511" s="2">
        <v>1.6400000000000001E-2</v>
      </c>
      <c r="I2511" s="16">
        <f t="shared" si="198"/>
        <v>1.6420118343195258E-2</v>
      </c>
      <c r="J2511" s="16">
        <f t="shared" si="199"/>
        <v>1.0164201183431953</v>
      </c>
      <c r="K2511" s="16">
        <f t="shared" si="195"/>
        <v>63.129473684210517</v>
      </c>
      <c r="L2511" s="16">
        <f t="shared" si="196"/>
        <v>62.724897959183686</v>
      </c>
      <c r="M2511" s="25" t="str">
        <f t="shared" si="197"/>
        <v>HOLD</v>
      </c>
    </row>
    <row r="2512" spans="2:13">
      <c r="B2512" s="3">
        <v>45701</v>
      </c>
      <c r="C2512" s="5">
        <v>69.5</v>
      </c>
      <c r="D2512" s="5">
        <v>69</v>
      </c>
      <c r="E2512" s="5">
        <v>69.61</v>
      </c>
      <c r="F2512" s="5">
        <v>68.760000000000005</v>
      </c>
      <c r="G2512" s="18" t="s">
        <v>17</v>
      </c>
      <c r="H2512" s="2">
        <v>1.15E-2</v>
      </c>
      <c r="I2512" s="16">
        <f t="shared" si="198"/>
        <v>1.1497598602823553E-2</v>
      </c>
      <c r="J2512" s="16">
        <f t="shared" si="199"/>
        <v>1.0114975986028236</v>
      </c>
      <c r="K2512" s="16">
        <f t="shared" si="195"/>
        <v>63.494736842105269</v>
      </c>
      <c r="L2512" s="16">
        <f t="shared" si="196"/>
        <v>62.819387755102049</v>
      </c>
      <c r="M2512" s="25" t="str">
        <f t="shared" si="197"/>
        <v>HOLD</v>
      </c>
    </row>
    <row r="2513" spans="2:13">
      <c r="B2513" s="3">
        <v>45702</v>
      </c>
      <c r="C2513" s="5">
        <v>68.87</v>
      </c>
      <c r="D2513" s="5">
        <v>69.36</v>
      </c>
      <c r="E2513" s="5">
        <v>70.03</v>
      </c>
      <c r="F2513" s="5">
        <v>68.760000000000005</v>
      </c>
      <c r="G2513" s="18" t="s">
        <v>16</v>
      </c>
      <c r="H2513" s="2">
        <v>-9.1000000000000004E-3</v>
      </c>
      <c r="I2513" s="16">
        <f t="shared" si="198"/>
        <v>-9.0647482014387833E-3</v>
      </c>
      <c r="J2513" s="16">
        <f t="shared" si="199"/>
        <v>0.99093525179856123</v>
      </c>
      <c r="K2513" s="16">
        <f t="shared" si="195"/>
        <v>63.876315789473686</v>
      </c>
      <c r="L2513" s="16">
        <f t="shared" si="196"/>
        <v>62.938775510204103</v>
      </c>
      <c r="M2513" s="25" t="str">
        <f t="shared" si="197"/>
        <v>HOLD</v>
      </c>
    </row>
    <row r="2514" spans="2:13">
      <c r="B2514" s="3">
        <v>45706</v>
      </c>
      <c r="C2514" s="5">
        <v>69.05</v>
      </c>
      <c r="D2514" s="5">
        <v>68.55</v>
      </c>
      <c r="E2514" s="5">
        <v>69.37</v>
      </c>
      <c r="F2514" s="5">
        <v>68.42</v>
      </c>
      <c r="G2514" s="18" t="s">
        <v>15</v>
      </c>
      <c r="H2514" s="2">
        <v>2.5999999999999999E-3</v>
      </c>
      <c r="I2514" s="16">
        <f t="shared" si="198"/>
        <v>2.613619863510855E-3</v>
      </c>
      <c r="J2514" s="16">
        <f t="shared" si="199"/>
        <v>1.0026136198635109</v>
      </c>
      <c r="K2514" s="16">
        <f t="shared" si="195"/>
        <v>64.200526315789475</v>
      </c>
      <c r="L2514" s="16">
        <f t="shared" si="196"/>
        <v>63.047959183673477</v>
      </c>
      <c r="M2514" s="25" t="str">
        <f t="shared" si="197"/>
        <v>HOLD</v>
      </c>
    </row>
    <row r="2515" spans="2:13">
      <c r="B2515" s="3">
        <v>45707</v>
      </c>
      <c r="C2515" s="5">
        <v>70.069999999999993</v>
      </c>
      <c r="D2515" s="5">
        <v>69.209999999999994</v>
      </c>
      <c r="E2515" s="5">
        <v>70.13</v>
      </c>
      <c r="F2515" s="5">
        <v>69.17</v>
      </c>
      <c r="G2515" s="18" t="s">
        <v>14</v>
      </c>
      <c r="H2515" s="2">
        <v>1.4800000000000001E-2</v>
      </c>
      <c r="I2515" s="16">
        <f t="shared" si="198"/>
        <v>1.4771904417089008E-2</v>
      </c>
      <c r="J2515" s="16">
        <f t="shared" si="199"/>
        <v>1.0147719044170891</v>
      </c>
      <c r="K2515" s="16">
        <f t="shared" si="195"/>
        <v>64.549473684210511</v>
      </c>
      <c r="L2515" s="16">
        <f t="shared" si="196"/>
        <v>63.187551020408172</v>
      </c>
      <c r="M2515" s="25" t="str">
        <f t="shared" si="197"/>
        <v>HOLD</v>
      </c>
    </row>
    <row r="2516" spans="2:13">
      <c r="B2516" s="3">
        <v>45708</v>
      </c>
      <c r="C2516" s="5">
        <v>70.040000000000006</v>
      </c>
      <c r="D2516" s="5">
        <v>69.709999999999994</v>
      </c>
      <c r="E2516" s="5">
        <v>70.069999999999993</v>
      </c>
      <c r="F2516" s="5">
        <v>69.42</v>
      </c>
      <c r="G2516" s="18" t="s">
        <v>13</v>
      </c>
      <c r="H2516" s="2">
        <v>-4.0000000000000002E-4</v>
      </c>
      <c r="I2516" s="16">
        <f t="shared" si="198"/>
        <v>-4.2814328528595591E-4</v>
      </c>
      <c r="J2516" s="16">
        <f t="shared" si="199"/>
        <v>0.99957185671471405</v>
      </c>
      <c r="K2516" s="16">
        <f t="shared" si="195"/>
        <v>64.985789473684207</v>
      </c>
      <c r="L2516" s="16">
        <f t="shared" si="196"/>
        <v>63.333469387755116</v>
      </c>
      <c r="M2516" s="25" t="str">
        <f t="shared" si="197"/>
        <v>HOLD</v>
      </c>
    </row>
    <row r="2517" spans="2:13">
      <c r="B2517" s="3">
        <v>45709</v>
      </c>
      <c r="C2517" s="5">
        <v>71.349999999999994</v>
      </c>
      <c r="D2517" s="5">
        <v>70.319999999999993</v>
      </c>
      <c r="E2517" s="5">
        <v>71.599999999999994</v>
      </c>
      <c r="F2517" s="5">
        <v>70.13</v>
      </c>
      <c r="G2517" s="18" t="s">
        <v>12</v>
      </c>
      <c r="H2517" s="2">
        <v>1.8700000000000001E-2</v>
      </c>
      <c r="I2517" s="16">
        <f t="shared" si="198"/>
        <v>1.870359794403181E-2</v>
      </c>
      <c r="J2517" s="16">
        <f t="shared" si="199"/>
        <v>1.0187035979440318</v>
      </c>
      <c r="K2517" s="16">
        <f t="shared" si="195"/>
        <v>65.433684210526309</v>
      </c>
      <c r="L2517" s="16">
        <f t="shared" si="196"/>
        <v>63.486734693877558</v>
      </c>
      <c r="M2517" s="25" t="str">
        <f t="shared" si="197"/>
        <v>HOLD</v>
      </c>
    </row>
    <row r="2518" spans="2:13">
      <c r="B2518" s="3">
        <v>45712</v>
      </c>
      <c r="C2518" s="5">
        <v>70.59</v>
      </c>
      <c r="D2518" s="5">
        <v>70.84</v>
      </c>
      <c r="E2518" s="5">
        <v>71.73</v>
      </c>
      <c r="F2518" s="5">
        <v>70.33</v>
      </c>
      <c r="G2518" s="18" t="s">
        <v>11</v>
      </c>
      <c r="H2518" s="2">
        <v>-1.0699999999999999E-2</v>
      </c>
      <c r="I2518" s="16">
        <f t="shared" si="198"/>
        <v>-1.0651716888577309E-2</v>
      </c>
      <c r="J2518" s="16">
        <f t="shared" si="199"/>
        <v>0.98934828311142264</v>
      </c>
      <c r="K2518" s="16">
        <f t="shared" si="195"/>
        <v>65.929999999999993</v>
      </c>
      <c r="L2518" s="16">
        <f t="shared" si="196"/>
        <v>63.665306122448989</v>
      </c>
      <c r="M2518" s="25" t="str">
        <f t="shared" si="197"/>
        <v>HOLD</v>
      </c>
    </row>
    <row r="2519" spans="2:13">
      <c r="B2519" s="3">
        <v>45713</v>
      </c>
      <c r="C2519" s="5">
        <v>71.489999999999995</v>
      </c>
      <c r="D2519" s="5">
        <v>70.86</v>
      </c>
      <c r="E2519" s="5">
        <v>71.77</v>
      </c>
      <c r="F2519" s="5">
        <v>70.73</v>
      </c>
      <c r="G2519" s="18" t="s">
        <v>10</v>
      </c>
      <c r="H2519" s="2">
        <v>1.2699999999999999E-2</v>
      </c>
      <c r="I2519" s="16">
        <f t="shared" si="198"/>
        <v>1.274968125796843E-2</v>
      </c>
      <c r="J2519" s="16">
        <f t="shared" si="199"/>
        <v>1.0127496812579684</v>
      </c>
      <c r="K2519" s="16">
        <f t="shared" si="195"/>
        <v>66.283684210526303</v>
      </c>
      <c r="L2519" s="16">
        <f t="shared" si="196"/>
        <v>63.822040816326542</v>
      </c>
      <c r="M2519" s="25" t="str">
        <f t="shared" si="197"/>
        <v>HOLD</v>
      </c>
    </row>
    <row r="2520" spans="2:13">
      <c r="B2520" s="3">
        <v>45714</v>
      </c>
      <c r="C2520" s="5">
        <v>70.8</v>
      </c>
      <c r="D2520" s="5">
        <v>71.27</v>
      </c>
      <c r="E2520" s="5">
        <v>71.28</v>
      </c>
      <c r="F2520" s="5">
        <v>70.53</v>
      </c>
      <c r="G2520" s="18" t="s">
        <v>9</v>
      </c>
      <c r="H2520" s="2">
        <v>-9.7000000000000003E-3</v>
      </c>
      <c r="I2520" s="16">
        <f t="shared" si="198"/>
        <v>-9.6516995383969482E-3</v>
      </c>
      <c r="J2520" s="16">
        <f t="shared" si="199"/>
        <v>0.99034830046160305</v>
      </c>
      <c r="K2520" s="16">
        <f t="shared" si="195"/>
        <v>66.764210526315779</v>
      </c>
      <c r="L2520" s="16">
        <f t="shared" si="196"/>
        <v>64.002653061224493</v>
      </c>
      <c r="M2520" s="25" t="str">
        <f t="shared" si="197"/>
        <v>HOLD</v>
      </c>
    </row>
    <row r="2521" spans="2:13">
      <c r="B2521" s="3">
        <v>45715</v>
      </c>
      <c r="C2521" s="5">
        <v>70.87</v>
      </c>
      <c r="D2521" s="5">
        <v>70.72</v>
      </c>
      <c r="E2521" s="5">
        <v>71.540000000000006</v>
      </c>
      <c r="F2521" s="5">
        <v>70.42</v>
      </c>
      <c r="G2521" s="18" t="s">
        <v>8</v>
      </c>
      <c r="H2521" s="2">
        <v>1E-3</v>
      </c>
      <c r="I2521" s="16">
        <f t="shared" si="198"/>
        <v>9.8870056497185588E-4</v>
      </c>
      <c r="J2521" s="16">
        <f t="shared" si="199"/>
        <v>1.0009887005649718</v>
      </c>
      <c r="K2521" s="16">
        <f t="shared" si="195"/>
        <v>67.183684210526309</v>
      </c>
      <c r="L2521" s="16">
        <f t="shared" si="196"/>
        <v>64.144693877551035</v>
      </c>
      <c r="M2521" s="25" t="str">
        <f t="shared" si="197"/>
        <v>HOLD</v>
      </c>
    </row>
    <row r="2522" spans="2:13">
      <c r="B2522" s="3">
        <v>45716</v>
      </c>
      <c r="C2522" s="5">
        <v>71.209999999999994</v>
      </c>
      <c r="D2522" s="5">
        <v>71.45</v>
      </c>
      <c r="E2522" s="5">
        <v>71.569999999999993</v>
      </c>
      <c r="F2522" s="5">
        <v>70.56</v>
      </c>
      <c r="G2522" s="18" t="s">
        <v>7</v>
      </c>
      <c r="H2522" s="2">
        <v>4.7999999999999996E-3</v>
      </c>
      <c r="I2522" s="16">
        <f t="shared" si="198"/>
        <v>4.7975165796527329E-3</v>
      </c>
      <c r="J2522" s="16">
        <f t="shared" si="199"/>
        <v>1.0047975165796528</v>
      </c>
      <c r="K2522" s="16">
        <f t="shared" si="195"/>
        <v>67.542631578947365</v>
      </c>
      <c r="L2522" s="16">
        <f t="shared" si="196"/>
        <v>64.30285714285715</v>
      </c>
      <c r="M2522" s="25" t="str">
        <f t="shared" si="197"/>
        <v>HOLD</v>
      </c>
    </row>
    <row r="2523" spans="2:13">
      <c r="B2523" s="3">
        <v>45717</v>
      </c>
      <c r="K2523" s="16">
        <f t="shared" si="195"/>
        <v>67.949473684210531</v>
      </c>
      <c r="L2523" s="16">
        <f t="shared" si="196"/>
        <v>64.479591836734699</v>
      </c>
      <c r="M2523" s="25" t="str">
        <f t="shared" si="197"/>
        <v>HOLD</v>
      </c>
    </row>
    <row r="2524" spans="2:13">
      <c r="B2524" s="3">
        <v>45718</v>
      </c>
      <c r="K2524" s="16">
        <f t="shared" ref="K2524:K2537" si="200">AVERAGE(C2505:C2523)</f>
        <v>68.204999999999998</v>
      </c>
      <c r="L2524" s="16">
        <f t="shared" si="196"/>
        <v>64.502083333333346</v>
      </c>
      <c r="M2524" s="25" t="str">
        <f t="shared" si="197"/>
        <v>HOLD</v>
      </c>
    </row>
    <row r="2525" spans="2:13">
      <c r="B2525" s="3">
        <v>45719</v>
      </c>
      <c r="K2525" s="16">
        <f t="shared" si="200"/>
        <v>68.530588235294118</v>
      </c>
      <c r="L2525" s="16">
        <f t="shared" si="196"/>
        <v>64.537234042553195</v>
      </c>
      <c r="M2525" s="25" t="str">
        <f t="shared" si="197"/>
        <v>HOLD</v>
      </c>
    </row>
    <row r="2526" spans="2:13">
      <c r="B2526" s="3">
        <v>45720</v>
      </c>
      <c r="K2526" s="16">
        <f t="shared" si="200"/>
        <v>68.868750000000006</v>
      </c>
      <c r="L2526" s="16">
        <f t="shared" si="196"/>
        <v>64.582608695652169</v>
      </c>
      <c r="M2526" s="25" t="str">
        <f t="shared" si="197"/>
        <v>HOLD</v>
      </c>
    </row>
    <row r="2527" spans="2:13">
      <c r="B2527" s="3">
        <v>45721</v>
      </c>
      <c r="K2527" s="16">
        <f t="shared" si="200"/>
        <v>69.236000000000004</v>
      </c>
      <c r="L2527" s="16">
        <f t="shared" si="196"/>
        <v>64.627777777777766</v>
      </c>
      <c r="M2527" s="25" t="str">
        <f t="shared" si="197"/>
        <v>HOLD</v>
      </c>
    </row>
    <row r="2528" spans="2:13">
      <c r="B2528" s="3">
        <v>45722</v>
      </c>
      <c r="K2528" s="16">
        <f t="shared" si="200"/>
        <v>69.621428571428581</v>
      </c>
      <c r="L2528" s="16">
        <f t="shared" si="196"/>
        <v>64.67886363636363</v>
      </c>
      <c r="M2528" s="25" t="str">
        <f t="shared" si="197"/>
        <v>HOLD</v>
      </c>
    </row>
    <row r="2529" spans="2:13">
      <c r="B2529" s="3">
        <v>45723</v>
      </c>
      <c r="K2529" s="16">
        <f t="shared" si="200"/>
        <v>70.011538461538464</v>
      </c>
      <c r="L2529" s="16">
        <f t="shared" si="196"/>
        <v>64.721627906976735</v>
      </c>
      <c r="M2529" s="25" t="str">
        <f t="shared" si="197"/>
        <v>HOLD</v>
      </c>
    </row>
    <row r="2530" spans="2:13">
      <c r="B2530" s="3">
        <v>45724</v>
      </c>
      <c r="K2530" s="16">
        <f t="shared" si="200"/>
        <v>70.212500000000006</v>
      </c>
      <c r="L2530" s="16">
        <f t="shared" si="196"/>
        <v>64.772857142857134</v>
      </c>
      <c r="M2530" s="25" t="str">
        <f t="shared" si="197"/>
        <v>HOLD</v>
      </c>
    </row>
    <row r="2531" spans="2:13">
      <c r="B2531" s="3">
        <v>45725</v>
      </c>
      <c r="K2531" s="16">
        <f t="shared" si="200"/>
        <v>70.349090909090918</v>
      </c>
      <c r="L2531" s="16">
        <f t="shared" si="196"/>
        <v>64.829512195121936</v>
      </c>
      <c r="M2531" s="25" t="str">
        <f t="shared" si="197"/>
        <v>HOLD</v>
      </c>
    </row>
    <row r="2532" spans="2:13">
      <c r="B2532" s="3">
        <v>45726</v>
      </c>
      <c r="K2532" s="16">
        <f t="shared" si="200"/>
        <v>70.433999999999997</v>
      </c>
      <c r="L2532" s="16">
        <f t="shared" si="196"/>
        <v>64.899499999999975</v>
      </c>
      <c r="M2532" s="25" t="str">
        <f t="shared" si="197"/>
        <v>HOLD</v>
      </c>
    </row>
    <row r="2533" spans="2:13">
      <c r="B2533" s="3">
        <v>45727</v>
      </c>
      <c r="K2533" s="16">
        <f t="shared" si="200"/>
        <v>70.607777777777784</v>
      </c>
      <c r="L2533" s="16">
        <f t="shared" si="196"/>
        <v>64.967179487179465</v>
      </c>
      <c r="M2533" s="25" t="str">
        <f t="shared" si="197"/>
        <v>HOLD</v>
      </c>
    </row>
    <row r="2534" spans="2:13">
      <c r="B2534" s="3">
        <v>45728</v>
      </c>
      <c r="K2534" s="16">
        <f t="shared" si="200"/>
        <v>70.802500000000009</v>
      </c>
      <c r="L2534" s="16">
        <f t="shared" si="196"/>
        <v>65.049473684210511</v>
      </c>
      <c r="M2534" s="25" t="str">
        <f t="shared" si="197"/>
        <v>HOLD</v>
      </c>
    </row>
    <row r="2535" spans="2:13">
      <c r="B2535" s="3">
        <v>45729</v>
      </c>
      <c r="K2535" s="16">
        <f t="shared" si="200"/>
        <v>70.907142857142858</v>
      </c>
      <c r="L2535" s="16">
        <f t="shared" si="196"/>
        <v>65.138648648648626</v>
      </c>
      <c r="M2535" s="25" t="str">
        <f t="shared" si="197"/>
        <v>HOLD</v>
      </c>
    </row>
    <row r="2536" spans="2:13">
      <c r="B2536" s="3">
        <v>45730</v>
      </c>
      <c r="K2536" s="16">
        <f t="shared" si="200"/>
        <v>71.051666666666662</v>
      </c>
      <c r="L2536" s="16">
        <f t="shared" si="196"/>
        <v>65.258888888888862</v>
      </c>
      <c r="M2536" s="25" t="str">
        <f t="shared" si="197"/>
        <v>HOLD</v>
      </c>
    </row>
    <row r="2537" spans="2:13">
      <c r="B2537" s="3">
        <v>45731</v>
      </c>
      <c r="K2537" s="16">
        <f t="shared" si="200"/>
        <v>70.99199999999999</v>
      </c>
      <c r="L2537" s="16">
        <f t="shared" si="196"/>
        <v>65.385142857142839</v>
      </c>
      <c r="M2537" s="25" t="str">
        <f t="shared" si="197"/>
        <v>HOLD</v>
      </c>
    </row>
  </sheetData>
  <mergeCells count="5">
    <mergeCell ref="X7:Y7"/>
    <mergeCell ref="D3:I3"/>
    <mergeCell ref="O27:P27"/>
    <mergeCell ref="T27:U27"/>
    <mergeCell ref="R5:U6"/>
  </mergeCells>
  <pageMargins left="0" right="0" top="0" bottom="0" header="0" footer="0"/>
  <pageSetup paperSize="8" scale="68" orientation="landscape" r:id="rId1"/>
  <ignoredErrors>
    <ignoredError sqref="K26:K2522 L56:L2522 K2523:L253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Coca-Cola Stock Price 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reyal</dc:creator>
  <cp:lastModifiedBy>Shivalika Singh</cp:lastModifiedBy>
  <cp:lastPrinted>2025-12-04T11:52:13Z</cp:lastPrinted>
  <dcterms:created xsi:type="dcterms:W3CDTF">2025-12-04T07:09:56Z</dcterms:created>
  <dcterms:modified xsi:type="dcterms:W3CDTF">2025-12-04T11:53:26Z</dcterms:modified>
</cp:coreProperties>
</file>